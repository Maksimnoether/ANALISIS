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/>
  <workbookPr defaultThemeVersion="124226"/>
  <mc:AlternateContent xmlns:mc="http://schemas.openxmlformats.org/markup-compatibility/2006">
    <mc:Choice Requires="x15">
      <x15ac:absPath xmlns:x15ac="http://schemas.microsoft.com/office/spreadsheetml/2010/11/ac" url="R:\Victor y Fede\ANALISIS\"/>
    </mc:Choice>
  </mc:AlternateContent>
  <xr:revisionPtr revIDLastSave="0" documentId="13_ncr:1_{3629FACF-41B3-4E33-904A-27CFB7E7574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Generador" sheetId="1" r:id="rId1"/>
    <sheet name="Imput" sheetId="2" r:id="rId2"/>
    <sheet name="Output" sheetId="3" r:id="rId3"/>
  </sheets>
  <definedNames>
    <definedName name="_xlnm._FilterDatabase" localSheetId="0" hidden="1">Generador!$B$12:$Z$2828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6" i="2" l="1"/>
  <c r="C44" i="2"/>
  <c r="C3" i="1"/>
  <c r="X3" i="3"/>
  <c r="Y3" i="3"/>
  <c r="AA3" i="3"/>
  <c r="Z3" i="3"/>
  <c r="C3" i="3"/>
  <c r="C49" i="2" l="1"/>
  <c r="B10" i="1" s="1"/>
  <c r="H35" i="2"/>
  <c r="Z3800" i="1"/>
  <c r="Y3800" i="1"/>
  <c r="X3800" i="1"/>
  <c r="W3800" i="1"/>
  <c r="Z3799" i="1"/>
  <c r="Y3799" i="1"/>
  <c r="X3799" i="1"/>
  <c r="W3799" i="1"/>
  <c r="Z3798" i="1"/>
  <c r="Y3798" i="1"/>
  <c r="X3798" i="1"/>
  <c r="W3798" i="1"/>
  <c r="Z3797" i="1"/>
  <c r="Y3797" i="1"/>
  <c r="X3797" i="1"/>
  <c r="W3797" i="1"/>
  <c r="Z3796" i="1"/>
  <c r="Y3796" i="1"/>
  <c r="X3796" i="1"/>
  <c r="W3796" i="1"/>
  <c r="Z3795" i="1"/>
  <c r="Y3795" i="1"/>
  <c r="X3795" i="1"/>
  <c r="W3795" i="1"/>
  <c r="Z3794" i="1"/>
  <c r="Y3794" i="1"/>
  <c r="X3794" i="1"/>
  <c r="W3794" i="1"/>
  <c r="Z3793" i="1"/>
  <c r="Y3793" i="1"/>
  <c r="X3793" i="1"/>
  <c r="W3793" i="1"/>
  <c r="Z3792" i="1"/>
  <c r="Y3792" i="1"/>
  <c r="X3792" i="1"/>
  <c r="W3792" i="1"/>
  <c r="Z3791" i="1"/>
  <c r="Y3791" i="1"/>
  <c r="X3791" i="1"/>
  <c r="W3791" i="1"/>
  <c r="Z3790" i="1"/>
  <c r="Y3790" i="1"/>
  <c r="X3790" i="1"/>
  <c r="W3790" i="1"/>
  <c r="Z3789" i="1"/>
  <c r="Y3789" i="1"/>
  <c r="X3789" i="1"/>
  <c r="W3789" i="1"/>
  <c r="Z3788" i="1"/>
  <c r="Y3788" i="1"/>
  <c r="X3788" i="1"/>
  <c r="W3788" i="1"/>
  <c r="Z3787" i="1"/>
  <c r="Y3787" i="1"/>
  <c r="X3787" i="1"/>
  <c r="W3787" i="1"/>
  <c r="Z3786" i="1"/>
  <c r="Y3786" i="1"/>
  <c r="X3786" i="1"/>
  <c r="W3786" i="1"/>
  <c r="Z3785" i="1"/>
  <c r="Y3785" i="1"/>
  <c r="X3785" i="1"/>
  <c r="W3785" i="1"/>
  <c r="Z3784" i="1"/>
  <c r="Y3784" i="1"/>
  <c r="X3784" i="1"/>
  <c r="W3784" i="1"/>
  <c r="Z3783" i="1"/>
  <c r="Y3783" i="1"/>
  <c r="X3783" i="1"/>
  <c r="W3783" i="1"/>
  <c r="Z3782" i="1"/>
  <c r="Y3782" i="1"/>
  <c r="X3782" i="1"/>
  <c r="W3782" i="1"/>
  <c r="Z3781" i="1"/>
  <c r="Y3781" i="1"/>
  <c r="X3781" i="1"/>
  <c r="W3781" i="1"/>
  <c r="Z3780" i="1"/>
  <c r="Y3780" i="1"/>
  <c r="X3780" i="1"/>
  <c r="W3780" i="1"/>
  <c r="Z3779" i="1"/>
  <c r="Y3779" i="1"/>
  <c r="X3779" i="1"/>
  <c r="W3779" i="1"/>
  <c r="Z3778" i="1"/>
  <c r="Y3778" i="1"/>
  <c r="X3778" i="1"/>
  <c r="W3778" i="1"/>
  <c r="Z3777" i="1"/>
  <c r="Y3777" i="1"/>
  <c r="X3777" i="1"/>
  <c r="W3777" i="1"/>
  <c r="Z3776" i="1"/>
  <c r="Y3776" i="1"/>
  <c r="X3776" i="1"/>
  <c r="W3776" i="1"/>
  <c r="Z3775" i="1"/>
  <c r="Y3775" i="1"/>
  <c r="X3775" i="1"/>
  <c r="W3775" i="1"/>
  <c r="Z3774" i="1"/>
  <c r="Y3774" i="1"/>
  <c r="X3774" i="1"/>
  <c r="W3774" i="1"/>
  <c r="Z3773" i="1"/>
  <c r="Y3773" i="1"/>
  <c r="X3773" i="1"/>
  <c r="W3773" i="1"/>
  <c r="Z3772" i="1"/>
  <c r="Y3772" i="1"/>
  <c r="X3772" i="1"/>
  <c r="W3772" i="1"/>
  <c r="Z3771" i="1"/>
  <c r="Y3771" i="1"/>
  <c r="X3771" i="1"/>
  <c r="W3771" i="1"/>
  <c r="Z3770" i="1"/>
  <c r="Y3770" i="1"/>
  <c r="X3770" i="1"/>
  <c r="W3770" i="1"/>
  <c r="Z3769" i="1"/>
  <c r="Y3769" i="1"/>
  <c r="X3769" i="1"/>
  <c r="W3769" i="1"/>
  <c r="Z3768" i="1"/>
  <c r="Y3768" i="1"/>
  <c r="X3768" i="1"/>
  <c r="W3768" i="1"/>
  <c r="Z3767" i="1"/>
  <c r="Y3767" i="1"/>
  <c r="X3767" i="1"/>
  <c r="W3767" i="1"/>
  <c r="Z3766" i="1"/>
  <c r="Y3766" i="1"/>
  <c r="X3766" i="1"/>
  <c r="W3766" i="1"/>
  <c r="Z3765" i="1"/>
  <c r="Y3765" i="1"/>
  <c r="X3765" i="1"/>
  <c r="W3765" i="1"/>
  <c r="Z3764" i="1"/>
  <c r="Y3764" i="1"/>
  <c r="X3764" i="1"/>
  <c r="W3764" i="1"/>
  <c r="Z3763" i="1"/>
  <c r="Y3763" i="1"/>
  <c r="X3763" i="1"/>
  <c r="W3763" i="1"/>
  <c r="Z3762" i="1"/>
  <c r="Y3762" i="1"/>
  <c r="X3762" i="1"/>
  <c r="W3762" i="1"/>
  <c r="Z3761" i="1"/>
  <c r="Y3761" i="1"/>
  <c r="X3761" i="1"/>
  <c r="W3761" i="1"/>
  <c r="Z3760" i="1"/>
  <c r="Y3760" i="1"/>
  <c r="X3760" i="1"/>
  <c r="W3760" i="1"/>
  <c r="Z3759" i="1"/>
  <c r="Y3759" i="1"/>
  <c r="X3759" i="1"/>
  <c r="W3759" i="1"/>
  <c r="Z3758" i="1"/>
  <c r="Y3758" i="1"/>
  <c r="X3758" i="1"/>
  <c r="W3758" i="1"/>
  <c r="Z3757" i="1"/>
  <c r="Y3757" i="1"/>
  <c r="X3757" i="1"/>
  <c r="W3757" i="1"/>
  <c r="Z3756" i="1"/>
  <c r="Y3756" i="1"/>
  <c r="X3756" i="1"/>
  <c r="W3756" i="1"/>
  <c r="Z3755" i="1"/>
  <c r="Y3755" i="1"/>
  <c r="X3755" i="1"/>
  <c r="W3755" i="1"/>
  <c r="Z3754" i="1"/>
  <c r="Y3754" i="1"/>
  <c r="X3754" i="1"/>
  <c r="W3754" i="1"/>
  <c r="Z3753" i="1"/>
  <c r="Y3753" i="1"/>
  <c r="X3753" i="1"/>
  <c r="W3753" i="1"/>
  <c r="Z3752" i="1"/>
  <c r="Y3752" i="1"/>
  <c r="X3752" i="1"/>
  <c r="W3752" i="1"/>
  <c r="Z3751" i="1"/>
  <c r="Y3751" i="1"/>
  <c r="X3751" i="1"/>
  <c r="W3751" i="1"/>
  <c r="Z3750" i="1"/>
  <c r="Y3750" i="1"/>
  <c r="X3750" i="1"/>
  <c r="W3750" i="1"/>
  <c r="Z3749" i="1"/>
  <c r="Y3749" i="1"/>
  <c r="X3749" i="1"/>
  <c r="W3749" i="1"/>
  <c r="Z3748" i="1"/>
  <c r="Y3748" i="1"/>
  <c r="X3748" i="1"/>
  <c r="W3748" i="1"/>
  <c r="Z3747" i="1"/>
  <c r="Y3747" i="1"/>
  <c r="X3747" i="1"/>
  <c r="W3747" i="1"/>
  <c r="Z3746" i="1"/>
  <c r="Y3746" i="1"/>
  <c r="X3746" i="1"/>
  <c r="W3746" i="1"/>
  <c r="Z3745" i="1"/>
  <c r="Y3745" i="1"/>
  <c r="X3745" i="1"/>
  <c r="W3745" i="1"/>
  <c r="Z3744" i="1"/>
  <c r="Y3744" i="1"/>
  <c r="X3744" i="1"/>
  <c r="W3744" i="1"/>
  <c r="Z3743" i="1"/>
  <c r="Y3743" i="1"/>
  <c r="X3743" i="1"/>
  <c r="W3743" i="1"/>
  <c r="Z3742" i="1"/>
  <c r="Y3742" i="1"/>
  <c r="X3742" i="1"/>
  <c r="W3742" i="1"/>
  <c r="Z3741" i="1"/>
  <c r="Y3741" i="1"/>
  <c r="X3741" i="1"/>
  <c r="W3741" i="1"/>
  <c r="Z3740" i="1"/>
  <c r="Y3740" i="1"/>
  <c r="X3740" i="1"/>
  <c r="W3740" i="1"/>
  <c r="Z3739" i="1"/>
  <c r="Y3739" i="1"/>
  <c r="X3739" i="1"/>
  <c r="W3739" i="1"/>
  <c r="Z3738" i="1"/>
  <c r="Y3738" i="1"/>
  <c r="X3738" i="1"/>
  <c r="W3738" i="1"/>
  <c r="Z3737" i="1"/>
  <c r="Y3737" i="1"/>
  <c r="X3737" i="1"/>
  <c r="W3737" i="1"/>
  <c r="Z3736" i="1"/>
  <c r="Y3736" i="1"/>
  <c r="X3736" i="1"/>
  <c r="W3736" i="1"/>
  <c r="Z3735" i="1"/>
  <c r="Y3735" i="1"/>
  <c r="X3735" i="1"/>
  <c r="W3735" i="1"/>
  <c r="Z3734" i="1"/>
  <c r="Y3734" i="1"/>
  <c r="X3734" i="1"/>
  <c r="W3734" i="1"/>
  <c r="Z3733" i="1"/>
  <c r="Y3733" i="1"/>
  <c r="X3733" i="1"/>
  <c r="W3733" i="1"/>
  <c r="Z3732" i="1"/>
  <c r="Y3732" i="1"/>
  <c r="X3732" i="1"/>
  <c r="W3732" i="1"/>
  <c r="Z3731" i="1"/>
  <c r="Y3731" i="1"/>
  <c r="X3731" i="1"/>
  <c r="W3731" i="1"/>
  <c r="Z3730" i="1"/>
  <c r="Y3730" i="1"/>
  <c r="X3730" i="1"/>
  <c r="W3730" i="1"/>
  <c r="Z3729" i="1"/>
  <c r="Y3729" i="1"/>
  <c r="X3729" i="1"/>
  <c r="W3729" i="1"/>
  <c r="Z3728" i="1"/>
  <c r="Y3728" i="1"/>
  <c r="X3728" i="1"/>
  <c r="W3728" i="1"/>
  <c r="Z3727" i="1"/>
  <c r="Y3727" i="1"/>
  <c r="X3727" i="1"/>
  <c r="W3727" i="1"/>
  <c r="Z3726" i="1"/>
  <c r="Y3726" i="1"/>
  <c r="X3726" i="1"/>
  <c r="W3726" i="1"/>
  <c r="Z3725" i="1"/>
  <c r="Y3725" i="1"/>
  <c r="X3725" i="1"/>
  <c r="W3725" i="1"/>
  <c r="Z3724" i="1"/>
  <c r="Y3724" i="1"/>
  <c r="X3724" i="1"/>
  <c r="W3724" i="1"/>
  <c r="Z3723" i="1"/>
  <c r="Y3723" i="1"/>
  <c r="X3723" i="1"/>
  <c r="W3723" i="1"/>
  <c r="Z3722" i="1"/>
  <c r="Y3722" i="1"/>
  <c r="X3722" i="1"/>
  <c r="W3722" i="1"/>
  <c r="Z3721" i="1"/>
  <c r="Y3721" i="1"/>
  <c r="X3721" i="1"/>
  <c r="W3721" i="1"/>
  <c r="Z3720" i="1"/>
  <c r="Y3720" i="1"/>
  <c r="X3720" i="1"/>
  <c r="W3720" i="1"/>
  <c r="Z3719" i="1"/>
  <c r="Y3719" i="1"/>
  <c r="X3719" i="1"/>
  <c r="W3719" i="1"/>
  <c r="Z3718" i="1"/>
  <c r="Y3718" i="1"/>
  <c r="X3718" i="1"/>
  <c r="W3718" i="1"/>
  <c r="Z3717" i="1"/>
  <c r="Y3717" i="1"/>
  <c r="X3717" i="1"/>
  <c r="W3717" i="1"/>
  <c r="Z3716" i="1"/>
  <c r="Y3716" i="1"/>
  <c r="X3716" i="1"/>
  <c r="W3716" i="1"/>
  <c r="Z3715" i="1"/>
  <c r="Y3715" i="1"/>
  <c r="X3715" i="1"/>
  <c r="W3715" i="1"/>
  <c r="Z3714" i="1"/>
  <c r="Y3714" i="1"/>
  <c r="X3714" i="1"/>
  <c r="W3714" i="1"/>
  <c r="Z3713" i="1"/>
  <c r="Y3713" i="1"/>
  <c r="X3713" i="1"/>
  <c r="W3713" i="1"/>
  <c r="Z3712" i="1"/>
  <c r="Y3712" i="1"/>
  <c r="X3712" i="1"/>
  <c r="W3712" i="1"/>
  <c r="Z3711" i="1"/>
  <c r="Y3711" i="1"/>
  <c r="X3711" i="1"/>
  <c r="W3711" i="1"/>
  <c r="Z3710" i="1"/>
  <c r="Y3710" i="1"/>
  <c r="X3710" i="1"/>
  <c r="W3710" i="1"/>
  <c r="Z3709" i="1"/>
  <c r="Y3709" i="1"/>
  <c r="X3709" i="1"/>
  <c r="W3709" i="1"/>
  <c r="Z3708" i="1"/>
  <c r="Y3708" i="1"/>
  <c r="X3708" i="1"/>
  <c r="W3708" i="1"/>
  <c r="Z3707" i="1"/>
  <c r="Y3707" i="1"/>
  <c r="X3707" i="1"/>
  <c r="W3707" i="1"/>
  <c r="Z3706" i="1"/>
  <c r="Y3706" i="1"/>
  <c r="X3706" i="1"/>
  <c r="W3706" i="1"/>
  <c r="Z3705" i="1"/>
  <c r="Y3705" i="1"/>
  <c r="X3705" i="1"/>
  <c r="W3705" i="1"/>
  <c r="Z3704" i="1"/>
  <c r="Y3704" i="1"/>
  <c r="X3704" i="1"/>
  <c r="W3704" i="1"/>
  <c r="Z3703" i="1"/>
  <c r="Y3703" i="1"/>
  <c r="X3703" i="1"/>
  <c r="W3703" i="1"/>
  <c r="Z3702" i="1"/>
  <c r="Y3702" i="1"/>
  <c r="X3702" i="1"/>
  <c r="W3702" i="1"/>
  <c r="Z3701" i="1"/>
  <c r="Y3701" i="1"/>
  <c r="X3701" i="1"/>
  <c r="W3701" i="1"/>
  <c r="Z3700" i="1"/>
  <c r="Y3700" i="1"/>
  <c r="X3700" i="1"/>
  <c r="W3700" i="1"/>
  <c r="Z3699" i="1"/>
  <c r="Y3699" i="1"/>
  <c r="X3699" i="1"/>
  <c r="W3699" i="1"/>
  <c r="Z3698" i="1"/>
  <c r="Y3698" i="1"/>
  <c r="X3698" i="1"/>
  <c r="W3698" i="1"/>
  <c r="Z3697" i="1"/>
  <c r="Y3697" i="1"/>
  <c r="X3697" i="1"/>
  <c r="W3697" i="1"/>
  <c r="Z3696" i="1"/>
  <c r="Y3696" i="1"/>
  <c r="X3696" i="1"/>
  <c r="W3696" i="1"/>
  <c r="Z3695" i="1"/>
  <c r="Y3695" i="1"/>
  <c r="X3695" i="1"/>
  <c r="W3695" i="1"/>
  <c r="Z3694" i="1"/>
  <c r="Y3694" i="1"/>
  <c r="X3694" i="1"/>
  <c r="W3694" i="1"/>
  <c r="Z3693" i="1"/>
  <c r="Y3693" i="1"/>
  <c r="X3693" i="1"/>
  <c r="W3693" i="1"/>
  <c r="Z3692" i="1"/>
  <c r="Y3692" i="1"/>
  <c r="X3692" i="1"/>
  <c r="W3692" i="1"/>
  <c r="Z3691" i="1"/>
  <c r="Y3691" i="1"/>
  <c r="X3691" i="1"/>
  <c r="W3691" i="1"/>
  <c r="Z3690" i="1"/>
  <c r="Y3690" i="1"/>
  <c r="X3690" i="1"/>
  <c r="W3690" i="1"/>
  <c r="Z3689" i="1"/>
  <c r="Y3689" i="1"/>
  <c r="X3689" i="1"/>
  <c r="W3689" i="1"/>
  <c r="Z3688" i="1"/>
  <c r="Y3688" i="1"/>
  <c r="X3688" i="1"/>
  <c r="W3688" i="1"/>
  <c r="Z3687" i="1"/>
  <c r="Y3687" i="1"/>
  <c r="X3687" i="1"/>
  <c r="W3687" i="1"/>
  <c r="Z3686" i="1"/>
  <c r="Y3686" i="1"/>
  <c r="X3686" i="1"/>
  <c r="W3686" i="1"/>
  <c r="Z3685" i="1"/>
  <c r="Y3685" i="1"/>
  <c r="X3685" i="1"/>
  <c r="W3685" i="1"/>
  <c r="Z3684" i="1"/>
  <c r="Y3684" i="1"/>
  <c r="X3684" i="1"/>
  <c r="W3684" i="1"/>
  <c r="Z3683" i="1"/>
  <c r="Y3683" i="1"/>
  <c r="X3683" i="1"/>
  <c r="W3683" i="1"/>
  <c r="Z3682" i="1"/>
  <c r="Y3682" i="1"/>
  <c r="X3682" i="1"/>
  <c r="W3682" i="1"/>
  <c r="Z3681" i="1"/>
  <c r="Y3681" i="1"/>
  <c r="X3681" i="1"/>
  <c r="W3681" i="1"/>
  <c r="Z3680" i="1"/>
  <c r="Y3680" i="1"/>
  <c r="X3680" i="1"/>
  <c r="W3680" i="1"/>
  <c r="Z3679" i="1"/>
  <c r="Y3679" i="1"/>
  <c r="X3679" i="1"/>
  <c r="W3679" i="1"/>
  <c r="Z3678" i="1"/>
  <c r="Y3678" i="1"/>
  <c r="X3678" i="1"/>
  <c r="W3678" i="1"/>
  <c r="Z3677" i="1"/>
  <c r="Y3677" i="1"/>
  <c r="X3677" i="1"/>
  <c r="W3677" i="1"/>
  <c r="Z3676" i="1"/>
  <c r="Y3676" i="1"/>
  <c r="X3676" i="1"/>
  <c r="W3676" i="1"/>
  <c r="Z3675" i="1"/>
  <c r="Y3675" i="1"/>
  <c r="X3675" i="1"/>
  <c r="W3675" i="1"/>
  <c r="Z3674" i="1"/>
  <c r="Y3674" i="1"/>
  <c r="X3674" i="1"/>
  <c r="W3674" i="1"/>
  <c r="Z3673" i="1"/>
  <c r="Y3673" i="1"/>
  <c r="X3673" i="1"/>
  <c r="W3673" i="1"/>
  <c r="Z3672" i="1"/>
  <c r="Y3672" i="1"/>
  <c r="X3672" i="1"/>
  <c r="W3672" i="1"/>
  <c r="Z3671" i="1"/>
  <c r="Y3671" i="1"/>
  <c r="X3671" i="1"/>
  <c r="W3671" i="1"/>
  <c r="Z3670" i="1"/>
  <c r="Y3670" i="1"/>
  <c r="X3670" i="1"/>
  <c r="W3670" i="1"/>
  <c r="Z3669" i="1"/>
  <c r="Y3669" i="1"/>
  <c r="X3669" i="1"/>
  <c r="W3669" i="1"/>
  <c r="Z3668" i="1"/>
  <c r="Y3668" i="1"/>
  <c r="X3668" i="1"/>
  <c r="W3668" i="1"/>
  <c r="Z3667" i="1"/>
  <c r="Y3667" i="1"/>
  <c r="X3667" i="1"/>
  <c r="W3667" i="1"/>
  <c r="Z3666" i="1"/>
  <c r="Y3666" i="1"/>
  <c r="X3666" i="1"/>
  <c r="W3666" i="1"/>
  <c r="Z3665" i="1"/>
  <c r="Y3665" i="1"/>
  <c r="X3665" i="1"/>
  <c r="W3665" i="1"/>
  <c r="Z3664" i="1"/>
  <c r="Y3664" i="1"/>
  <c r="X3664" i="1"/>
  <c r="W3664" i="1"/>
  <c r="Z3663" i="1"/>
  <c r="Y3663" i="1"/>
  <c r="X3663" i="1"/>
  <c r="W3663" i="1"/>
  <c r="Z3662" i="1"/>
  <c r="Y3662" i="1"/>
  <c r="X3662" i="1"/>
  <c r="W3662" i="1"/>
  <c r="Z3661" i="1"/>
  <c r="Y3661" i="1"/>
  <c r="X3661" i="1"/>
  <c r="W3661" i="1"/>
  <c r="Z3660" i="1"/>
  <c r="Y3660" i="1"/>
  <c r="X3660" i="1"/>
  <c r="W3660" i="1"/>
  <c r="Z3659" i="1"/>
  <c r="Y3659" i="1"/>
  <c r="X3659" i="1"/>
  <c r="W3659" i="1"/>
  <c r="Z3658" i="1"/>
  <c r="Y3658" i="1"/>
  <c r="X3658" i="1"/>
  <c r="W3658" i="1"/>
  <c r="Z3657" i="1"/>
  <c r="Y3657" i="1"/>
  <c r="X3657" i="1"/>
  <c r="W3657" i="1"/>
  <c r="Z3656" i="1"/>
  <c r="Y3656" i="1"/>
  <c r="X3656" i="1"/>
  <c r="W3656" i="1"/>
  <c r="Z3655" i="1"/>
  <c r="Y3655" i="1"/>
  <c r="X3655" i="1"/>
  <c r="W3655" i="1"/>
  <c r="Z3654" i="1"/>
  <c r="Y3654" i="1"/>
  <c r="X3654" i="1"/>
  <c r="W3654" i="1"/>
  <c r="Z3653" i="1"/>
  <c r="Y3653" i="1"/>
  <c r="X3653" i="1"/>
  <c r="W3653" i="1"/>
  <c r="Z3652" i="1"/>
  <c r="Y3652" i="1"/>
  <c r="X3652" i="1"/>
  <c r="W3652" i="1"/>
  <c r="Z3651" i="1"/>
  <c r="Y3651" i="1"/>
  <c r="X3651" i="1"/>
  <c r="W3651" i="1"/>
  <c r="Z3650" i="1"/>
  <c r="Y3650" i="1"/>
  <c r="X3650" i="1"/>
  <c r="W3650" i="1"/>
  <c r="Z3649" i="1"/>
  <c r="Y3649" i="1"/>
  <c r="X3649" i="1"/>
  <c r="W3649" i="1"/>
  <c r="Z3648" i="1"/>
  <c r="Y3648" i="1"/>
  <c r="X3648" i="1"/>
  <c r="W3648" i="1"/>
  <c r="Z3647" i="1"/>
  <c r="Y3647" i="1"/>
  <c r="X3647" i="1"/>
  <c r="W3647" i="1"/>
  <c r="Z3646" i="1"/>
  <c r="Y3646" i="1"/>
  <c r="X3646" i="1"/>
  <c r="W3646" i="1"/>
  <c r="Z3645" i="1"/>
  <c r="Y3645" i="1"/>
  <c r="X3645" i="1"/>
  <c r="W3645" i="1"/>
  <c r="Z3644" i="1"/>
  <c r="Y3644" i="1"/>
  <c r="X3644" i="1"/>
  <c r="W3644" i="1"/>
  <c r="Z3643" i="1"/>
  <c r="Y3643" i="1"/>
  <c r="X3643" i="1"/>
  <c r="W3643" i="1"/>
  <c r="Z3642" i="1"/>
  <c r="Y3642" i="1"/>
  <c r="X3642" i="1"/>
  <c r="W3642" i="1"/>
  <c r="Z3641" i="1"/>
  <c r="Y3641" i="1"/>
  <c r="X3641" i="1"/>
  <c r="W3641" i="1"/>
  <c r="Z3640" i="1"/>
  <c r="Y3640" i="1"/>
  <c r="X3640" i="1"/>
  <c r="W3640" i="1"/>
  <c r="Z3639" i="1"/>
  <c r="Y3639" i="1"/>
  <c r="X3639" i="1"/>
  <c r="W3639" i="1"/>
  <c r="Z3638" i="1"/>
  <c r="Y3638" i="1"/>
  <c r="X3638" i="1"/>
  <c r="W3638" i="1"/>
  <c r="Z3637" i="1"/>
  <c r="Y3637" i="1"/>
  <c r="X3637" i="1"/>
  <c r="W3637" i="1"/>
  <c r="Z3636" i="1"/>
  <c r="Y3636" i="1"/>
  <c r="X3636" i="1"/>
  <c r="W3636" i="1"/>
  <c r="Z3635" i="1"/>
  <c r="Y3635" i="1"/>
  <c r="X3635" i="1"/>
  <c r="W3635" i="1"/>
  <c r="Z3634" i="1"/>
  <c r="Y3634" i="1"/>
  <c r="X3634" i="1"/>
  <c r="W3634" i="1"/>
  <c r="Z3633" i="1"/>
  <c r="Y3633" i="1"/>
  <c r="X3633" i="1"/>
  <c r="W3633" i="1"/>
  <c r="Z3632" i="1"/>
  <c r="Y3632" i="1"/>
  <c r="X3632" i="1"/>
  <c r="W3632" i="1"/>
  <c r="Z3631" i="1"/>
  <c r="Y3631" i="1"/>
  <c r="X3631" i="1"/>
  <c r="W3631" i="1"/>
  <c r="Z3630" i="1"/>
  <c r="Y3630" i="1"/>
  <c r="X3630" i="1"/>
  <c r="W3630" i="1"/>
  <c r="Z3629" i="1"/>
  <c r="Y3629" i="1"/>
  <c r="X3629" i="1"/>
  <c r="W3629" i="1"/>
  <c r="Z3628" i="1"/>
  <c r="Y3628" i="1"/>
  <c r="X3628" i="1"/>
  <c r="W3628" i="1"/>
  <c r="Z3627" i="1"/>
  <c r="Y3627" i="1"/>
  <c r="X3627" i="1"/>
  <c r="W3627" i="1"/>
  <c r="Z3626" i="1"/>
  <c r="Y3626" i="1"/>
  <c r="X3626" i="1"/>
  <c r="W3626" i="1"/>
  <c r="Z3625" i="1"/>
  <c r="Y3625" i="1"/>
  <c r="X3625" i="1"/>
  <c r="W3625" i="1"/>
  <c r="Z3624" i="1"/>
  <c r="Y3624" i="1"/>
  <c r="X3624" i="1"/>
  <c r="W3624" i="1"/>
  <c r="Z3623" i="1"/>
  <c r="Y3623" i="1"/>
  <c r="X3623" i="1"/>
  <c r="W3623" i="1"/>
  <c r="Z3622" i="1"/>
  <c r="Y3622" i="1"/>
  <c r="X3622" i="1"/>
  <c r="W3622" i="1"/>
  <c r="Z3621" i="1"/>
  <c r="Y3621" i="1"/>
  <c r="X3621" i="1"/>
  <c r="W3621" i="1"/>
  <c r="Z3620" i="1"/>
  <c r="Y3620" i="1"/>
  <c r="X3620" i="1"/>
  <c r="W3620" i="1"/>
  <c r="Z3619" i="1"/>
  <c r="Y3619" i="1"/>
  <c r="X3619" i="1"/>
  <c r="W3619" i="1"/>
  <c r="Z3618" i="1"/>
  <c r="Y3618" i="1"/>
  <c r="X3618" i="1"/>
  <c r="W3618" i="1"/>
  <c r="Z3617" i="1"/>
  <c r="Y3617" i="1"/>
  <c r="X3617" i="1"/>
  <c r="W3617" i="1"/>
  <c r="Z3616" i="1"/>
  <c r="Y3616" i="1"/>
  <c r="X3616" i="1"/>
  <c r="W3616" i="1"/>
  <c r="Z3615" i="1"/>
  <c r="Y3615" i="1"/>
  <c r="X3615" i="1"/>
  <c r="W3615" i="1"/>
  <c r="Z3614" i="1"/>
  <c r="Y3614" i="1"/>
  <c r="X3614" i="1"/>
  <c r="W3614" i="1"/>
  <c r="Z3613" i="1"/>
  <c r="Y3613" i="1"/>
  <c r="X3613" i="1"/>
  <c r="W3613" i="1"/>
  <c r="Z3612" i="1"/>
  <c r="Y3612" i="1"/>
  <c r="X3612" i="1"/>
  <c r="W3612" i="1"/>
  <c r="Z3611" i="1"/>
  <c r="Y3611" i="1"/>
  <c r="X3611" i="1"/>
  <c r="W3611" i="1"/>
  <c r="Z3610" i="1"/>
  <c r="Y3610" i="1"/>
  <c r="X3610" i="1"/>
  <c r="W3610" i="1"/>
  <c r="Z3609" i="1"/>
  <c r="Y3609" i="1"/>
  <c r="X3609" i="1"/>
  <c r="W3609" i="1"/>
  <c r="Z3608" i="1"/>
  <c r="Y3608" i="1"/>
  <c r="X3608" i="1"/>
  <c r="W3608" i="1"/>
  <c r="Z3607" i="1"/>
  <c r="Y3607" i="1"/>
  <c r="X3607" i="1"/>
  <c r="W3607" i="1"/>
  <c r="Z3606" i="1"/>
  <c r="Y3606" i="1"/>
  <c r="X3606" i="1"/>
  <c r="W3606" i="1"/>
  <c r="Z3605" i="1"/>
  <c r="Y3605" i="1"/>
  <c r="X3605" i="1"/>
  <c r="W3605" i="1"/>
  <c r="Z3604" i="1"/>
  <c r="Y3604" i="1"/>
  <c r="X3604" i="1"/>
  <c r="W3604" i="1"/>
  <c r="Z3603" i="1"/>
  <c r="Y3603" i="1"/>
  <c r="X3603" i="1"/>
  <c r="W3603" i="1"/>
  <c r="Z3602" i="1"/>
  <c r="Y3602" i="1"/>
  <c r="X3602" i="1"/>
  <c r="W3602" i="1"/>
  <c r="Z3601" i="1"/>
  <c r="Y3601" i="1"/>
  <c r="X3601" i="1"/>
  <c r="W3601" i="1"/>
  <c r="Z3600" i="1"/>
  <c r="Y3600" i="1"/>
  <c r="X3600" i="1"/>
  <c r="W3600" i="1"/>
  <c r="Z3599" i="1"/>
  <c r="Y3599" i="1"/>
  <c r="X3599" i="1"/>
  <c r="W3599" i="1"/>
  <c r="Z3598" i="1"/>
  <c r="Y3598" i="1"/>
  <c r="X3598" i="1"/>
  <c r="W3598" i="1"/>
  <c r="Z3597" i="1"/>
  <c r="Y3597" i="1"/>
  <c r="X3597" i="1"/>
  <c r="W3597" i="1"/>
  <c r="Z3596" i="1"/>
  <c r="Y3596" i="1"/>
  <c r="X3596" i="1"/>
  <c r="W3596" i="1"/>
  <c r="Z3595" i="1"/>
  <c r="Y3595" i="1"/>
  <c r="X3595" i="1"/>
  <c r="W3595" i="1"/>
  <c r="Z3594" i="1"/>
  <c r="Y3594" i="1"/>
  <c r="X3594" i="1"/>
  <c r="W3594" i="1"/>
  <c r="Z3593" i="1"/>
  <c r="Y3593" i="1"/>
  <c r="X3593" i="1"/>
  <c r="W3593" i="1"/>
  <c r="Z3592" i="1"/>
  <c r="Y3592" i="1"/>
  <c r="X3592" i="1"/>
  <c r="W3592" i="1"/>
  <c r="Z3591" i="1"/>
  <c r="Y3591" i="1"/>
  <c r="X3591" i="1"/>
  <c r="W3591" i="1"/>
  <c r="Z3590" i="1"/>
  <c r="Y3590" i="1"/>
  <c r="X3590" i="1"/>
  <c r="W3590" i="1"/>
  <c r="Z3589" i="1"/>
  <c r="Y3589" i="1"/>
  <c r="X3589" i="1"/>
  <c r="W3589" i="1"/>
  <c r="Z3588" i="1"/>
  <c r="Y3588" i="1"/>
  <c r="X3588" i="1"/>
  <c r="W3588" i="1"/>
  <c r="Z3587" i="1"/>
  <c r="Y3587" i="1"/>
  <c r="X3587" i="1"/>
  <c r="W3587" i="1"/>
  <c r="Z3586" i="1"/>
  <c r="Y3586" i="1"/>
  <c r="X3586" i="1"/>
  <c r="W3586" i="1"/>
  <c r="Z3585" i="1"/>
  <c r="Y3585" i="1"/>
  <c r="X3585" i="1"/>
  <c r="W3585" i="1"/>
  <c r="Z3584" i="1"/>
  <c r="Y3584" i="1"/>
  <c r="X3584" i="1"/>
  <c r="W3584" i="1"/>
  <c r="Z3583" i="1"/>
  <c r="Y3583" i="1"/>
  <c r="X3583" i="1"/>
  <c r="W3583" i="1"/>
  <c r="Z3582" i="1"/>
  <c r="Y3582" i="1"/>
  <c r="X3582" i="1"/>
  <c r="W3582" i="1"/>
  <c r="Z3581" i="1"/>
  <c r="Y3581" i="1"/>
  <c r="X3581" i="1"/>
  <c r="W3581" i="1"/>
  <c r="Z3580" i="1"/>
  <c r="Y3580" i="1"/>
  <c r="X3580" i="1"/>
  <c r="W3580" i="1"/>
  <c r="Z3579" i="1"/>
  <c r="Y3579" i="1"/>
  <c r="X3579" i="1"/>
  <c r="W3579" i="1"/>
  <c r="Z3578" i="1"/>
  <c r="Y3578" i="1"/>
  <c r="X3578" i="1"/>
  <c r="W3578" i="1"/>
  <c r="Z3577" i="1"/>
  <c r="Y3577" i="1"/>
  <c r="X3577" i="1"/>
  <c r="W3577" i="1"/>
  <c r="Z3576" i="1"/>
  <c r="Y3576" i="1"/>
  <c r="X3576" i="1"/>
  <c r="W3576" i="1"/>
  <c r="Z3575" i="1"/>
  <c r="Y3575" i="1"/>
  <c r="X3575" i="1"/>
  <c r="W3575" i="1"/>
  <c r="Z3574" i="1"/>
  <c r="Y3574" i="1"/>
  <c r="X3574" i="1"/>
  <c r="W3574" i="1"/>
  <c r="Z3573" i="1"/>
  <c r="Y3573" i="1"/>
  <c r="X3573" i="1"/>
  <c r="W3573" i="1"/>
  <c r="Z3572" i="1"/>
  <c r="Y3572" i="1"/>
  <c r="X3572" i="1"/>
  <c r="W3572" i="1"/>
  <c r="Z3571" i="1"/>
  <c r="Y3571" i="1"/>
  <c r="X3571" i="1"/>
  <c r="W3571" i="1"/>
  <c r="Z3570" i="1"/>
  <c r="Y3570" i="1"/>
  <c r="X3570" i="1"/>
  <c r="W3570" i="1"/>
  <c r="Z3569" i="1"/>
  <c r="Y3569" i="1"/>
  <c r="X3569" i="1"/>
  <c r="W3569" i="1"/>
  <c r="Z3568" i="1"/>
  <c r="Y3568" i="1"/>
  <c r="X3568" i="1"/>
  <c r="W3568" i="1"/>
  <c r="Z3567" i="1"/>
  <c r="Y3567" i="1"/>
  <c r="X3567" i="1"/>
  <c r="W3567" i="1"/>
  <c r="Z3566" i="1"/>
  <c r="Y3566" i="1"/>
  <c r="X3566" i="1"/>
  <c r="W3566" i="1"/>
  <c r="Z3565" i="1"/>
  <c r="Y3565" i="1"/>
  <c r="X3565" i="1"/>
  <c r="W3565" i="1"/>
  <c r="Z3564" i="1"/>
  <c r="Y3564" i="1"/>
  <c r="X3564" i="1"/>
  <c r="W3564" i="1"/>
  <c r="Z3563" i="1"/>
  <c r="Y3563" i="1"/>
  <c r="X3563" i="1"/>
  <c r="W3563" i="1"/>
  <c r="Z3562" i="1"/>
  <c r="Y3562" i="1"/>
  <c r="X3562" i="1"/>
  <c r="W3562" i="1"/>
  <c r="Z3561" i="1"/>
  <c r="Y3561" i="1"/>
  <c r="X3561" i="1"/>
  <c r="W3561" i="1"/>
  <c r="Z3560" i="1"/>
  <c r="Y3560" i="1"/>
  <c r="X3560" i="1"/>
  <c r="W3560" i="1"/>
  <c r="Z3559" i="1"/>
  <c r="Y3559" i="1"/>
  <c r="X3559" i="1"/>
  <c r="W3559" i="1"/>
  <c r="Z3558" i="1"/>
  <c r="Y3558" i="1"/>
  <c r="X3558" i="1"/>
  <c r="W3558" i="1"/>
  <c r="Z3557" i="1"/>
  <c r="Y3557" i="1"/>
  <c r="X3557" i="1"/>
  <c r="W3557" i="1"/>
  <c r="Z3556" i="1"/>
  <c r="Y3556" i="1"/>
  <c r="X3556" i="1"/>
  <c r="W3556" i="1"/>
  <c r="Z3555" i="1"/>
  <c r="Y3555" i="1"/>
  <c r="X3555" i="1"/>
  <c r="W3555" i="1"/>
  <c r="Z3554" i="1"/>
  <c r="Y3554" i="1"/>
  <c r="X3554" i="1"/>
  <c r="W3554" i="1"/>
  <c r="Z3553" i="1"/>
  <c r="Y3553" i="1"/>
  <c r="X3553" i="1"/>
  <c r="W3553" i="1"/>
  <c r="Z3552" i="1"/>
  <c r="Y3552" i="1"/>
  <c r="X3552" i="1"/>
  <c r="W3552" i="1"/>
  <c r="Z3551" i="1"/>
  <c r="Y3551" i="1"/>
  <c r="X3551" i="1"/>
  <c r="W3551" i="1"/>
  <c r="Z3550" i="1"/>
  <c r="Y3550" i="1"/>
  <c r="X3550" i="1"/>
  <c r="W3550" i="1"/>
  <c r="Z3549" i="1"/>
  <c r="Y3549" i="1"/>
  <c r="X3549" i="1"/>
  <c r="W3549" i="1"/>
  <c r="Z3548" i="1"/>
  <c r="Y3548" i="1"/>
  <c r="X3548" i="1"/>
  <c r="W3548" i="1"/>
  <c r="Z3547" i="1"/>
  <c r="Y3547" i="1"/>
  <c r="X3547" i="1"/>
  <c r="W3547" i="1"/>
  <c r="Z3546" i="1"/>
  <c r="Y3546" i="1"/>
  <c r="X3546" i="1"/>
  <c r="W3546" i="1"/>
  <c r="Z3545" i="1"/>
  <c r="Y3545" i="1"/>
  <c r="X3545" i="1"/>
  <c r="W3545" i="1"/>
  <c r="Z3544" i="1"/>
  <c r="Y3544" i="1"/>
  <c r="X3544" i="1"/>
  <c r="W3544" i="1"/>
  <c r="Z3543" i="1"/>
  <c r="Y3543" i="1"/>
  <c r="X3543" i="1"/>
  <c r="W3543" i="1"/>
  <c r="Z3542" i="1"/>
  <c r="Y3542" i="1"/>
  <c r="X3542" i="1"/>
  <c r="W3542" i="1"/>
  <c r="Z3541" i="1"/>
  <c r="Y3541" i="1"/>
  <c r="X3541" i="1"/>
  <c r="W3541" i="1"/>
  <c r="Z3540" i="1"/>
  <c r="Y3540" i="1"/>
  <c r="X3540" i="1"/>
  <c r="W3540" i="1"/>
  <c r="Z3539" i="1"/>
  <c r="Y3539" i="1"/>
  <c r="X3539" i="1"/>
  <c r="W3539" i="1"/>
  <c r="Z3538" i="1"/>
  <c r="Y3538" i="1"/>
  <c r="X3538" i="1"/>
  <c r="W3538" i="1"/>
  <c r="Z3537" i="1"/>
  <c r="Y3537" i="1"/>
  <c r="X3537" i="1"/>
  <c r="W3537" i="1"/>
  <c r="Z3536" i="1"/>
  <c r="Y3536" i="1"/>
  <c r="X3536" i="1"/>
  <c r="W3536" i="1"/>
  <c r="Z3535" i="1"/>
  <c r="Y3535" i="1"/>
  <c r="X3535" i="1"/>
  <c r="W3535" i="1"/>
  <c r="Z3534" i="1"/>
  <c r="Y3534" i="1"/>
  <c r="X3534" i="1"/>
  <c r="W3534" i="1"/>
  <c r="Z3533" i="1"/>
  <c r="Y3533" i="1"/>
  <c r="X3533" i="1"/>
  <c r="W3533" i="1"/>
  <c r="Z3532" i="1"/>
  <c r="Y3532" i="1"/>
  <c r="X3532" i="1"/>
  <c r="W3532" i="1"/>
  <c r="Z3531" i="1"/>
  <c r="Y3531" i="1"/>
  <c r="X3531" i="1"/>
  <c r="W3531" i="1"/>
  <c r="Z3530" i="1"/>
  <c r="Y3530" i="1"/>
  <c r="X3530" i="1"/>
  <c r="W3530" i="1"/>
  <c r="Z3529" i="1"/>
  <c r="Y3529" i="1"/>
  <c r="X3529" i="1"/>
  <c r="W3529" i="1"/>
  <c r="Z3528" i="1"/>
  <c r="Y3528" i="1"/>
  <c r="X3528" i="1"/>
  <c r="W3528" i="1"/>
  <c r="Z3527" i="1"/>
  <c r="Y3527" i="1"/>
  <c r="X3527" i="1"/>
  <c r="W3527" i="1"/>
  <c r="Z3526" i="1"/>
  <c r="Y3526" i="1"/>
  <c r="X3526" i="1"/>
  <c r="W3526" i="1"/>
  <c r="Z3525" i="1"/>
  <c r="Y3525" i="1"/>
  <c r="X3525" i="1"/>
  <c r="W3525" i="1"/>
  <c r="Z3524" i="1"/>
  <c r="Y3524" i="1"/>
  <c r="X3524" i="1"/>
  <c r="W3524" i="1"/>
  <c r="Z3523" i="1"/>
  <c r="Y3523" i="1"/>
  <c r="X3523" i="1"/>
  <c r="W3523" i="1"/>
  <c r="Z3522" i="1"/>
  <c r="Y3522" i="1"/>
  <c r="X3522" i="1"/>
  <c r="W3522" i="1"/>
  <c r="Z3521" i="1"/>
  <c r="Y3521" i="1"/>
  <c r="X3521" i="1"/>
  <c r="W3521" i="1"/>
  <c r="Z3520" i="1"/>
  <c r="Y3520" i="1"/>
  <c r="X3520" i="1"/>
  <c r="W3520" i="1"/>
  <c r="Z3519" i="1"/>
  <c r="Y3519" i="1"/>
  <c r="X3519" i="1"/>
  <c r="W3519" i="1"/>
  <c r="Z3518" i="1"/>
  <c r="Y3518" i="1"/>
  <c r="X3518" i="1"/>
  <c r="W3518" i="1"/>
  <c r="Z3517" i="1"/>
  <c r="Y3517" i="1"/>
  <c r="X3517" i="1"/>
  <c r="W3517" i="1"/>
  <c r="Z3516" i="1"/>
  <c r="Y3516" i="1"/>
  <c r="X3516" i="1"/>
  <c r="W3516" i="1"/>
  <c r="Z3515" i="1"/>
  <c r="Y3515" i="1"/>
  <c r="X3515" i="1"/>
  <c r="W3515" i="1"/>
  <c r="Z3514" i="1"/>
  <c r="Y3514" i="1"/>
  <c r="X3514" i="1"/>
  <c r="W3514" i="1"/>
  <c r="Z3513" i="1"/>
  <c r="Y3513" i="1"/>
  <c r="X3513" i="1"/>
  <c r="W3513" i="1"/>
  <c r="Z3512" i="1"/>
  <c r="Y3512" i="1"/>
  <c r="X3512" i="1"/>
  <c r="W3512" i="1"/>
  <c r="Z3511" i="1"/>
  <c r="Y3511" i="1"/>
  <c r="X3511" i="1"/>
  <c r="W3511" i="1"/>
  <c r="Z3510" i="1"/>
  <c r="Y3510" i="1"/>
  <c r="X3510" i="1"/>
  <c r="W3510" i="1"/>
  <c r="Z3509" i="1"/>
  <c r="Y3509" i="1"/>
  <c r="X3509" i="1"/>
  <c r="W3509" i="1"/>
  <c r="Z3508" i="1"/>
  <c r="Y3508" i="1"/>
  <c r="X3508" i="1"/>
  <c r="W3508" i="1"/>
  <c r="Z3507" i="1"/>
  <c r="Y3507" i="1"/>
  <c r="X3507" i="1"/>
  <c r="W3507" i="1"/>
  <c r="Z3506" i="1"/>
  <c r="Y3506" i="1"/>
  <c r="X3506" i="1"/>
  <c r="W3506" i="1"/>
  <c r="Z3505" i="1"/>
  <c r="Y3505" i="1"/>
  <c r="X3505" i="1"/>
  <c r="W3505" i="1"/>
  <c r="Z3504" i="1"/>
  <c r="Y3504" i="1"/>
  <c r="X3504" i="1"/>
  <c r="W3504" i="1"/>
  <c r="Z3503" i="1"/>
  <c r="Y3503" i="1"/>
  <c r="X3503" i="1"/>
  <c r="W3503" i="1"/>
  <c r="Z3502" i="1"/>
  <c r="Y3502" i="1"/>
  <c r="X3502" i="1"/>
  <c r="W3502" i="1"/>
  <c r="Z3501" i="1"/>
  <c r="Y3501" i="1"/>
  <c r="X3501" i="1"/>
  <c r="W3501" i="1"/>
  <c r="Z3500" i="1"/>
  <c r="Y3500" i="1"/>
  <c r="X3500" i="1"/>
  <c r="W3500" i="1"/>
  <c r="Z3499" i="1"/>
  <c r="Y3499" i="1"/>
  <c r="X3499" i="1"/>
  <c r="W3499" i="1"/>
  <c r="Z3498" i="1"/>
  <c r="Y3498" i="1"/>
  <c r="X3498" i="1"/>
  <c r="W3498" i="1"/>
  <c r="Z3497" i="1"/>
  <c r="Y3497" i="1"/>
  <c r="X3497" i="1"/>
  <c r="W3497" i="1"/>
  <c r="Z3496" i="1"/>
  <c r="Y3496" i="1"/>
  <c r="X3496" i="1"/>
  <c r="W3496" i="1"/>
  <c r="Z3495" i="1"/>
  <c r="Y3495" i="1"/>
  <c r="X3495" i="1"/>
  <c r="W3495" i="1"/>
  <c r="Z3494" i="1"/>
  <c r="Y3494" i="1"/>
  <c r="X3494" i="1"/>
  <c r="W3494" i="1"/>
  <c r="Z3493" i="1"/>
  <c r="Y3493" i="1"/>
  <c r="X3493" i="1"/>
  <c r="W3493" i="1"/>
  <c r="Z3492" i="1"/>
  <c r="Y3492" i="1"/>
  <c r="X3492" i="1"/>
  <c r="W3492" i="1"/>
  <c r="Z3491" i="1"/>
  <c r="Y3491" i="1"/>
  <c r="X3491" i="1"/>
  <c r="W3491" i="1"/>
  <c r="Z3490" i="1"/>
  <c r="Y3490" i="1"/>
  <c r="X3490" i="1"/>
  <c r="W3490" i="1"/>
  <c r="Z3489" i="1"/>
  <c r="Y3489" i="1"/>
  <c r="X3489" i="1"/>
  <c r="W3489" i="1"/>
  <c r="Z3488" i="1"/>
  <c r="Y3488" i="1"/>
  <c r="X3488" i="1"/>
  <c r="W3488" i="1"/>
  <c r="Z3487" i="1"/>
  <c r="Y3487" i="1"/>
  <c r="X3487" i="1"/>
  <c r="W3487" i="1"/>
  <c r="Z3486" i="1"/>
  <c r="Y3486" i="1"/>
  <c r="X3486" i="1"/>
  <c r="W3486" i="1"/>
  <c r="Z3485" i="1"/>
  <c r="Y3485" i="1"/>
  <c r="X3485" i="1"/>
  <c r="W3485" i="1"/>
  <c r="Z3484" i="1"/>
  <c r="Y3484" i="1"/>
  <c r="X3484" i="1"/>
  <c r="W3484" i="1"/>
  <c r="Z3483" i="1"/>
  <c r="Y3483" i="1"/>
  <c r="X3483" i="1"/>
  <c r="W3483" i="1"/>
  <c r="Z3482" i="1"/>
  <c r="Y3482" i="1"/>
  <c r="X3482" i="1"/>
  <c r="W3482" i="1"/>
  <c r="Z3481" i="1"/>
  <c r="Y3481" i="1"/>
  <c r="X3481" i="1"/>
  <c r="W3481" i="1"/>
  <c r="Z3480" i="1"/>
  <c r="Y3480" i="1"/>
  <c r="X3480" i="1"/>
  <c r="W3480" i="1"/>
  <c r="Z3479" i="1"/>
  <c r="Y3479" i="1"/>
  <c r="X3479" i="1"/>
  <c r="W3479" i="1"/>
  <c r="Z3478" i="1"/>
  <c r="Y3478" i="1"/>
  <c r="X3478" i="1"/>
  <c r="W3478" i="1"/>
  <c r="Z3477" i="1"/>
  <c r="Y3477" i="1"/>
  <c r="X3477" i="1"/>
  <c r="W3477" i="1"/>
  <c r="Z3476" i="1"/>
  <c r="Y3476" i="1"/>
  <c r="X3476" i="1"/>
  <c r="W3476" i="1"/>
  <c r="Z3475" i="1"/>
  <c r="Y3475" i="1"/>
  <c r="X3475" i="1"/>
  <c r="W3475" i="1"/>
  <c r="Z3474" i="1"/>
  <c r="Y3474" i="1"/>
  <c r="X3474" i="1"/>
  <c r="W3474" i="1"/>
  <c r="Z3473" i="1"/>
  <c r="Y3473" i="1"/>
  <c r="X3473" i="1"/>
  <c r="W3473" i="1"/>
  <c r="Z3472" i="1"/>
  <c r="Y3472" i="1"/>
  <c r="X3472" i="1"/>
  <c r="W3472" i="1"/>
  <c r="Z3471" i="1"/>
  <c r="Y3471" i="1"/>
  <c r="X3471" i="1"/>
  <c r="W3471" i="1"/>
  <c r="Z3470" i="1"/>
  <c r="Y3470" i="1"/>
  <c r="X3470" i="1"/>
  <c r="W3470" i="1"/>
  <c r="Z3469" i="1"/>
  <c r="Y3469" i="1"/>
  <c r="X3469" i="1"/>
  <c r="W3469" i="1"/>
  <c r="Z3468" i="1"/>
  <c r="Y3468" i="1"/>
  <c r="X3468" i="1"/>
  <c r="W3468" i="1"/>
  <c r="Z3467" i="1"/>
  <c r="Y3467" i="1"/>
  <c r="X3467" i="1"/>
  <c r="W3467" i="1"/>
  <c r="Z3466" i="1"/>
  <c r="Y3466" i="1"/>
  <c r="X3466" i="1"/>
  <c r="W3466" i="1"/>
  <c r="Z3465" i="1"/>
  <c r="Y3465" i="1"/>
  <c r="X3465" i="1"/>
  <c r="W3465" i="1"/>
  <c r="Z3464" i="1"/>
  <c r="Y3464" i="1"/>
  <c r="X3464" i="1"/>
  <c r="W3464" i="1"/>
  <c r="Z3463" i="1"/>
  <c r="Y3463" i="1"/>
  <c r="X3463" i="1"/>
  <c r="W3463" i="1"/>
  <c r="Z3462" i="1"/>
  <c r="Y3462" i="1"/>
  <c r="X3462" i="1"/>
  <c r="W3462" i="1"/>
  <c r="Z3461" i="1"/>
  <c r="Y3461" i="1"/>
  <c r="X3461" i="1"/>
  <c r="W3461" i="1"/>
  <c r="Z3460" i="1"/>
  <c r="Y3460" i="1"/>
  <c r="X3460" i="1"/>
  <c r="W3460" i="1"/>
  <c r="Z3459" i="1"/>
  <c r="Y3459" i="1"/>
  <c r="X3459" i="1"/>
  <c r="W3459" i="1"/>
  <c r="Z3458" i="1"/>
  <c r="Y3458" i="1"/>
  <c r="X3458" i="1"/>
  <c r="W3458" i="1"/>
  <c r="Z3457" i="1"/>
  <c r="Y3457" i="1"/>
  <c r="X3457" i="1"/>
  <c r="W3457" i="1"/>
  <c r="Z3456" i="1"/>
  <c r="Y3456" i="1"/>
  <c r="X3456" i="1"/>
  <c r="W3456" i="1"/>
  <c r="Z3455" i="1"/>
  <c r="Y3455" i="1"/>
  <c r="X3455" i="1"/>
  <c r="W3455" i="1"/>
  <c r="Z3454" i="1"/>
  <c r="Y3454" i="1"/>
  <c r="X3454" i="1"/>
  <c r="W3454" i="1"/>
  <c r="Z3453" i="1"/>
  <c r="Y3453" i="1"/>
  <c r="X3453" i="1"/>
  <c r="W3453" i="1"/>
  <c r="Z3452" i="1"/>
  <c r="Y3452" i="1"/>
  <c r="X3452" i="1"/>
  <c r="W3452" i="1"/>
  <c r="Z3451" i="1"/>
  <c r="Y3451" i="1"/>
  <c r="X3451" i="1"/>
  <c r="W3451" i="1"/>
  <c r="Z3450" i="1"/>
  <c r="Y3450" i="1"/>
  <c r="X3450" i="1"/>
  <c r="W3450" i="1"/>
  <c r="Z3449" i="1"/>
  <c r="Y3449" i="1"/>
  <c r="X3449" i="1"/>
  <c r="W3449" i="1"/>
  <c r="Z3448" i="1"/>
  <c r="Y3448" i="1"/>
  <c r="X3448" i="1"/>
  <c r="W3448" i="1"/>
  <c r="Z3447" i="1"/>
  <c r="Y3447" i="1"/>
  <c r="X3447" i="1"/>
  <c r="W3447" i="1"/>
  <c r="Z3446" i="1"/>
  <c r="Y3446" i="1"/>
  <c r="X3446" i="1"/>
  <c r="W3446" i="1"/>
  <c r="Z3445" i="1"/>
  <c r="Y3445" i="1"/>
  <c r="X3445" i="1"/>
  <c r="W3445" i="1"/>
  <c r="Z3444" i="1"/>
  <c r="Y3444" i="1"/>
  <c r="X3444" i="1"/>
  <c r="W3444" i="1"/>
  <c r="Z3443" i="1"/>
  <c r="Y3443" i="1"/>
  <c r="X3443" i="1"/>
  <c r="W3443" i="1"/>
  <c r="Z3442" i="1"/>
  <c r="Y3442" i="1"/>
  <c r="X3442" i="1"/>
  <c r="W3442" i="1"/>
  <c r="Z3441" i="1"/>
  <c r="Y3441" i="1"/>
  <c r="X3441" i="1"/>
  <c r="W3441" i="1"/>
  <c r="Z3440" i="1"/>
  <c r="Y3440" i="1"/>
  <c r="X3440" i="1"/>
  <c r="W3440" i="1"/>
  <c r="Z3439" i="1"/>
  <c r="Y3439" i="1"/>
  <c r="X3439" i="1"/>
  <c r="W3439" i="1"/>
  <c r="Z3438" i="1"/>
  <c r="Y3438" i="1"/>
  <c r="X3438" i="1"/>
  <c r="W3438" i="1"/>
  <c r="Z3437" i="1"/>
  <c r="Y3437" i="1"/>
  <c r="X3437" i="1"/>
  <c r="W3437" i="1"/>
  <c r="Z3436" i="1"/>
  <c r="Y3436" i="1"/>
  <c r="X3436" i="1"/>
  <c r="W3436" i="1"/>
  <c r="Z3435" i="1"/>
  <c r="Y3435" i="1"/>
  <c r="X3435" i="1"/>
  <c r="W3435" i="1"/>
  <c r="Z3434" i="1"/>
  <c r="Y3434" i="1"/>
  <c r="X3434" i="1"/>
  <c r="W3434" i="1"/>
  <c r="Z3433" i="1"/>
  <c r="Y3433" i="1"/>
  <c r="X3433" i="1"/>
  <c r="W3433" i="1"/>
  <c r="Z3432" i="1"/>
  <c r="Y3432" i="1"/>
  <c r="X3432" i="1"/>
  <c r="W3432" i="1"/>
  <c r="Z3431" i="1"/>
  <c r="Y3431" i="1"/>
  <c r="X3431" i="1"/>
  <c r="W3431" i="1"/>
  <c r="Z3430" i="1"/>
  <c r="Y3430" i="1"/>
  <c r="X3430" i="1"/>
  <c r="W3430" i="1"/>
  <c r="Z3429" i="1"/>
  <c r="Y3429" i="1"/>
  <c r="X3429" i="1"/>
  <c r="W3429" i="1"/>
  <c r="Z3428" i="1"/>
  <c r="Y3428" i="1"/>
  <c r="X3428" i="1"/>
  <c r="W3428" i="1"/>
  <c r="Z3427" i="1"/>
  <c r="Y3427" i="1"/>
  <c r="X3427" i="1"/>
  <c r="W3427" i="1"/>
  <c r="Z3426" i="1"/>
  <c r="Y3426" i="1"/>
  <c r="X3426" i="1"/>
  <c r="W3426" i="1"/>
  <c r="Z3425" i="1"/>
  <c r="Y3425" i="1"/>
  <c r="X3425" i="1"/>
  <c r="W3425" i="1"/>
  <c r="Z3424" i="1"/>
  <c r="Y3424" i="1"/>
  <c r="X3424" i="1"/>
  <c r="W3424" i="1"/>
  <c r="Z3423" i="1"/>
  <c r="Y3423" i="1"/>
  <c r="X3423" i="1"/>
  <c r="W3423" i="1"/>
  <c r="Z3422" i="1"/>
  <c r="Y3422" i="1"/>
  <c r="X3422" i="1"/>
  <c r="W3422" i="1"/>
  <c r="Z3421" i="1"/>
  <c r="Y3421" i="1"/>
  <c r="X3421" i="1"/>
  <c r="W3421" i="1"/>
  <c r="Z3420" i="1"/>
  <c r="Y3420" i="1"/>
  <c r="X3420" i="1"/>
  <c r="W3420" i="1"/>
  <c r="Z3419" i="1"/>
  <c r="Y3419" i="1"/>
  <c r="X3419" i="1"/>
  <c r="W3419" i="1"/>
  <c r="Z3418" i="1"/>
  <c r="Y3418" i="1"/>
  <c r="X3418" i="1"/>
  <c r="W3418" i="1"/>
  <c r="Z3417" i="1"/>
  <c r="Y3417" i="1"/>
  <c r="X3417" i="1"/>
  <c r="W3417" i="1"/>
  <c r="Z3416" i="1"/>
  <c r="Y3416" i="1"/>
  <c r="X3416" i="1"/>
  <c r="W3416" i="1"/>
  <c r="Z3415" i="1"/>
  <c r="Y3415" i="1"/>
  <c r="X3415" i="1"/>
  <c r="W3415" i="1"/>
  <c r="Z3414" i="1"/>
  <c r="Y3414" i="1"/>
  <c r="X3414" i="1"/>
  <c r="W3414" i="1"/>
  <c r="Z3413" i="1"/>
  <c r="Y3413" i="1"/>
  <c r="X3413" i="1"/>
  <c r="W3413" i="1"/>
  <c r="Z3412" i="1"/>
  <c r="Y3412" i="1"/>
  <c r="X3412" i="1"/>
  <c r="W3412" i="1"/>
  <c r="Z3411" i="1"/>
  <c r="Y3411" i="1"/>
  <c r="X3411" i="1"/>
  <c r="W3411" i="1"/>
  <c r="Z3410" i="1"/>
  <c r="Y3410" i="1"/>
  <c r="X3410" i="1"/>
  <c r="W3410" i="1"/>
  <c r="Z3409" i="1"/>
  <c r="Y3409" i="1"/>
  <c r="X3409" i="1"/>
  <c r="W3409" i="1"/>
  <c r="Z3408" i="1"/>
  <c r="Y3408" i="1"/>
  <c r="X3408" i="1"/>
  <c r="W3408" i="1"/>
  <c r="Z3407" i="1"/>
  <c r="Y3407" i="1"/>
  <c r="X3407" i="1"/>
  <c r="W3407" i="1"/>
  <c r="Z3406" i="1"/>
  <c r="Y3406" i="1"/>
  <c r="X3406" i="1"/>
  <c r="W3406" i="1"/>
  <c r="Z3405" i="1"/>
  <c r="Y3405" i="1"/>
  <c r="X3405" i="1"/>
  <c r="W3405" i="1"/>
  <c r="Z3404" i="1"/>
  <c r="Y3404" i="1"/>
  <c r="X3404" i="1"/>
  <c r="W3404" i="1"/>
  <c r="Z3403" i="1"/>
  <c r="Y3403" i="1"/>
  <c r="X3403" i="1"/>
  <c r="W3403" i="1"/>
  <c r="Z3402" i="1"/>
  <c r="Y3402" i="1"/>
  <c r="X3402" i="1"/>
  <c r="W3402" i="1"/>
  <c r="Z3401" i="1"/>
  <c r="Y3401" i="1"/>
  <c r="X3401" i="1"/>
  <c r="W3401" i="1"/>
  <c r="Z3400" i="1"/>
  <c r="Y3400" i="1"/>
  <c r="X3400" i="1"/>
  <c r="W3400" i="1"/>
  <c r="Z3399" i="1"/>
  <c r="Y3399" i="1"/>
  <c r="X3399" i="1"/>
  <c r="W3399" i="1"/>
  <c r="Z3398" i="1"/>
  <c r="Y3398" i="1"/>
  <c r="X3398" i="1"/>
  <c r="W3398" i="1"/>
  <c r="Z3397" i="1"/>
  <c r="Y3397" i="1"/>
  <c r="X3397" i="1"/>
  <c r="W3397" i="1"/>
  <c r="Z3396" i="1"/>
  <c r="Y3396" i="1"/>
  <c r="X3396" i="1"/>
  <c r="W3396" i="1"/>
  <c r="Z3395" i="1"/>
  <c r="Y3395" i="1"/>
  <c r="X3395" i="1"/>
  <c r="W3395" i="1"/>
  <c r="Z3394" i="1"/>
  <c r="Y3394" i="1"/>
  <c r="X3394" i="1"/>
  <c r="W3394" i="1"/>
  <c r="Z3393" i="1"/>
  <c r="Y3393" i="1"/>
  <c r="X3393" i="1"/>
  <c r="W3393" i="1"/>
  <c r="Z3392" i="1"/>
  <c r="Y3392" i="1"/>
  <c r="X3392" i="1"/>
  <c r="W3392" i="1"/>
  <c r="Z3391" i="1"/>
  <c r="Y3391" i="1"/>
  <c r="X3391" i="1"/>
  <c r="W3391" i="1"/>
  <c r="Z3390" i="1"/>
  <c r="Y3390" i="1"/>
  <c r="X3390" i="1"/>
  <c r="W3390" i="1"/>
  <c r="Z3389" i="1"/>
  <c r="Y3389" i="1"/>
  <c r="X3389" i="1"/>
  <c r="W3389" i="1"/>
  <c r="Z3388" i="1"/>
  <c r="Y3388" i="1"/>
  <c r="X3388" i="1"/>
  <c r="W3388" i="1"/>
  <c r="Z3387" i="1"/>
  <c r="Y3387" i="1"/>
  <c r="X3387" i="1"/>
  <c r="W3387" i="1"/>
  <c r="Z3386" i="1"/>
  <c r="Y3386" i="1"/>
  <c r="X3386" i="1"/>
  <c r="W3386" i="1"/>
  <c r="Z3385" i="1"/>
  <c r="Y3385" i="1"/>
  <c r="X3385" i="1"/>
  <c r="W3385" i="1"/>
  <c r="Z3384" i="1"/>
  <c r="Y3384" i="1"/>
  <c r="X3384" i="1"/>
  <c r="W3384" i="1"/>
  <c r="Z3383" i="1"/>
  <c r="Y3383" i="1"/>
  <c r="X3383" i="1"/>
  <c r="W3383" i="1"/>
  <c r="Z3382" i="1"/>
  <c r="Y3382" i="1"/>
  <c r="X3382" i="1"/>
  <c r="W3382" i="1"/>
  <c r="Z3381" i="1"/>
  <c r="Y3381" i="1"/>
  <c r="X3381" i="1"/>
  <c r="W3381" i="1"/>
  <c r="Z3380" i="1"/>
  <c r="Y3380" i="1"/>
  <c r="X3380" i="1"/>
  <c r="W3380" i="1"/>
  <c r="Z3379" i="1"/>
  <c r="Y3379" i="1"/>
  <c r="X3379" i="1"/>
  <c r="W3379" i="1"/>
  <c r="Z3378" i="1"/>
  <c r="Y3378" i="1"/>
  <c r="X3378" i="1"/>
  <c r="W3378" i="1"/>
  <c r="Z3377" i="1"/>
  <c r="Y3377" i="1"/>
  <c r="X3377" i="1"/>
  <c r="W3377" i="1"/>
  <c r="Z3376" i="1"/>
  <c r="Y3376" i="1"/>
  <c r="X3376" i="1"/>
  <c r="W3376" i="1"/>
  <c r="Z3375" i="1"/>
  <c r="Y3375" i="1"/>
  <c r="X3375" i="1"/>
  <c r="W3375" i="1"/>
  <c r="Z3374" i="1"/>
  <c r="Y3374" i="1"/>
  <c r="X3374" i="1"/>
  <c r="W3374" i="1"/>
  <c r="Z3373" i="1"/>
  <c r="Y3373" i="1"/>
  <c r="X3373" i="1"/>
  <c r="W3373" i="1"/>
  <c r="Z3372" i="1"/>
  <c r="Y3372" i="1"/>
  <c r="X3372" i="1"/>
  <c r="W3372" i="1"/>
  <c r="Z3371" i="1"/>
  <c r="Y3371" i="1"/>
  <c r="X3371" i="1"/>
  <c r="W3371" i="1"/>
  <c r="Z3370" i="1"/>
  <c r="Y3370" i="1"/>
  <c r="X3370" i="1"/>
  <c r="W3370" i="1"/>
  <c r="Z3369" i="1"/>
  <c r="Y3369" i="1"/>
  <c r="X3369" i="1"/>
  <c r="W3369" i="1"/>
  <c r="Z3368" i="1"/>
  <c r="Y3368" i="1"/>
  <c r="X3368" i="1"/>
  <c r="W3368" i="1"/>
  <c r="Z3367" i="1"/>
  <c r="Y3367" i="1"/>
  <c r="X3367" i="1"/>
  <c r="W3367" i="1"/>
  <c r="Z3366" i="1"/>
  <c r="Y3366" i="1"/>
  <c r="X3366" i="1"/>
  <c r="W3366" i="1"/>
  <c r="Z3365" i="1"/>
  <c r="Y3365" i="1"/>
  <c r="X3365" i="1"/>
  <c r="W3365" i="1"/>
  <c r="Z3364" i="1"/>
  <c r="Y3364" i="1"/>
  <c r="X3364" i="1"/>
  <c r="W3364" i="1"/>
  <c r="Z3363" i="1"/>
  <c r="Y3363" i="1"/>
  <c r="X3363" i="1"/>
  <c r="W3363" i="1"/>
  <c r="Z3362" i="1"/>
  <c r="Y3362" i="1"/>
  <c r="X3362" i="1"/>
  <c r="W3362" i="1"/>
  <c r="Z3361" i="1"/>
  <c r="Y3361" i="1"/>
  <c r="X3361" i="1"/>
  <c r="W3361" i="1"/>
  <c r="Z3360" i="1"/>
  <c r="Y3360" i="1"/>
  <c r="X3360" i="1"/>
  <c r="W3360" i="1"/>
  <c r="Z3359" i="1"/>
  <c r="Y3359" i="1"/>
  <c r="X3359" i="1"/>
  <c r="W3359" i="1"/>
  <c r="Z3358" i="1"/>
  <c r="Y3358" i="1"/>
  <c r="X3358" i="1"/>
  <c r="W3358" i="1"/>
  <c r="Z3357" i="1"/>
  <c r="Y3357" i="1"/>
  <c r="X3357" i="1"/>
  <c r="W3357" i="1"/>
  <c r="Z3356" i="1"/>
  <c r="Y3356" i="1"/>
  <c r="X3356" i="1"/>
  <c r="W3356" i="1"/>
  <c r="Z3355" i="1"/>
  <c r="Y3355" i="1"/>
  <c r="X3355" i="1"/>
  <c r="W3355" i="1"/>
  <c r="Z3354" i="1"/>
  <c r="Y3354" i="1"/>
  <c r="X3354" i="1"/>
  <c r="W3354" i="1"/>
  <c r="Z3353" i="1"/>
  <c r="Y3353" i="1"/>
  <c r="X3353" i="1"/>
  <c r="W3353" i="1"/>
  <c r="Z3352" i="1"/>
  <c r="Y3352" i="1"/>
  <c r="X3352" i="1"/>
  <c r="W3352" i="1"/>
  <c r="Z3351" i="1"/>
  <c r="Y3351" i="1"/>
  <c r="X3351" i="1"/>
  <c r="W3351" i="1"/>
  <c r="Z3350" i="1"/>
  <c r="Y3350" i="1"/>
  <c r="X3350" i="1"/>
  <c r="W3350" i="1"/>
  <c r="Z3349" i="1"/>
  <c r="Y3349" i="1"/>
  <c r="X3349" i="1"/>
  <c r="W3349" i="1"/>
  <c r="Z3348" i="1"/>
  <c r="Y3348" i="1"/>
  <c r="X3348" i="1"/>
  <c r="W3348" i="1"/>
  <c r="Z3347" i="1"/>
  <c r="Y3347" i="1"/>
  <c r="X3347" i="1"/>
  <c r="W3347" i="1"/>
  <c r="Z3346" i="1"/>
  <c r="Y3346" i="1"/>
  <c r="X3346" i="1"/>
  <c r="W3346" i="1"/>
  <c r="Z3345" i="1"/>
  <c r="Y3345" i="1"/>
  <c r="X3345" i="1"/>
  <c r="W3345" i="1"/>
  <c r="Z3344" i="1"/>
  <c r="Y3344" i="1"/>
  <c r="X3344" i="1"/>
  <c r="W3344" i="1"/>
  <c r="Z3343" i="1"/>
  <c r="Y3343" i="1"/>
  <c r="X3343" i="1"/>
  <c r="W3343" i="1"/>
  <c r="Z3342" i="1"/>
  <c r="Y3342" i="1"/>
  <c r="X3342" i="1"/>
  <c r="W3342" i="1"/>
  <c r="Z3341" i="1"/>
  <c r="Y3341" i="1"/>
  <c r="X3341" i="1"/>
  <c r="W3341" i="1"/>
  <c r="Z3340" i="1"/>
  <c r="Y3340" i="1"/>
  <c r="X3340" i="1"/>
  <c r="W3340" i="1"/>
  <c r="Z3339" i="1"/>
  <c r="Y3339" i="1"/>
  <c r="X3339" i="1"/>
  <c r="W3339" i="1"/>
  <c r="Z3338" i="1"/>
  <c r="Y3338" i="1"/>
  <c r="X3338" i="1"/>
  <c r="W3338" i="1"/>
  <c r="Z3337" i="1"/>
  <c r="Y3337" i="1"/>
  <c r="X3337" i="1"/>
  <c r="W3337" i="1"/>
  <c r="Z3336" i="1"/>
  <c r="Y3336" i="1"/>
  <c r="X3336" i="1"/>
  <c r="W3336" i="1"/>
  <c r="Z3335" i="1"/>
  <c r="Y3335" i="1"/>
  <c r="X3335" i="1"/>
  <c r="W3335" i="1"/>
  <c r="Z3334" i="1"/>
  <c r="Y3334" i="1"/>
  <c r="X3334" i="1"/>
  <c r="W3334" i="1"/>
  <c r="Z3333" i="1"/>
  <c r="Y3333" i="1"/>
  <c r="X3333" i="1"/>
  <c r="W3333" i="1"/>
  <c r="Z3332" i="1"/>
  <c r="Y3332" i="1"/>
  <c r="X3332" i="1"/>
  <c r="W3332" i="1"/>
  <c r="Z3331" i="1"/>
  <c r="Y3331" i="1"/>
  <c r="X3331" i="1"/>
  <c r="W3331" i="1"/>
  <c r="Z3330" i="1"/>
  <c r="Y3330" i="1"/>
  <c r="X3330" i="1"/>
  <c r="W3330" i="1"/>
  <c r="Z3329" i="1"/>
  <c r="Y3329" i="1"/>
  <c r="X3329" i="1"/>
  <c r="W3329" i="1"/>
  <c r="Z3328" i="1"/>
  <c r="Y3328" i="1"/>
  <c r="X3328" i="1"/>
  <c r="W3328" i="1"/>
  <c r="Z3327" i="1"/>
  <c r="Y3327" i="1"/>
  <c r="X3327" i="1"/>
  <c r="W3327" i="1"/>
  <c r="Z3326" i="1"/>
  <c r="Y3326" i="1"/>
  <c r="X3326" i="1"/>
  <c r="W3326" i="1"/>
  <c r="Z3325" i="1"/>
  <c r="Y3325" i="1"/>
  <c r="X3325" i="1"/>
  <c r="W3325" i="1"/>
  <c r="Z3324" i="1"/>
  <c r="Y3324" i="1"/>
  <c r="X3324" i="1"/>
  <c r="W3324" i="1"/>
  <c r="Z3323" i="1"/>
  <c r="Y3323" i="1"/>
  <c r="X3323" i="1"/>
  <c r="W3323" i="1"/>
  <c r="Z3322" i="1"/>
  <c r="Y3322" i="1"/>
  <c r="X3322" i="1"/>
  <c r="W3322" i="1"/>
  <c r="Z3321" i="1"/>
  <c r="Y3321" i="1"/>
  <c r="X3321" i="1"/>
  <c r="W3321" i="1"/>
  <c r="Z3320" i="1"/>
  <c r="Y3320" i="1"/>
  <c r="X3320" i="1"/>
  <c r="W3320" i="1"/>
  <c r="Z3319" i="1"/>
  <c r="Y3319" i="1"/>
  <c r="X3319" i="1"/>
  <c r="W3319" i="1"/>
  <c r="Z3318" i="1"/>
  <c r="Y3318" i="1"/>
  <c r="X3318" i="1"/>
  <c r="W3318" i="1"/>
  <c r="Z3317" i="1"/>
  <c r="Y3317" i="1"/>
  <c r="X3317" i="1"/>
  <c r="W3317" i="1"/>
  <c r="Z3316" i="1"/>
  <c r="Y3316" i="1"/>
  <c r="X3316" i="1"/>
  <c r="W3316" i="1"/>
  <c r="Z3315" i="1"/>
  <c r="Y3315" i="1"/>
  <c r="X3315" i="1"/>
  <c r="W3315" i="1"/>
  <c r="Z3314" i="1"/>
  <c r="Y3314" i="1"/>
  <c r="X3314" i="1"/>
  <c r="W3314" i="1"/>
  <c r="Z3313" i="1"/>
  <c r="Y3313" i="1"/>
  <c r="X3313" i="1"/>
  <c r="W3313" i="1"/>
  <c r="Z3312" i="1"/>
  <c r="Y3312" i="1"/>
  <c r="X3312" i="1"/>
  <c r="W3312" i="1"/>
  <c r="Z3311" i="1"/>
  <c r="Y3311" i="1"/>
  <c r="X3311" i="1"/>
  <c r="W3311" i="1"/>
  <c r="Z3310" i="1"/>
  <c r="Y3310" i="1"/>
  <c r="X3310" i="1"/>
  <c r="W3310" i="1"/>
  <c r="Z3309" i="1"/>
  <c r="Y3309" i="1"/>
  <c r="X3309" i="1"/>
  <c r="W3309" i="1"/>
  <c r="Z3308" i="1"/>
  <c r="Y3308" i="1"/>
  <c r="X3308" i="1"/>
  <c r="W3308" i="1"/>
  <c r="Z3307" i="1"/>
  <c r="Y3307" i="1"/>
  <c r="X3307" i="1"/>
  <c r="W3307" i="1"/>
  <c r="Z3306" i="1"/>
  <c r="Y3306" i="1"/>
  <c r="X3306" i="1"/>
  <c r="W3306" i="1"/>
  <c r="Z3305" i="1"/>
  <c r="Y3305" i="1"/>
  <c r="X3305" i="1"/>
  <c r="W3305" i="1"/>
  <c r="Z3304" i="1"/>
  <c r="Y3304" i="1"/>
  <c r="X3304" i="1"/>
  <c r="W3304" i="1"/>
  <c r="Z3303" i="1"/>
  <c r="Y3303" i="1"/>
  <c r="X3303" i="1"/>
  <c r="W3303" i="1"/>
  <c r="Z3302" i="1"/>
  <c r="Y3302" i="1"/>
  <c r="X3302" i="1"/>
  <c r="W3302" i="1"/>
  <c r="Z3301" i="1"/>
  <c r="Y3301" i="1"/>
  <c r="X3301" i="1"/>
  <c r="W3301" i="1"/>
  <c r="Z3300" i="1"/>
  <c r="Y3300" i="1"/>
  <c r="X3300" i="1"/>
  <c r="W3300" i="1"/>
  <c r="Z3299" i="1"/>
  <c r="Y3299" i="1"/>
  <c r="X3299" i="1"/>
  <c r="W3299" i="1"/>
  <c r="Z3298" i="1"/>
  <c r="Y3298" i="1"/>
  <c r="X3298" i="1"/>
  <c r="W3298" i="1"/>
  <c r="Z3297" i="1"/>
  <c r="Y3297" i="1"/>
  <c r="X3297" i="1"/>
  <c r="W3297" i="1"/>
  <c r="Z3296" i="1"/>
  <c r="Y3296" i="1"/>
  <c r="X3296" i="1"/>
  <c r="W3296" i="1"/>
  <c r="Z3295" i="1"/>
  <c r="Y3295" i="1"/>
  <c r="X3295" i="1"/>
  <c r="W3295" i="1"/>
  <c r="Z3294" i="1"/>
  <c r="Y3294" i="1"/>
  <c r="X3294" i="1"/>
  <c r="W3294" i="1"/>
  <c r="Z3293" i="1"/>
  <c r="Y3293" i="1"/>
  <c r="X3293" i="1"/>
  <c r="W3293" i="1"/>
  <c r="Z3292" i="1"/>
  <c r="Y3292" i="1"/>
  <c r="X3292" i="1"/>
  <c r="W3292" i="1"/>
  <c r="Z3291" i="1"/>
  <c r="Y3291" i="1"/>
  <c r="X3291" i="1"/>
  <c r="W3291" i="1"/>
  <c r="Z3290" i="1"/>
  <c r="Y3290" i="1"/>
  <c r="X3290" i="1"/>
  <c r="W3290" i="1"/>
  <c r="Z3289" i="1"/>
  <c r="Y3289" i="1"/>
  <c r="X3289" i="1"/>
  <c r="W3289" i="1"/>
  <c r="Z3288" i="1"/>
  <c r="Y3288" i="1"/>
  <c r="X3288" i="1"/>
  <c r="W3288" i="1"/>
  <c r="Z3287" i="1"/>
  <c r="Y3287" i="1"/>
  <c r="X3287" i="1"/>
  <c r="W3287" i="1"/>
  <c r="Z3286" i="1"/>
  <c r="Y3286" i="1"/>
  <c r="X3286" i="1"/>
  <c r="W3286" i="1"/>
  <c r="Z3285" i="1"/>
  <c r="Y3285" i="1"/>
  <c r="X3285" i="1"/>
  <c r="W3285" i="1"/>
  <c r="Z3284" i="1"/>
  <c r="Y3284" i="1"/>
  <c r="X3284" i="1"/>
  <c r="W3284" i="1"/>
  <c r="Z3283" i="1"/>
  <c r="Y3283" i="1"/>
  <c r="X3283" i="1"/>
  <c r="W3283" i="1"/>
  <c r="Z3282" i="1"/>
  <c r="Y3282" i="1"/>
  <c r="X3282" i="1"/>
  <c r="W3282" i="1"/>
  <c r="Z3281" i="1"/>
  <c r="Y3281" i="1"/>
  <c r="X3281" i="1"/>
  <c r="W3281" i="1"/>
  <c r="Z3280" i="1"/>
  <c r="Y3280" i="1"/>
  <c r="X3280" i="1"/>
  <c r="W3280" i="1"/>
  <c r="Z3279" i="1"/>
  <c r="Y3279" i="1"/>
  <c r="X3279" i="1"/>
  <c r="W3279" i="1"/>
  <c r="Z3278" i="1"/>
  <c r="Y3278" i="1"/>
  <c r="X3278" i="1"/>
  <c r="W3278" i="1"/>
  <c r="Z3277" i="1"/>
  <c r="Y3277" i="1"/>
  <c r="X3277" i="1"/>
  <c r="W3277" i="1"/>
  <c r="Z3276" i="1"/>
  <c r="Y3276" i="1"/>
  <c r="X3276" i="1"/>
  <c r="W3276" i="1"/>
  <c r="Z3275" i="1"/>
  <c r="Y3275" i="1"/>
  <c r="X3275" i="1"/>
  <c r="W3275" i="1"/>
  <c r="Z3274" i="1"/>
  <c r="Y3274" i="1"/>
  <c r="X3274" i="1"/>
  <c r="W3274" i="1"/>
  <c r="Z3273" i="1"/>
  <c r="Y3273" i="1"/>
  <c r="X3273" i="1"/>
  <c r="W3273" i="1"/>
  <c r="Z3272" i="1"/>
  <c r="Y3272" i="1"/>
  <c r="X3272" i="1"/>
  <c r="W3272" i="1"/>
  <c r="Z3271" i="1"/>
  <c r="Y3271" i="1"/>
  <c r="X3271" i="1"/>
  <c r="W3271" i="1"/>
  <c r="Z3270" i="1"/>
  <c r="Y3270" i="1"/>
  <c r="X3270" i="1"/>
  <c r="W3270" i="1"/>
  <c r="Z3269" i="1"/>
  <c r="Y3269" i="1"/>
  <c r="X3269" i="1"/>
  <c r="W3269" i="1"/>
  <c r="Z3268" i="1"/>
  <c r="Y3268" i="1"/>
  <c r="X3268" i="1"/>
  <c r="W3268" i="1"/>
  <c r="Z3267" i="1"/>
  <c r="Y3267" i="1"/>
  <c r="X3267" i="1"/>
  <c r="W3267" i="1"/>
  <c r="Z3266" i="1"/>
  <c r="Y3266" i="1"/>
  <c r="X3266" i="1"/>
  <c r="W3266" i="1"/>
  <c r="Z3265" i="1"/>
  <c r="Y3265" i="1"/>
  <c r="X3265" i="1"/>
  <c r="W3265" i="1"/>
  <c r="Z3264" i="1"/>
  <c r="Y3264" i="1"/>
  <c r="X3264" i="1"/>
  <c r="W3264" i="1"/>
  <c r="Z3263" i="1"/>
  <c r="Y3263" i="1"/>
  <c r="X3263" i="1"/>
  <c r="W3263" i="1"/>
  <c r="Z3262" i="1"/>
  <c r="Y3262" i="1"/>
  <c r="X3262" i="1"/>
  <c r="W3262" i="1"/>
  <c r="Z3261" i="1"/>
  <c r="Y3261" i="1"/>
  <c r="X3261" i="1"/>
  <c r="W3261" i="1"/>
  <c r="Z3260" i="1"/>
  <c r="Y3260" i="1"/>
  <c r="X3260" i="1"/>
  <c r="W3260" i="1"/>
  <c r="Z3259" i="1"/>
  <c r="Y3259" i="1"/>
  <c r="X3259" i="1"/>
  <c r="W3259" i="1"/>
  <c r="Z3258" i="1"/>
  <c r="Y3258" i="1"/>
  <c r="X3258" i="1"/>
  <c r="W3258" i="1"/>
  <c r="Z3257" i="1"/>
  <c r="Y3257" i="1"/>
  <c r="X3257" i="1"/>
  <c r="W3257" i="1"/>
  <c r="Z3256" i="1"/>
  <c r="Y3256" i="1"/>
  <c r="X3256" i="1"/>
  <c r="W3256" i="1"/>
  <c r="Z3255" i="1"/>
  <c r="Y3255" i="1"/>
  <c r="X3255" i="1"/>
  <c r="W3255" i="1"/>
  <c r="Z3254" i="1"/>
  <c r="Y3254" i="1"/>
  <c r="X3254" i="1"/>
  <c r="W3254" i="1"/>
  <c r="Z3253" i="1"/>
  <c r="Y3253" i="1"/>
  <c r="X3253" i="1"/>
  <c r="W3253" i="1"/>
  <c r="Z3252" i="1"/>
  <c r="Y3252" i="1"/>
  <c r="X3252" i="1"/>
  <c r="W3252" i="1"/>
  <c r="Z3251" i="1"/>
  <c r="Y3251" i="1"/>
  <c r="X3251" i="1"/>
  <c r="W3251" i="1"/>
  <c r="Z3250" i="1"/>
  <c r="Y3250" i="1"/>
  <c r="X3250" i="1"/>
  <c r="W3250" i="1"/>
  <c r="Z3249" i="1"/>
  <c r="Y3249" i="1"/>
  <c r="X3249" i="1"/>
  <c r="W3249" i="1"/>
  <c r="Z3248" i="1"/>
  <c r="Y3248" i="1"/>
  <c r="X3248" i="1"/>
  <c r="W3248" i="1"/>
  <c r="Z3247" i="1"/>
  <c r="Y3247" i="1"/>
  <c r="X3247" i="1"/>
  <c r="W3247" i="1"/>
  <c r="Z3246" i="1"/>
  <c r="Y3246" i="1"/>
  <c r="X3246" i="1"/>
  <c r="W3246" i="1"/>
  <c r="Z3245" i="1"/>
  <c r="Y3245" i="1"/>
  <c r="X3245" i="1"/>
  <c r="W3245" i="1"/>
  <c r="Z3244" i="1"/>
  <c r="Y3244" i="1"/>
  <c r="X3244" i="1"/>
  <c r="W3244" i="1"/>
  <c r="Z3243" i="1"/>
  <c r="Y3243" i="1"/>
  <c r="X3243" i="1"/>
  <c r="W3243" i="1"/>
  <c r="Z3242" i="1"/>
  <c r="Y3242" i="1"/>
  <c r="X3242" i="1"/>
  <c r="W3242" i="1"/>
  <c r="Z3241" i="1"/>
  <c r="Y3241" i="1"/>
  <c r="X3241" i="1"/>
  <c r="W3241" i="1"/>
  <c r="Z3240" i="1"/>
  <c r="Y3240" i="1"/>
  <c r="X3240" i="1"/>
  <c r="W3240" i="1"/>
  <c r="Z3239" i="1"/>
  <c r="Y3239" i="1"/>
  <c r="X3239" i="1"/>
  <c r="W3239" i="1"/>
  <c r="Z3238" i="1"/>
  <c r="Y3238" i="1"/>
  <c r="X3238" i="1"/>
  <c r="W3238" i="1"/>
  <c r="Z3237" i="1"/>
  <c r="Y3237" i="1"/>
  <c r="X3237" i="1"/>
  <c r="W3237" i="1"/>
  <c r="Z3236" i="1"/>
  <c r="Y3236" i="1"/>
  <c r="X3236" i="1"/>
  <c r="W3236" i="1"/>
  <c r="Z3235" i="1"/>
  <c r="Y3235" i="1"/>
  <c r="X3235" i="1"/>
  <c r="W3235" i="1"/>
  <c r="Z3234" i="1"/>
  <c r="Y3234" i="1"/>
  <c r="X3234" i="1"/>
  <c r="W3234" i="1"/>
  <c r="Z3233" i="1"/>
  <c r="Y3233" i="1"/>
  <c r="X3233" i="1"/>
  <c r="W3233" i="1"/>
  <c r="Z3232" i="1"/>
  <c r="Y3232" i="1"/>
  <c r="X3232" i="1"/>
  <c r="W3232" i="1"/>
  <c r="Z3231" i="1"/>
  <c r="Y3231" i="1"/>
  <c r="X3231" i="1"/>
  <c r="W3231" i="1"/>
  <c r="Z3230" i="1"/>
  <c r="Y3230" i="1"/>
  <c r="X3230" i="1"/>
  <c r="W3230" i="1"/>
  <c r="Z3229" i="1"/>
  <c r="Y3229" i="1"/>
  <c r="X3229" i="1"/>
  <c r="W3229" i="1"/>
  <c r="Z3228" i="1"/>
  <c r="Y3228" i="1"/>
  <c r="X3228" i="1"/>
  <c r="W3228" i="1"/>
  <c r="Z3227" i="1"/>
  <c r="Y3227" i="1"/>
  <c r="X3227" i="1"/>
  <c r="W3227" i="1"/>
  <c r="Z3226" i="1"/>
  <c r="Y3226" i="1"/>
  <c r="X3226" i="1"/>
  <c r="W3226" i="1"/>
  <c r="Z3225" i="1"/>
  <c r="Y3225" i="1"/>
  <c r="X3225" i="1"/>
  <c r="W3225" i="1"/>
  <c r="Z3224" i="1"/>
  <c r="Y3224" i="1"/>
  <c r="X3224" i="1"/>
  <c r="W3224" i="1"/>
  <c r="Z3223" i="1"/>
  <c r="Y3223" i="1"/>
  <c r="X3223" i="1"/>
  <c r="W3223" i="1"/>
  <c r="Z3222" i="1"/>
  <c r="Y3222" i="1"/>
  <c r="X3222" i="1"/>
  <c r="W3222" i="1"/>
  <c r="Z3221" i="1"/>
  <c r="Y3221" i="1"/>
  <c r="X3221" i="1"/>
  <c r="W3221" i="1"/>
  <c r="Z3220" i="1"/>
  <c r="Y3220" i="1"/>
  <c r="X3220" i="1"/>
  <c r="W3220" i="1"/>
  <c r="Z3219" i="1"/>
  <c r="Y3219" i="1"/>
  <c r="X3219" i="1"/>
  <c r="W3219" i="1"/>
  <c r="Z3218" i="1"/>
  <c r="Y3218" i="1"/>
  <c r="X3218" i="1"/>
  <c r="W3218" i="1"/>
  <c r="Z3217" i="1"/>
  <c r="Y3217" i="1"/>
  <c r="X3217" i="1"/>
  <c r="W3217" i="1"/>
  <c r="Z3216" i="1"/>
  <c r="Y3216" i="1"/>
  <c r="X3216" i="1"/>
  <c r="W3216" i="1"/>
  <c r="Z3215" i="1"/>
  <c r="Y3215" i="1"/>
  <c r="X3215" i="1"/>
  <c r="W3215" i="1"/>
  <c r="Z3214" i="1"/>
  <c r="Y3214" i="1"/>
  <c r="X3214" i="1"/>
  <c r="W3214" i="1"/>
  <c r="Z3213" i="1"/>
  <c r="Y3213" i="1"/>
  <c r="X3213" i="1"/>
  <c r="W3213" i="1"/>
  <c r="Z3212" i="1"/>
  <c r="Y3212" i="1"/>
  <c r="X3212" i="1"/>
  <c r="W3212" i="1"/>
  <c r="Z3211" i="1"/>
  <c r="Y3211" i="1"/>
  <c r="X3211" i="1"/>
  <c r="W3211" i="1"/>
  <c r="Z3210" i="1"/>
  <c r="Y3210" i="1"/>
  <c r="X3210" i="1"/>
  <c r="W3210" i="1"/>
  <c r="Z3209" i="1"/>
  <c r="Y3209" i="1"/>
  <c r="X3209" i="1"/>
  <c r="W3209" i="1"/>
  <c r="Z3208" i="1"/>
  <c r="Y3208" i="1"/>
  <c r="X3208" i="1"/>
  <c r="W3208" i="1"/>
  <c r="Z3207" i="1"/>
  <c r="Y3207" i="1"/>
  <c r="X3207" i="1"/>
  <c r="W3207" i="1"/>
  <c r="Z3206" i="1"/>
  <c r="Y3206" i="1"/>
  <c r="X3206" i="1"/>
  <c r="W3206" i="1"/>
  <c r="Z3205" i="1"/>
  <c r="Y3205" i="1"/>
  <c r="X3205" i="1"/>
  <c r="W3205" i="1"/>
  <c r="Z3204" i="1"/>
  <c r="Y3204" i="1"/>
  <c r="X3204" i="1"/>
  <c r="W3204" i="1"/>
  <c r="Z3203" i="1"/>
  <c r="Y3203" i="1"/>
  <c r="X3203" i="1"/>
  <c r="W3203" i="1"/>
  <c r="Z3202" i="1"/>
  <c r="Y3202" i="1"/>
  <c r="X3202" i="1"/>
  <c r="W3202" i="1"/>
  <c r="Z3201" i="1"/>
  <c r="Y3201" i="1"/>
  <c r="X3201" i="1"/>
  <c r="W3201" i="1"/>
  <c r="Z3200" i="1"/>
  <c r="Y3200" i="1"/>
  <c r="X3200" i="1"/>
  <c r="W3200" i="1"/>
  <c r="Z3199" i="1"/>
  <c r="Y3199" i="1"/>
  <c r="X3199" i="1"/>
  <c r="W3199" i="1"/>
  <c r="Z3198" i="1"/>
  <c r="Y3198" i="1"/>
  <c r="X3198" i="1"/>
  <c r="W3198" i="1"/>
  <c r="Z3197" i="1"/>
  <c r="Y3197" i="1"/>
  <c r="X3197" i="1"/>
  <c r="W3197" i="1"/>
  <c r="Z3196" i="1"/>
  <c r="Y3196" i="1"/>
  <c r="X3196" i="1"/>
  <c r="W3196" i="1"/>
  <c r="Z3195" i="1"/>
  <c r="Y3195" i="1"/>
  <c r="X3195" i="1"/>
  <c r="W3195" i="1"/>
  <c r="Z3194" i="1"/>
  <c r="Y3194" i="1"/>
  <c r="X3194" i="1"/>
  <c r="W3194" i="1"/>
  <c r="Z3193" i="1"/>
  <c r="Y3193" i="1"/>
  <c r="X3193" i="1"/>
  <c r="W3193" i="1"/>
  <c r="Z3192" i="1"/>
  <c r="Y3192" i="1"/>
  <c r="X3192" i="1"/>
  <c r="W3192" i="1"/>
  <c r="Z3191" i="1"/>
  <c r="Y3191" i="1"/>
  <c r="X3191" i="1"/>
  <c r="W3191" i="1"/>
  <c r="Z3190" i="1"/>
  <c r="Y3190" i="1"/>
  <c r="X3190" i="1"/>
  <c r="W3190" i="1"/>
  <c r="Z3189" i="1"/>
  <c r="Y3189" i="1"/>
  <c r="X3189" i="1"/>
  <c r="W3189" i="1"/>
  <c r="Z3188" i="1"/>
  <c r="Y3188" i="1"/>
  <c r="X3188" i="1"/>
  <c r="W3188" i="1"/>
  <c r="Z3187" i="1"/>
  <c r="Y3187" i="1"/>
  <c r="X3187" i="1"/>
  <c r="W3187" i="1"/>
  <c r="Z3186" i="1"/>
  <c r="Y3186" i="1"/>
  <c r="X3186" i="1"/>
  <c r="W3186" i="1"/>
  <c r="Z3185" i="1"/>
  <c r="Y3185" i="1"/>
  <c r="X3185" i="1"/>
  <c r="W3185" i="1"/>
  <c r="Z3184" i="1"/>
  <c r="Y3184" i="1"/>
  <c r="X3184" i="1"/>
  <c r="W3184" i="1"/>
  <c r="Z3183" i="1"/>
  <c r="Y3183" i="1"/>
  <c r="X3183" i="1"/>
  <c r="W3183" i="1"/>
  <c r="Z3182" i="1"/>
  <c r="Y3182" i="1"/>
  <c r="X3182" i="1"/>
  <c r="W3182" i="1"/>
  <c r="Z3181" i="1"/>
  <c r="Y3181" i="1"/>
  <c r="X3181" i="1"/>
  <c r="W3181" i="1"/>
  <c r="Z3180" i="1"/>
  <c r="Y3180" i="1"/>
  <c r="X3180" i="1"/>
  <c r="W3180" i="1"/>
  <c r="Z3179" i="1"/>
  <c r="Y3179" i="1"/>
  <c r="X3179" i="1"/>
  <c r="W3179" i="1"/>
  <c r="Z3178" i="1"/>
  <c r="Y3178" i="1"/>
  <c r="X3178" i="1"/>
  <c r="W3178" i="1"/>
  <c r="Z3177" i="1"/>
  <c r="Y3177" i="1"/>
  <c r="X3177" i="1"/>
  <c r="W3177" i="1"/>
  <c r="Z3176" i="1"/>
  <c r="Y3176" i="1"/>
  <c r="X3176" i="1"/>
  <c r="W3176" i="1"/>
  <c r="Z3175" i="1"/>
  <c r="Y3175" i="1"/>
  <c r="X3175" i="1"/>
  <c r="W3175" i="1"/>
  <c r="Z3174" i="1"/>
  <c r="Y3174" i="1"/>
  <c r="X3174" i="1"/>
  <c r="W3174" i="1"/>
  <c r="Z3173" i="1"/>
  <c r="Y3173" i="1"/>
  <c r="X3173" i="1"/>
  <c r="W3173" i="1"/>
  <c r="Z3172" i="1"/>
  <c r="Y3172" i="1"/>
  <c r="X3172" i="1"/>
  <c r="W3172" i="1"/>
  <c r="Z3171" i="1"/>
  <c r="Y3171" i="1"/>
  <c r="X3171" i="1"/>
  <c r="W3171" i="1"/>
  <c r="Z3170" i="1"/>
  <c r="Y3170" i="1"/>
  <c r="X3170" i="1"/>
  <c r="W3170" i="1"/>
  <c r="Z3169" i="1"/>
  <c r="Y3169" i="1"/>
  <c r="X3169" i="1"/>
  <c r="W3169" i="1"/>
  <c r="Z3168" i="1"/>
  <c r="Y3168" i="1"/>
  <c r="X3168" i="1"/>
  <c r="W3168" i="1"/>
  <c r="Z3167" i="1"/>
  <c r="Y3167" i="1"/>
  <c r="X3167" i="1"/>
  <c r="W3167" i="1"/>
  <c r="Z3166" i="1"/>
  <c r="Y3166" i="1"/>
  <c r="X3166" i="1"/>
  <c r="W3166" i="1"/>
  <c r="Z3165" i="1"/>
  <c r="Y3165" i="1"/>
  <c r="X3165" i="1"/>
  <c r="W3165" i="1"/>
  <c r="Z3164" i="1"/>
  <c r="Y3164" i="1"/>
  <c r="X3164" i="1"/>
  <c r="W3164" i="1"/>
  <c r="Z3163" i="1"/>
  <c r="Y3163" i="1"/>
  <c r="X3163" i="1"/>
  <c r="W3163" i="1"/>
  <c r="Z3162" i="1"/>
  <c r="Y3162" i="1"/>
  <c r="X3162" i="1"/>
  <c r="W3162" i="1"/>
  <c r="Z3161" i="1"/>
  <c r="Y3161" i="1"/>
  <c r="X3161" i="1"/>
  <c r="W3161" i="1"/>
  <c r="Z3160" i="1"/>
  <c r="Y3160" i="1"/>
  <c r="X3160" i="1"/>
  <c r="W3160" i="1"/>
  <c r="Z3159" i="1"/>
  <c r="Y3159" i="1"/>
  <c r="X3159" i="1"/>
  <c r="W3159" i="1"/>
  <c r="Z3158" i="1"/>
  <c r="Y3158" i="1"/>
  <c r="X3158" i="1"/>
  <c r="W3158" i="1"/>
  <c r="Z3157" i="1"/>
  <c r="Y3157" i="1"/>
  <c r="X3157" i="1"/>
  <c r="W3157" i="1"/>
  <c r="Z3156" i="1"/>
  <c r="Y3156" i="1"/>
  <c r="X3156" i="1"/>
  <c r="W3156" i="1"/>
  <c r="Z3155" i="1"/>
  <c r="Y3155" i="1"/>
  <c r="X3155" i="1"/>
  <c r="W3155" i="1"/>
  <c r="Z3154" i="1"/>
  <c r="Y3154" i="1"/>
  <c r="X3154" i="1"/>
  <c r="W3154" i="1"/>
  <c r="Z3153" i="1"/>
  <c r="Y3153" i="1"/>
  <c r="X3153" i="1"/>
  <c r="W3153" i="1"/>
  <c r="Z3152" i="1"/>
  <c r="Y3152" i="1"/>
  <c r="X3152" i="1"/>
  <c r="W3152" i="1"/>
  <c r="Z3151" i="1"/>
  <c r="Y3151" i="1"/>
  <c r="X3151" i="1"/>
  <c r="W3151" i="1"/>
  <c r="Z3150" i="1"/>
  <c r="Y3150" i="1"/>
  <c r="X3150" i="1"/>
  <c r="W3150" i="1"/>
  <c r="Z3149" i="1"/>
  <c r="Y3149" i="1"/>
  <c r="X3149" i="1"/>
  <c r="W3149" i="1"/>
  <c r="Z3148" i="1"/>
  <c r="Y3148" i="1"/>
  <c r="X3148" i="1"/>
  <c r="W3148" i="1"/>
  <c r="Z3147" i="1"/>
  <c r="Y3147" i="1"/>
  <c r="X3147" i="1"/>
  <c r="W3147" i="1"/>
  <c r="Z3146" i="1"/>
  <c r="Y3146" i="1"/>
  <c r="X3146" i="1"/>
  <c r="W3146" i="1"/>
  <c r="Z3145" i="1"/>
  <c r="Y3145" i="1"/>
  <c r="X3145" i="1"/>
  <c r="W3145" i="1"/>
  <c r="Z3144" i="1"/>
  <c r="Y3144" i="1"/>
  <c r="X3144" i="1"/>
  <c r="W3144" i="1"/>
  <c r="Z3143" i="1"/>
  <c r="Y3143" i="1"/>
  <c r="X3143" i="1"/>
  <c r="W3143" i="1"/>
  <c r="Z3142" i="1"/>
  <c r="Y3142" i="1"/>
  <c r="X3142" i="1"/>
  <c r="W3142" i="1"/>
  <c r="Z3141" i="1"/>
  <c r="Y3141" i="1"/>
  <c r="X3141" i="1"/>
  <c r="W3141" i="1"/>
  <c r="Z3140" i="1"/>
  <c r="Y3140" i="1"/>
  <c r="X3140" i="1"/>
  <c r="W3140" i="1"/>
  <c r="Z3139" i="1"/>
  <c r="Y3139" i="1"/>
  <c r="X3139" i="1"/>
  <c r="W3139" i="1"/>
  <c r="Z3138" i="1"/>
  <c r="Y3138" i="1"/>
  <c r="X3138" i="1"/>
  <c r="W3138" i="1"/>
  <c r="Z3137" i="1"/>
  <c r="Y3137" i="1"/>
  <c r="X3137" i="1"/>
  <c r="W3137" i="1"/>
  <c r="Z3136" i="1"/>
  <c r="Y3136" i="1"/>
  <c r="X3136" i="1"/>
  <c r="W3136" i="1"/>
  <c r="Z3135" i="1"/>
  <c r="Y3135" i="1"/>
  <c r="X3135" i="1"/>
  <c r="W3135" i="1"/>
  <c r="Z3134" i="1"/>
  <c r="Y3134" i="1"/>
  <c r="X3134" i="1"/>
  <c r="W3134" i="1"/>
  <c r="Z3133" i="1"/>
  <c r="Y3133" i="1"/>
  <c r="X3133" i="1"/>
  <c r="W3133" i="1"/>
  <c r="Z3132" i="1"/>
  <c r="Y3132" i="1"/>
  <c r="X3132" i="1"/>
  <c r="W3132" i="1"/>
  <c r="Z3131" i="1"/>
  <c r="Y3131" i="1"/>
  <c r="X3131" i="1"/>
  <c r="W3131" i="1"/>
  <c r="Z3130" i="1"/>
  <c r="Y3130" i="1"/>
  <c r="X3130" i="1"/>
  <c r="W3130" i="1"/>
  <c r="Z3129" i="1"/>
  <c r="Y3129" i="1"/>
  <c r="X3129" i="1"/>
  <c r="W3129" i="1"/>
  <c r="Z3128" i="1"/>
  <c r="Y3128" i="1"/>
  <c r="X3128" i="1"/>
  <c r="W3128" i="1"/>
  <c r="Z3127" i="1"/>
  <c r="Y3127" i="1"/>
  <c r="X3127" i="1"/>
  <c r="W3127" i="1"/>
  <c r="Z3126" i="1"/>
  <c r="Y3126" i="1"/>
  <c r="X3126" i="1"/>
  <c r="W3126" i="1"/>
  <c r="Z3125" i="1"/>
  <c r="Y3125" i="1"/>
  <c r="X3125" i="1"/>
  <c r="W3125" i="1"/>
  <c r="Z3124" i="1"/>
  <c r="Y3124" i="1"/>
  <c r="X3124" i="1"/>
  <c r="W3124" i="1"/>
  <c r="Z3123" i="1"/>
  <c r="Y3123" i="1"/>
  <c r="X3123" i="1"/>
  <c r="W3123" i="1"/>
  <c r="Z3122" i="1"/>
  <c r="Y3122" i="1"/>
  <c r="X3122" i="1"/>
  <c r="W3122" i="1"/>
  <c r="Z3121" i="1"/>
  <c r="Y3121" i="1"/>
  <c r="X3121" i="1"/>
  <c r="W3121" i="1"/>
  <c r="Z3120" i="1"/>
  <c r="Y3120" i="1"/>
  <c r="X3120" i="1"/>
  <c r="W3120" i="1"/>
  <c r="Z3119" i="1"/>
  <c r="Y3119" i="1"/>
  <c r="X3119" i="1"/>
  <c r="W3119" i="1"/>
  <c r="Z3118" i="1"/>
  <c r="Y3118" i="1"/>
  <c r="X3118" i="1"/>
  <c r="W3118" i="1"/>
  <c r="Z3117" i="1"/>
  <c r="Y3117" i="1"/>
  <c r="X3117" i="1"/>
  <c r="W3117" i="1"/>
  <c r="Z3116" i="1"/>
  <c r="Y3116" i="1"/>
  <c r="X3116" i="1"/>
  <c r="W3116" i="1"/>
  <c r="Z3115" i="1"/>
  <c r="Y3115" i="1"/>
  <c r="X3115" i="1"/>
  <c r="W3115" i="1"/>
  <c r="Z3114" i="1"/>
  <c r="Y3114" i="1"/>
  <c r="X3114" i="1"/>
  <c r="W3114" i="1"/>
  <c r="Z3113" i="1"/>
  <c r="Y3113" i="1"/>
  <c r="X3113" i="1"/>
  <c r="W3113" i="1"/>
  <c r="Z3112" i="1"/>
  <c r="Y3112" i="1"/>
  <c r="X3112" i="1"/>
  <c r="W3112" i="1"/>
  <c r="Z3111" i="1"/>
  <c r="Y3111" i="1"/>
  <c r="X3111" i="1"/>
  <c r="W3111" i="1"/>
  <c r="Z3110" i="1"/>
  <c r="Y3110" i="1"/>
  <c r="X3110" i="1"/>
  <c r="W3110" i="1"/>
  <c r="Z3109" i="1"/>
  <c r="Y3109" i="1"/>
  <c r="X3109" i="1"/>
  <c r="W3109" i="1"/>
  <c r="Z3108" i="1"/>
  <c r="Y3108" i="1"/>
  <c r="X3108" i="1"/>
  <c r="W3108" i="1"/>
  <c r="Z3107" i="1"/>
  <c r="Y3107" i="1"/>
  <c r="X3107" i="1"/>
  <c r="W3107" i="1"/>
  <c r="Z3106" i="1"/>
  <c r="Y3106" i="1"/>
  <c r="X3106" i="1"/>
  <c r="W3106" i="1"/>
  <c r="Z3105" i="1"/>
  <c r="Y3105" i="1"/>
  <c r="X3105" i="1"/>
  <c r="W3105" i="1"/>
  <c r="Z3104" i="1"/>
  <c r="Y3104" i="1"/>
  <c r="X3104" i="1"/>
  <c r="W3104" i="1"/>
  <c r="Z3103" i="1"/>
  <c r="Y3103" i="1"/>
  <c r="X3103" i="1"/>
  <c r="W3103" i="1"/>
  <c r="Z3102" i="1"/>
  <c r="Y3102" i="1"/>
  <c r="X3102" i="1"/>
  <c r="W3102" i="1"/>
  <c r="Z3101" i="1"/>
  <c r="Y3101" i="1"/>
  <c r="X3101" i="1"/>
  <c r="W3101" i="1"/>
  <c r="Z3100" i="1"/>
  <c r="Y3100" i="1"/>
  <c r="X3100" i="1"/>
  <c r="W3100" i="1"/>
  <c r="Z3099" i="1"/>
  <c r="Y3099" i="1"/>
  <c r="X3099" i="1"/>
  <c r="W3099" i="1"/>
  <c r="Z3098" i="1"/>
  <c r="Y3098" i="1"/>
  <c r="X3098" i="1"/>
  <c r="W3098" i="1"/>
  <c r="Z3097" i="1"/>
  <c r="Y3097" i="1"/>
  <c r="X3097" i="1"/>
  <c r="W3097" i="1"/>
  <c r="Z3096" i="1"/>
  <c r="Y3096" i="1"/>
  <c r="X3096" i="1"/>
  <c r="W3096" i="1"/>
  <c r="Z3095" i="1"/>
  <c r="Y3095" i="1"/>
  <c r="X3095" i="1"/>
  <c r="W3095" i="1"/>
  <c r="Z3094" i="1"/>
  <c r="Y3094" i="1"/>
  <c r="X3094" i="1"/>
  <c r="W3094" i="1"/>
  <c r="Z3093" i="1"/>
  <c r="Y3093" i="1"/>
  <c r="X3093" i="1"/>
  <c r="W3093" i="1"/>
  <c r="Z3092" i="1"/>
  <c r="Y3092" i="1"/>
  <c r="X3092" i="1"/>
  <c r="W3092" i="1"/>
  <c r="Z3091" i="1"/>
  <c r="Y3091" i="1"/>
  <c r="X3091" i="1"/>
  <c r="W3091" i="1"/>
  <c r="Z3090" i="1"/>
  <c r="Y3090" i="1"/>
  <c r="X3090" i="1"/>
  <c r="W3090" i="1"/>
  <c r="Z3089" i="1"/>
  <c r="Y3089" i="1"/>
  <c r="X3089" i="1"/>
  <c r="W3089" i="1"/>
  <c r="Z3088" i="1"/>
  <c r="Y3088" i="1"/>
  <c r="X3088" i="1"/>
  <c r="W3088" i="1"/>
  <c r="Z3087" i="1"/>
  <c r="Y3087" i="1"/>
  <c r="X3087" i="1"/>
  <c r="W3087" i="1"/>
  <c r="Z3086" i="1"/>
  <c r="Y3086" i="1"/>
  <c r="X3086" i="1"/>
  <c r="W3086" i="1"/>
  <c r="Z3085" i="1"/>
  <c r="Y3085" i="1"/>
  <c r="X3085" i="1"/>
  <c r="W3085" i="1"/>
  <c r="Z3084" i="1"/>
  <c r="Y3084" i="1"/>
  <c r="X3084" i="1"/>
  <c r="W3084" i="1"/>
  <c r="Z3083" i="1"/>
  <c r="Y3083" i="1"/>
  <c r="X3083" i="1"/>
  <c r="W3083" i="1"/>
  <c r="Z3082" i="1"/>
  <c r="Y3082" i="1"/>
  <c r="X3082" i="1"/>
  <c r="W3082" i="1"/>
  <c r="Z3081" i="1"/>
  <c r="Y3081" i="1"/>
  <c r="X3081" i="1"/>
  <c r="W3081" i="1"/>
  <c r="Z3080" i="1"/>
  <c r="Y3080" i="1"/>
  <c r="X3080" i="1"/>
  <c r="W3080" i="1"/>
  <c r="Z3079" i="1"/>
  <c r="Y3079" i="1"/>
  <c r="X3079" i="1"/>
  <c r="W3079" i="1"/>
  <c r="Z3078" i="1"/>
  <c r="Y3078" i="1"/>
  <c r="X3078" i="1"/>
  <c r="W3078" i="1"/>
  <c r="Z3077" i="1"/>
  <c r="Y3077" i="1"/>
  <c r="X3077" i="1"/>
  <c r="W3077" i="1"/>
  <c r="Z3076" i="1"/>
  <c r="Y3076" i="1"/>
  <c r="X3076" i="1"/>
  <c r="W3076" i="1"/>
  <c r="Z3075" i="1"/>
  <c r="Y3075" i="1"/>
  <c r="X3075" i="1"/>
  <c r="W3075" i="1"/>
  <c r="Z3074" i="1"/>
  <c r="Y3074" i="1"/>
  <c r="X3074" i="1"/>
  <c r="W3074" i="1"/>
  <c r="Z3073" i="1"/>
  <c r="Y3073" i="1"/>
  <c r="X3073" i="1"/>
  <c r="W3073" i="1"/>
  <c r="Z3072" i="1"/>
  <c r="Y3072" i="1"/>
  <c r="X3072" i="1"/>
  <c r="W3072" i="1"/>
  <c r="Z3071" i="1"/>
  <c r="Y3071" i="1"/>
  <c r="X3071" i="1"/>
  <c r="W3071" i="1"/>
  <c r="Z3070" i="1"/>
  <c r="Y3070" i="1"/>
  <c r="X3070" i="1"/>
  <c r="W3070" i="1"/>
  <c r="Z3069" i="1"/>
  <c r="Y3069" i="1"/>
  <c r="X3069" i="1"/>
  <c r="W3069" i="1"/>
  <c r="Z3068" i="1"/>
  <c r="Y3068" i="1"/>
  <c r="X3068" i="1"/>
  <c r="W3068" i="1"/>
  <c r="Z3067" i="1"/>
  <c r="Y3067" i="1"/>
  <c r="X3067" i="1"/>
  <c r="W3067" i="1"/>
  <c r="Z3066" i="1"/>
  <c r="Y3066" i="1"/>
  <c r="X3066" i="1"/>
  <c r="W3066" i="1"/>
  <c r="Z3065" i="1"/>
  <c r="Y3065" i="1"/>
  <c r="X3065" i="1"/>
  <c r="W3065" i="1"/>
  <c r="Z3064" i="1"/>
  <c r="Y3064" i="1"/>
  <c r="X3064" i="1"/>
  <c r="W3064" i="1"/>
  <c r="Z3063" i="1"/>
  <c r="Y3063" i="1"/>
  <c r="X3063" i="1"/>
  <c r="W3063" i="1"/>
  <c r="Z3062" i="1"/>
  <c r="Y3062" i="1"/>
  <c r="X3062" i="1"/>
  <c r="W3062" i="1"/>
  <c r="Z3061" i="1"/>
  <c r="Y3061" i="1"/>
  <c r="X3061" i="1"/>
  <c r="W3061" i="1"/>
  <c r="Z3060" i="1"/>
  <c r="Y3060" i="1"/>
  <c r="X3060" i="1"/>
  <c r="W3060" i="1"/>
  <c r="Z3059" i="1"/>
  <c r="Y3059" i="1"/>
  <c r="X3059" i="1"/>
  <c r="W3059" i="1"/>
  <c r="Z3058" i="1"/>
  <c r="Y3058" i="1"/>
  <c r="X3058" i="1"/>
  <c r="W3058" i="1"/>
  <c r="Z3057" i="1"/>
  <c r="Y3057" i="1"/>
  <c r="X3057" i="1"/>
  <c r="W3057" i="1"/>
  <c r="Z3056" i="1"/>
  <c r="Y3056" i="1"/>
  <c r="X3056" i="1"/>
  <c r="W3056" i="1"/>
  <c r="Z3055" i="1"/>
  <c r="Y3055" i="1"/>
  <c r="X3055" i="1"/>
  <c r="W3055" i="1"/>
  <c r="Z3054" i="1"/>
  <c r="Y3054" i="1"/>
  <c r="X3054" i="1"/>
  <c r="W3054" i="1"/>
  <c r="Z3053" i="1"/>
  <c r="Y3053" i="1"/>
  <c r="X3053" i="1"/>
  <c r="W3053" i="1"/>
  <c r="Z3052" i="1"/>
  <c r="Y3052" i="1"/>
  <c r="X3052" i="1"/>
  <c r="W3052" i="1"/>
  <c r="Z3051" i="1"/>
  <c r="Y3051" i="1"/>
  <c r="X3051" i="1"/>
  <c r="W3051" i="1"/>
  <c r="Z3050" i="1"/>
  <c r="Y3050" i="1"/>
  <c r="X3050" i="1"/>
  <c r="W3050" i="1"/>
  <c r="Z3049" i="1"/>
  <c r="Y3049" i="1"/>
  <c r="X3049" i="1"/>
  <c r="W3049" i="1"/>
  <c r="Z3048" i="1"/>
  <c r="Y3048" i="1"/>
  <c r="X3048" i="1"/>
  <c r="W3048" i="1"/>
  <c r="Z3047" i="1"/>
  <c r="Y3047" i="1"/>
  <c r="X3047" i="1"/>
  <c r="W3047" i="1"/>
  <c r="Z3046" i="1"/>
  <c r="Y3046" i="1"/>
  <c r="X3046" i="1"/>
  <c r="W3046" i="1"/>
  <c r="Z3045" i="1"/>
  <c r="Y3045" i="1"/>
  <c r="X3045" i="1"/>
  <c r="W3045" i="1"/>
  <c r="Z3044" i="1"/>
  <c r="Y3044" i="1"/>
  <c r="X3044" i="1"/>
  <c r="W3044" i="1"/>
  <c r="Z3043" i="1"/>
  <c r="Y3043" i="1"/>
  <c r="X3043" i="1"/>
  <c r="W3043" i="1"/>
  <c r="Z3042" i="1"/>
  <c r="Y3042" i="1"/>
  <c r="X3042" i="1"/>
  <c r="W3042" i="1"/>
  <c r="Z3041" i="1"/>
  <c r="Y3041" i="1"/>
  <c r="X3041" i="1"/>
  <c r="W3041" i="1"/>
  <c r="Z3040" i="1"/>
  <c r="Y3040" i="1"/>
  <c r="X3040" i="1"/>
  <c r="W3040" i="1"/>
  <c r="Z3039" i="1"/>
  <c r="Y3039" i="1"/>
  <c r="X3039" i="1"/>
  <c r="W3039" i="1"/>
  <c r="Z3038" i="1"/>
  <c r="Y3038" i="1"/>
  <c r="X3038" i="1"/>
  <c r="W3038" i="1"/>
  <c r="Z3037" i="1"/>
  <c r="Y3037" i="1"/>
  <c r="X3037" i="1"/>
  <c r="W3037" i="1"/>
  <c r="Z3036" i="1"/>
  <c r="Y3036" i="1"/>
  <c r="X3036" i="1"/>
  <c r="W3036" i="1"/>
  <c r="Z3035" i="1"/>
  <c r="Y3035" i="1"/>
  <c r="X3035" i="1"/>
  <c r="W3035" i="1"/>
  <c r="Z3034" i="1"/>
  <c r="Y3034" i="1"/>
  <c r="X3034" i="1"/>
  <c r="W3034" i="1"/>
  <c r="Z3033" i="1"/>
  <c r="Y3033" i="1"/>
  <c r="X3033" i="1"/>
  <c r="W3033" i="1"/>
  <c r="Z3032" i="1"/>
  <c r="Y3032" i="1"/>
  <c r="X3032" i="1"/>
  <c r="W3032" i="1"/>
  <c r="Z3031" i="1"/>
  <c r="Y3031" i="1"/>
  <c r="X3031" i="1"/>
  <c r="W3031" i="1"/>
  <c r="Z3030" i="1"/>
  <c r="Y3030" i="1"/>
  <c r="X3030" i="1"/>
  <c r="W3030" i="1"/>
  <c r="Z3029" i="1"/>
  <c r="Y3029" i="1"/>
  <c r="X3029" i="1"/>
  <c r="W3029" i="1"/>
  <c r="Z3028" i="1"/>
  <c r="Y3028" i="1"/>
  <c r="X3028" i="1"/>
  <c r="W3028" i="1"/>
  <c r="Z3027" i="1"/>
  <c r="Y3027" i="1"/>
  <c r="X3027" i="1"/>
  <c r="W3027" i="1"/>
  <c r="Z3026" i="1"/>
  <c r="Y3026" i="1"/>
  <c r="X3026" i="1"/>
  <c r="W3026" i="1"/>
  <c r="Z3025" i="1"/>
  <c r="Y3025" i="1"/>
  <c r="X3025" i="1"/>
  <c r="W3025" i="1"/>
  <c r="Z3024" i="1"/>
  <c r="Y3024" i="1"/>
  <c r="X3024" i="1"/>
  <c r="W3024" i="1"/>
  <c r="Z3023" i="1"/>
  <c r="Y3023" i="1"/>
  <c r="X3023" i="1"/>
  <c r="W3023" i="1"/>
  <c r="Z3022" i="1"/>
  <c r="Y3022" i="1"/>
  <c r="X3022" i="1"/>
  <c r="W3022" i="1"/>
  <c r="Z3021" i="1"/>
  <c r="Y3021" i="1"/>
  <c r="X3021" i="1"/>
  <c r="W3021" i="1"/>
  <c r="Z3020" i="1"/>
  <c r="Y3020" i="1"/>
  <c r="X3020" i="1"/>
  <c r="W3020" i="1"/>
  <c r="Z3019" i="1"/>
  <c r="Y3019" i="1"/>
  <c r="X3019" i="1"/>
  <c r="W3019" i="1"/>
  <c r="Z3018" i="1"/>
  <c r="Y3018" i="1"/>
  <c r="X3018" i="1"/>
  <c r="W3018" i="1"/>
  <c r="Z3017" i="1"/>
  <c r="Y3017" i="1"/>
  <c r="X3017" i="1"/>
  <c r="W3017" i="1"/>
  <c r="Z3016" i="1"/>
  <c r="Y3016" i="1"/>
  <c r="X3016" i="1"/>
  <c r="W3016" i="1"/>
  <c r="Z3015" i="1"/>
  <c r="Y3015" i="1"/>
  <c r="X3015" i="1"/>
  <c r="W3015" i="1"/>
  <c r="Z3014" i="1"/>
  <c r="Y3014" i="1"/>
  <c r="X3014" i="1"/>
  <c r="W3014" i="1"/>
  <c r="Z3013" i="1"/>
  <c r="Y3013" i="1"/>
  <c r="X3013" i="1"/>
  <c r="W3013" i="1"/>
  <c r="Z3012" i="1"/>
  <c r="Y3012" i="1"/>
  <c r="X3012" i="1"/>
  <c r="W3012" i="1"/>
  <c r="Z3011" i="1"/>
  <c r="Y3011" i="1"/>
  <c r="X3011" i="1"/>
  <c r="W3011" i="1"/>
  <c r="Z3010" i="1"/>
  <c r="Y3010" i="1"/>
  <c r="X3010" i="1"/>
  <c r="W3010" i="1"/>
  <c r="Z3009" i="1"/>
  <c r="Y3009" i="1"/>
  <c r="X3009" i="1"/>
  <c r="W3009" i="1"/>
  <c r="Z3008" i="1"/>
  <c r="Y3008" i="1"/>
  <c r="X3008" i="1"/>
  <c r="W3008" i="1"/>
  <c r="Z3007" i="1"/>
  <c r="Y3007" i="1"/>
  <c r="X3007" i="1"/>
  <c r="W3007" i="1"/>
  <c r="Z3006" i="1"/>
  <c r="Y3006" i="1"/>
  <c r="X3006" i="1"/>
  <c r="W3006" i="1"/>
  <c r="Z3005" i="1"/>
  <c r="Y3005" i="1"/>
  <c r="X3005" i="1"/>
  <c r="W3005" i="1"/>
  <c r="Z3004" i="1"/>
  <c r="Y3004" i="1"/>
  <c r="X3004" i="1"/>
  <c r="W3004" i="1"/>
  <c r="Z3003" i="1"/>
  <c r="Y3003" i="1"/>
  <c r="X3003" i="1"/>
  <c r="W3003" i="1"/>
  <c r="Z3002" i="1"/>
  <c r="Y3002" i="1"/>
  <c r="X3002" i="1"/>
  <c r="W3002" i="1"/>
  <c r="Z3001" i="1"/>
  <c r="Y3001" i="1"/>
  <c r="X3001" i="1"/>
  <c r="W3001" i="1"/>
  <c r="Z3000" i="1"/>
  <c r="Y3000" i="1"/>
  <c r="X3000" i="1"/>
  <c r="W3000" i="1"/>
  <c r="Z2999" i="1"/>
  <c r="Y2999" i="1"/>
  <c r="X2999" i="1"/>
  <c r="W2999" i="1"/>
  <c r="Z2998" i="1"/>
  <c r="Y2998" i="1"/>
  <c r="X2998" i="1"/>
  <c r="W2998" i="1"/>
  <c r="Z2997" i="1"/>
  <c r="Y2997" i="1"/>
  <c r="X2997" i="1"/>
  <c r="W2997" i="1"/>
  <c r="Z2996" i="1"/>
  <c r="Y2996" i="1"/>
  <c r="X2996" i="1"/>
  <c r="W2996" i="1"/>
  <c r="Z2995" i="1"/>
  <c r="Y2995" i="1"/>
  <c r="X2995" i="1"/>
  <c r="W2995" i="1"/>
  <c r="Z2994" i="1"/>
  <c r="Y2994" i="1"/>
  <c r="X2994" i="1"/>
  <c r="W2994" i="1"/>
  <c r="Z2993" i="1"/>
  <c r="Y2993" i="1"/>
  <c r="X2993" i="1"/>
  <c r="W2993" i="1"/>
  <c r="Z2992" i="1"/>
  <c r="Y2992" i="1"/>
  <c r="X2992" i="1"/>
  <c r="W2992" i="1"/>
  <c r="Z2991" i="1"/>
  <c r="Y2991" i="1"/>
  <c r="X2991" i="1"/>
  <c r="W2991" i="1"/>
  <c r="Z2990" i="1"/>
  <c r="Y2990" i="1"/>
  <c r="X2990" i="1"/>
  <c r="W2990" i="1"/>
  <c r="Z2989" i="1"/>
  <c r="Y2989" i="1"/>
  <c r="X2989" i="1"/>
  <c r="W2989" i="1"/>
  <c r="Z2988" i="1"/>
  <c r="Y2988" i="1"/>
  <c r="X2988" i="1"/>
  <c r="W2988" i="1"/>
  <c r="Z2987" i="1"/>
  <c r="Y2987" i="1"/>
  <c r="X2987" i="1"/>
  <c r="W2987" i="1"/>
  <c r="Z2986" i="1"/>
  <c r="Y2986" i="1"/>
  <c r="X2986" i="1"/>
  <c r="W2986" i="1"/>
  <c r="Z2985" i="1"/>
  <c r="Y2985" i="1"/>
  <c r="X2985" i="1"/>
  <c r="W2985" i="1"/>
  <c r="Z2984" i="1"/>
  <c r="Y2984" i="1"/>
  <c r="X2984" i="1"/>
  <c r="W2984" i="1"/>
  <c r="Z2983" i="1"/>
  <c r="Y2983" i="1"/>
  <c r="X2983" i="1"/>
  <c r="W2983" i="1"/>
  <c r="Z2982" i="1"/>
  <c r="Y2982" i="1"/>
  <c r="X2982" i="1"/>
  <c r="W2982" i="1"/>
  <c r="Z2981" i="1"/>
  <c r="Y2981" i="1"/>
  <c r="X2981" i="1"/>
  <c r="W2981" i="1"/>
  <c r="Z2980" i="1"/>
  <c r="Y2980" i="1"/>
  <c r="X2980" i="1"/>
  <c r="W2980" i="1"/>
  <c r="Z2979" i="1"/>
  <c r="Y2979" i="1"/>
  <c r="X2979" i="1"/>
  <c r="W2979" i="1"/>
  <c r="Z2978" i="1"/>
  <c r="Y2978" i="1"/>
  <c r="X2978" i="1"/>
  <c r="W2978" i="1"/>
  <c r="Z2977" i="1"/>
  <c r="Y2977" i="1"/>
  <c r="X2977" i="1"/>
  <c r="W2977" i="1"/>
  <c r="Z2976" i="1"/>
  <c r="Y2976" i="1"/>
  <c r="X2976" i="1"/>
  <c r="W2976" i="1"/>
  <c r="Z2975" i="1"/>
  <c r="Y2975" i="1"/>
  <c r="X2975" i="1"/>
  <c r="W2975" i="1"/>
  <c r="Z2974" i="1"/>
  <c r="Y2974" i="1"/>
  <c r="X2974" i="1"/>
  <c r="W2974" i="1"/>
  <c r="Z2973" i="1"/>
  <c r="Y2973" i="1"/>
  <c r="X2973" i="1"/>
  <c r="W2973" i="1"/>
  <c r="Z2972" i="1"/>
  <c r="Y2972" i="1"/>
  <c r="X2972" i="1"/>
  <c r="W2972" i="1"/>
  <c r="Z2971" i="1"/>
  <c r="Y2971" i="1"/>
  <c r="X2971" i="1"/>
  <c r="W2971" i="1"/>
  <c r="Z2970" i="1"/>
  <c r="Y2970" i="1"/>
  <c r="X2970" i="1"/>
  <c r="W2970" i="1"/>
  <c r="Z2969" i="1"/>
  <c r="Y2969" i="1"/>
  <c r="X2969" i="1"/>
  <c r="W2969" i="1"/>
  <c r="Z2968" i="1"/>
  <c r="Y2968" i="1"/>
  <c r="X2968" i="1"/>
  <c r="W2968" i="1"/>
  <c r="Z2967" i="1"/>
  <c r="Y2967" i="1"/>
  <c r="X2967" i="1"/>
  <c r="W2967" i="1"/>
  <c r="Z2966" i="1"/>
  <c r="Y2966" i="1"/>
  <c r="X2966" i="1"/>
  <c r="W2966" i="1"/>
  <c r="Z2965" i="1"/>
  <c r="Y2965" i="1"/>
  <c r="X2965" i="1"/>
  <c r="W2965" i="1"/>
  <c r="Z2964" i="1"/>
  <c r="Y2964" i="1"/>
  <c r="X2964" i="1"/>
  <c r="W2964" i="1"/>
  <c r="Z2963" i="1"/>
  <c r="Y2963" i="1"/>
  <c r="X2963" i="1"/>
  <c r="W2963" i="1"/>
  <c r="Z2962" i="1"/>
  <c r="Y2962" i="1"/>
  <c r="X2962" i="1"/>
  <c r="W2962" i="1"/>
  <c r="Z2961" i="1"/>
  <c r="Y2961" i="1"/>
  <c r="X2961" i="1"/>
  <c r="W2961" i="1"/>
  <c r="Z2960" i="1"/>
  <c r="Y2960" i="1"/>
  <c r="X2960" i="1"/>
  <c r="W2960" i="1"/>
  <c r="Z2959" i="1"/>
  <c r="Y2959" i="1"/>
  <c r="X2959" i="1"/>
  <c r="W2959" i="1"/>
  <c r="Z2958" i="1"/>
  <c r="Y2958" i="1"/>
  <c r="X2958" i="1"/>
  <c r="W2958" i="1"/>
  <c r="Z2957" i="1"/>
  <c r="Y2957" i="1"/>
  <c r="X2957" i="1"/>
  <c r="W2957" i="1"/>
  <c r="Z2956" i="1"/>
  <c r="Y2956" i="1"/>
  <c r="X2956" i="1"/>
  <c r="W2956" i="1"/>
  <c r="Z2955" i="1"/>
  <c r="Y2955" i="1"/>
  <c r="X2955" i="1"/>
  <c r="W2955" i="1"/>
  <c r="Z2954" i="1"/>
  <c r="Y2954" i="1"/>
  <c r="X2954" i="1"/>
  <c r="W2954" i="1"/>
  <c r="Z2953" i="1"/>
  <c r="Y2953" i="1"/>
  <c r="X2953" i="1"/>
  <c r="W2953" i="1"/>
  <c r="Z2952" i="1"/>
  <c r="Y2952" i="1"/>
  <c r="X2952" i="1"/>
  <c r="W2952" i="1"/>
  <c r="Z2951" i="1"/>
  <c r="Y2951" i="1"/>
  <c r="X2951" i="1"/>
  <c r="W2951" i="1"/>
  <c r="Z2950" i="1"/>
  <c r="Y2950" i="1"/>
  <c r="X2950" i="1"/>
  <c r="W2950" i="1"/>
  <c r="Z2949" i="1"/>
  <c r="Y2949" i="1"/>
  <c r="X2949" i="1"/>
  <c r="W2949" i="1"/>
  <c r="Z2948" i="1"/>
  <c r="Y2948" i="1"/>
  <c r="X2948" i="1"/>
  <c r="W2948" i="1"/>
  <c r="Z2947" i="1"/>
  <c r="Y2947" i="1"/>
  <c r="X2947" i="1"/>
  <c r="W2947" i="1"/>
  <c r="Z2946" i="1"/>
  <c r="Y2946" i="1"/>
  <c r="X2946" i="1"/>
  <c r="W2946" i="1"/>
  <c r="Z2945" i="1"/>
  <c r="Y2945" i="1"/>
  <c r="X2945" i="1"/>
  <c r="W2945" i="1"/>
  <c r="Z2944" i="1"/>
  <c r="Y2944" i="1"/>
  <c r="X2944" i="1"/>
  <c r="W2944" i="1"/>
  <c r="Z2943" i="1"/>
  <c r="Y2943" i="1"/>
  <c r="X2943" i="1"/>
  <c r="W2943" i="1"/>
  <c r="Z2942" i="1"/>
  <c r="Y2942" i="1"/>
  <c r="X2942" i="1"/>
  <c r="W2942" i="1"/>
  <c r="Z2941" i="1"/>
  <c r="Y2941" i="1"/>
  <c r="X2941" i="1"/>
  <c r="W2941" i="1"/>
  <c r="Z2940" i="1"/>
  <c r="Y2940" i="1"/>
  <c r="X2940" i="1"/>
  <c r="W2940" i="1"/>
  <c r="Z2939" i="1"/>
  <c r="Y2939" i="1"/>
  <c r="X2939" i="1"/>
  <c r="W2939" i="1"/>
  <c r="Z2938" i="1"/>
  <c r="Y2938" i="1"/>
  <c r="X2938" i="1"/>
  <c r="W2938" i="1"/>
  <c r="Z2937" i="1"/>
  <c r="Y2937" i="1"/>
  <c r="X2937" i="1"/>
  <c r="W2937" i="1"/>
  <c r="Z2936" i="1"/>
  <c r="Y2936" i="1"/>
  <c r="X2936" i="1"/>
  <c r="W2936" i="1"/>
  <c r="Z2935" i="1"/>
  <c r="Y2935" i="1"/>
  <c r="X2935" i="1"/>
  <c r="W2935" i="1"/>
  <c r="Z2934" i="1"/>
  <c r="Y2934" i="1"/>
  <c r="X2934" i="1"/>
  <c r="W2934" i="1"/>
  <c r="Z2933" i="1"/>
  <c r="Y2933" i="1"/>
  <c r="X2933" i="1"/>
  <c r="W2933" i="1"/>
  <c r="Z2932" i="1"/>
  <c r="Y2932" i="1"/>
  <c r="X2932" i="1"/>
  <c r="W2932" i="1"/>
  <c r="Z2931" i="1"/>
  <c r="Y2931" i="1"/>
  <c r="X2931" i="1"/>
  <c r="W2931" i="1"/>
  <c r="Z2930" i="1"/>
  <c r="Y2930" i="1"/>
  <c r="X2930" i="1"/>
  <c r="W2930" i="1"/>
  <c r="Z2929" i="1"/>
  <c r="Y2929" i="1"/>
  <c r="X2929" i="1"/>
  <c r="W2929" i="1"/>
  <c r="Z2928" i="1"/>
  <c r="Y2928" i="1"/>
  <c r="X2928" i="1"/>
  <c r="W2928" i="1"/>
  <c r="Z2927" i="1"/>
  <c r="Y2927" i="1"/>
  <c r="X2927" i="1"/>
  <c r="W2927" i="1"/>
  <c r="Z2926" i="1"/>
  <c r="Y2926" i="1"/>
  <c r="X2926" i="1"/>
  <c r="W2926" i="1"/>
  <c r="Z2925" i="1"/>
  <c r="Y2925" i="1"/>
  <c r="X2925" i="1"/>
  <c r="W2925" i="1"/>
  <c r="Z2924" i="1"/>
  <c r="Y2924" i="1"/>
  <c r="X2924" i="1"/>
  <c r="W2924" i="1"/>
  <c r="Z2923" i="1"/>
  <c r="Y2923" i="1"/>
  <c r="X2923" i="1"/>
  <c r="W2923" i="1"/>
  <c r="Z2922" i="1"/>
  <c r="Y2922" i="1"/>
  <c r="X2922" i="1"/>
  <c r="W2922" i="1"/>
  <c r="Z2921" i="1"/>
  <c r="Y2921" i="1"/>
  <c r="X2921" i="1"/>
  <c r="W2921" i="1"/>
  <c r="Z2920" i="1"/>
  <c r="Y2920" i="1"/>
  <c r="X2920" i="1"/>
  <c r="W2920" i="1"/>
  <c r="Z2919" i="1"/>
  <c r="Y2919" i="1"/>
  <c r="X2919" i="1"/>
  <c r="W2919" i="1"/>
  <c r="Z2918" i="1"/>
  <c r="Y2918" i="1"/>
  <c r="X2918" i="1"/>
  <c r="W2918" i="1"/>
  <c r="Z2917" i="1"/>
  <c r="Y2917" i="1"/>
  <c r="X2917" i="1"/>
  <c r="W2917" i="1"/>
  <c r="Z2916" i="1"/>
  <c r="Y2916" i="1"/>
  <c r="X2916" i="1"/>
  <c r="W2916" i="1"/>
  <c r="Z2915" i="1"/>
  <c r="Y2915" i="1"/>
  <c r="X2915" i="1"/>
  <c r="W2915" i="1"/>
  <c r="Z2914" i="1"/>
  <c r="Y2914" i="1"/>
  <c r="X2914" i="1"/>
  <c r="W2914" i="1"/>
  <c r="Z2913" i="1"/>
  <c r="Y2913" i="1"/>
  <c r="X2913" i="1"/>
  <c r="W2913" i="1"/>
  <c r="Z2912" i="1"/>
  <c r="Y2912" i="1"/>
  <c r="X2912" i="1"/>
  <c r="W2912" i="1"/>
  <c r="Z2911" i="1"/>
  <c r="Y2911" i="1"/>
  <c r="X2911" i="1"/>
  <c r="W2911" i="1"/>
  <c r="Z2910" i="1"/>
  <c r="Y2910" i="1"/>
  <c r="X2910" i="1"/>
  <c r="W2910" i="1"/>
  <c r="Z2909" i="1"/>
  <c r="Y2909" i="1"/>
  <c r="X2909" i="1"/>
  <c r="W2909" i="1"/>
  <c r="Z2908" i="1"/>
  <c r="Y2908" i="1"/>
  <c r="X2908" i="1"/>
  <c r="W2908" i="1"/>
  <c r="Z2907" i="1"/>
  <c r="Y2907" i="1"/>
  <c r="X2907" i="1"/>
  <c r="W2907" i="1"/>
  <c r="Z2906" i="1"/>
  <c r="Y2906" i="1"/>
  <c r="X2906" i="1"/>
  <c r="W2906" i="1"/>
  <c r="Z2905" i="1"/>
  <c r="Y2905" i="1"/>
  <c r="X2905" i="1"/>
  <c r="W2905" i="1"/>
  <c r="Z2904" i="1"/>
  <c r="Y2904" i="1"/>
  <c r="X2904" i="1"/>
  <c r="W2904" i="1"/>
  <c r="Z2903" i="1"/>
  <c r="Y2903" i="1"/>
  <c r="X2903" i="1"/>
  <c r="W2903" i="1"/>
  <c r="Z2902" i="1"/>
  <c r="Y2902" i="1"/>
  <c r="X2902" i="1"/>
  <c r="W2902" i="1"/>
  <c r="Z2901" i="1"/>
  <c r="Y2901" i="1"/>
  <c r="X2901" i="1"/>
  <c r="W2901" i="1"/>
  <c r="Z2900" i="1"/>
  <c r="Y2900" i="1"/>
  <c r="X2900" i="1"/>
  <c r="W2900" i="1"/>
  <c r="Z2899" i="1"/>
  <c r="Y2899" i="1"/>
  <c r="X2899" i="1"/>
  <c r="W2899" i="1"/>
  <c r="Z2898" i="1"/>
  <c r="Y2898" i="1"/>
  <c r="X2898" i="1"/>
  <c r="W2898" i="1"/>
  <c r="Z2897" i="1"/>
  <c r="Y2897" i="1"/>
  <c r="X2897" i="1"/>
  <c r="W2897" i="1"/>
  <c r="Z2896" i="1"/>
  <c r="Y2896" i="1"/>
  <c r="X2896" i="1"/>
  <c r="W2896" i="1"/>
  <c r="Z2895" i="1"/>
  <c r="Y2895" i="1"/>
  <c r="X2895" i="1"/>
  <c r="W2895" i="1"/>
  <c r="Z2894" i="1"/>
  <c r="Y2894" i="1"/>
  <c r="X2894" i="1"/>
  <c r="W2894" i="1"/>
  <c r="Z2893" i="1"/>
  <c r="Y2893" i="1"/>
  <c r="X2893" i="1"/>
  <c r="W2893" i="1"/>
  <c r="Z2892" i="1"/>
  <c r="Y2892" i="1"/>
  <c r="X2892" i="1"/>
  <c r="W2892" i="1"/>
  <c r="Z2891" i="1"/>
  <c r="Y2891" i="1"/>
  <c r="X2891" i="1"/>
  <c r="W2891" i="1"/>
  <c r="Z2890" i="1"/>
  <c r="Y2890" i="1"/>
  <c r="X2890" i="1"/>
  <c r="W2890" i="1"/>
  <c r="Z2889" i="1"/>
  <c r="Y2889" i="1"/>
  <c r="X2889" i="1"/>
  <c r="W2889" i="1"/>
  <c r="Z2888" i="1"/>
  <c r="Y2888" i="1"/>
  <c r="X2888" i="1"/>
  <c r="W2888" i="1"/>
  <c r="Z2887" i="1"/>
  <c r="Y2887" i="1"/>
  <c r="X2887" i="1"/>
  <c r="W2887" i="1"/>
  <c r="Z2886" i="1"/>
  <c r="Y2886" i="1"/>
  <c r="X2886" i="1"/>
  <c r="W2886" i="1"/>
  <c r="Z2885" i="1"/>
  <c r="Y2885" i="1"/>
  <c r="X2885" i="1"/>
  <c r="W2885" i="1"/>
  <c r="Z2884" i="1"/>
  <c r="Y2884" i="1"/>
  <c r="X2884" i="1"/>
  <c r="W2884" i="1"/>
  <c r="Z2883" i="1"/>
  <c r="Y2883" i="1"/>
  <c r="X2883" i="1"/>
  <c r="W2883" i="1"/>
  <c r="Z2882" i="1"/>
  <c r="Y2882" i="1"/>
  <c r="X2882" i="1"/>
  <c r="W2882" i="1"/>
  <c r="Z2881" i="1"/>
  <c r="Y2881" i="1"/>
  <c r="X2881" i="1"/>
  <c r="W2881" i="1"/>
  <c r="Z2880" i="1"/>
  <c r="Y2880" i="1"/>
  <c r="X2880" i="1"/>
  <c r="W2880" i="1"/>
  <c r="Z2879" i="1"/>
  <c r="Y2879" i="1"/>
  <c r="X2879" i="1"/>
  <c r="W2879" i="1"/>
  <c r="Z2878" i="1"/>
  <c r="Y2878" i="1"/>
  <c r="X2878" i="1"/>
  <c r="W2878" i="1"/>
  <c r="Z2877" i="1"/>
  <c r="Y2877" i="1"/>
  <c r="X2877" i="1"/>
  <c r="W2877" i="1"/>
  <c r="Z2876" i="1"/>
  <c r="Y2876" i="1"/>
  <c r="X2876" i="1"/>
  <c r="W2876" i="1"/>
  <c r="Z2875" i="1"/>
  <c r="Y2875" i="1"/>
  <c r="X2875" i="1"/>
  <c r="W2875" i="1"/>
  <c r="Z2874" i="1"/>
  <c r="Y2874" i="1"/>
  <c r="X2874" i="1"/>
  <c r="W2874" i="1"/>
  <c r="Z2873" i="1"/>
  <c r="Y2873" i="1"/>
  <c r="X2873" i="1"/>
  <c r="W2873" i="1"/>
  <c r="Z2872" i="1"/>
  <c r="Y2872" i="1"/>
  <c r="X2872" i="1"/>
  <c r="W2872" i="1"/>
  <c r="Z2871" i="1"/>
  <c r="Y2871" i="1"/>
  <c r="X2871" i="1"/>
  <c r="W2871" i="1"/>
  <c r="Z2870" i="1"/>
  <c r="Y2870" i="1"/>
  <c r="X2870" i="1"/>
  <c r="W2870" i="1"/>
  <c r="Z2869" i="1"/>
  <c r="Y2869" i="1"/>
  <c r="X2869" i="1"/>
  <c r="W2869" i="1"/>
  <c r="Z2868" i="1"/>
  <c r="Y2868" i="1"/>
  <c r="X2868" i="1"/>
  <c r="W2868" i="1"/>
  <c r="Z2867" i="1"/>
  <c r="Y2867" i="1"/>
  <c r="X2867" i="1"/>
  <c r="W2867" i="1"/>
  <c r="Z2866" i="1"/>
  <c r="Y2866" i="1"/>
  <c r="X2866" i="1"/>
  <c r="W2866" i="1"/>
  <c r="Z2865" i="1"/>
  <c r="Y2865" i="1"/>
  <c r="X2865" i="1"/>
  <c r="W2865" i="1"/>
  <c r="Z2864" i="1"/>
  <c r="Y2864" i="1"/>
  <c r="X2864" i="1"/>
  <c r="W2864" i="1"/>
  <c r="Z2863" i="1"/>
  <c r="Y2863" i="1"/>
  <c r="X2863" i="1"/>
  <c r="W2863" i="1"/>
  <c r="Z2862" i="1"/>
  <c r="Y2862" i="1"/>
  <c r="X2862" i="1"/>
  <c r="W2862" i="1"/>
  <c r="Z2861" i="1"/>
  <c r="Y2861" i="1"/>
  <c r="X2861" i="1"/>
  <c r="W2861" i="1"/>
  <c r="Z2860" i="1"/>
  <c r="Y2860" i="1"/>
  <c r="X2860" i="1"/>
  <c r="W2860" i="1"/>
  <c r="Z2859" i="1"/>
  <c r="Y2859" i="1"/>
  <c r="X2859" i="1"/>
  <c r="W2859" i="1"/>
  <c r="Z2858" i="1"/>
  <c r="Y2858" i="1"/>
  <c r="X2858" i="1"/>
  <c r="W2858" i="1"/>
  <c r="Z2857" i="1"/>
  <c r="Y2857" i="1"/>
  <c r="X2857" i="1"/>
  <c r="W2857" i="1"/>
  <c r="Z2856" i="1"/>
  <c r="Y2856" i="1"/>
  <c r="X2856" i="1"/>
  <c r="W2856" i="1"/>
  <c r="Z2855" i="1"/>
  <c r="Y2855" i="1"/>
  <c r="X2855" i="1"/>
  <c r="W2855" i="1"/>
  <c r="Z2854" i="1"/>
  <c r="Y2854" i="1"/>
  <c r="X2854" i="1"/>
  <c r="W2854" i="1"/>
  <c r="Z2853" i="1"/>
  <c r="Y2853" i="1"/>
  <c r="X2853" i="1"/>
  <c r="W2853" i="1"/>
  <c r="Z2852" i="1"/>
  <c r="Y2852" i="1"/>
  <c r="X2852" i="1"/>
  <c r="W2852" i="1"/>
  <c r="Z2851" i="1"/>
  <c r="Y2851" i="1"/>
  <c r="X2851" i="1"/>
  <c r="W2851" i="1"/>
  <c r="Z2850" i="1"/>
  <c r="Y2850" i="1"/>
  <c r="X2850" i="1"/>
  <c r="W2850" i="1"/>
  <c r="Z2849" i="1"/>
  <c r="Y2849" i="1"/>
  <c r="X2849" i="1"/>
  <c r="W2849" i="1"/>
  <c r="Z2848" i="1"/>
  <c r="Y2848" i="1"/>
  <c r="X2848" i="1"/>
  <c r="W2848" i="1"/>
  <c r="Z2847" i="1"/>
  <c r="Y2847" i="1"/>
  <c r="X2847" i="1"/>
  <c r="W2847" i="1"/>
  <c r="Z2846" i="1"/>
  <c r="Y2846" i="1"/>
  <c r="X2846" i="1"/>
  <c r="W2846" i="1"/>
  <c r="Z2845" i="1"/>
  <c r="Y2845" i="1"/>
  <c r="X2845" i="1"/>
  <c r="W2845" i="1"/>
  <c r="Z2844" i="1"/>
  <c r="Y2844" i="1"/>
  <c r="X2844" i="1"/>
  <c r="W2844" i="1"/>
  <c r="Z2843" i="1"/>
  <c r="Y2843" i="1"/>
  <c r="X2843" i="1"/>
  <c r="W2843" i="1"/>
  <c r="Z2842" i="1"/>
  <c r="Y2842" i="1"/>
  <c r="X2842" i="1"/>
  <c r="W2842" i="1"/>
  <c r="Z2841" i="1"/>
  <c r="Y2841" i="1"/>
  <c r="X2841" i="1"/>
  <c r="W2841" i="1"/>
  <c r="Z2840" i="1"/>
  <c r="Y2840" i="1"/>
  <c r="X2840" i="1"/>
  <c r="W2840" i="1"/>
  <c r="Z2839" i="1"/>
  <c r="Y2839" i="1"/>
  <c r="X2839" i="1"/>
  <c r="W2839" i="1"/>
  <c r="Z2838" i="1"/>
  <c r="Y2838" i="1"/>
  <c r="X2838" i="1"/>
  <c r="W2838" i="1"/>
  <c r="Z2837" i="1"/>
  <c r="Y2837" i="1"/>
  <c r="X2837" i="1"/>
  <c r="W2837" i="1"/>
  <c r="Z2836" i="1"/>
  <c r="Y2836" i="1"/>
  <c r="X2836" i="1"/>
  <c r="W2836" i="1"/>
  <c r="Z2835" i="1"/>
  <c r="Y2835" i="1"/>
  <c r="X2835" i="1"/>
  <c r="W2835" i="1"/>
  <c r="Z2834" i="1"/>
  <c r="Y2834" i="1"/>
  <c r="X2834" i="1"/>
  <c r="W2834" i="1"/>
  <c r="Z2833" i="1"/>
  <c r="Y2833" i="1"/>
  <c r="X2833" i="1"/>
  <c r="W2833" i="1"/>
  <c r="Z2832" i="1"/>
  <c r="Y2832" i="1"/>
  <c r="X2832" i="1"/>
  <c r="W2832" i="1"/>
  <c r="Z2831" i="1"/>
  <c r="Y2831" i="1"/>
  <c r="X2831" i="1"/>
  <c r="W2831" i="1"/>
  <c r="Z2830" i="1"/>
  <c r="Y2830" i="1"/>
  <c r="X2830" i="1"/>
  <c r="W2830" i="1"/>
  <c r="Z2829" i="1"/>
  <c r="Y2829" i="1"/>
  <c r="X2829" i="1"/>
  <c r="W2829" i="1"/>
  <c r="Z2828" i="1"/>
  <c r="Y2828" i="1"/>
  <c r="X2828" i="1"/>
  <c r="W2828" i="1"/>
  <c r="Z2827" i="1"/>
  <c r="Y2827" i="1"/>
  <c r="X2827" i="1"/>
  <c r="W2827" i="1"/>
  <c r="Z2826" i="1"/>
  <c r="Y2826" i="1"/>
  <c r="X2826" i="1"/>
  <c r="W2826" i="1"/>
  <c r="Z2825" i="1"/>
  <c r="Y2825" i="1"/>
  <c r="X2825" i="1"/>
  <c r="W2825" i="1"/>
  <c r="Z2824" i="1"/>
  <c r="Y2824" i="1"/>
  <c r="X2824" i="1"/>
  <c r="W2824" i="1"/>
  <c r="Z2823" i="1"/>
  <c r="Y2823" i="1"/>
  <c r="X2823" i="1"/>
  <c r="W2823" i="1"/>
  <c r="Z2822" i="1"/>
  <c r="Y2822" i="1"/>
  <c r="X2822" i="1"/>
  <c r="W2822" i="1"/>
  <c r="Z2821" i="1"/>
  <c r="Y2821" i="1"/>
  <c r="X2821" i="1"/>
  <c r="W2821" i="1"/>
  <c r="Z2820" i="1"/>
  <c r="Y2820" i="1"/>
  <c r="X2820" i="1"/>
  <c r="W2820" i="1"/>
  <c r="Z2819" i="1"/>
  <c r="Y2819" i="1"/>
  <c r="X2819" i="1"/>
  <c r="W2819" i="1"/>
  <c r="Z2818" i="1"/>
  <c r="Y2818" i="1"/>
  <c r="X2818" i="1"/>
  <c r="W2818" i="1"/>
  <c r="Z2817" i="1"/>
  <c r="Y2817" i="1"/>
  <c r="X2817" i="1"/>
  <c r="W2817" i="1"/>
  <c r="Z2816" i="1"/>
  <c r="Y2816" i="1"/>
  <c r="X2816" i="1"/>
  <c r="W2816" i="1"/>
  <c r="Z2815" i="1"/>
  <c r="Y2815" i="1"/>
  <c r="X2815" i="1"/>
  <c r="W2815" i="1"/>
  <c r="Z2814" i="1"/>
  <c r="Y2814" i="1"/>
  <c r="X2814" i="1"/>
  <c r="W2814" i="1"/>
  <c r="Z2813" i="1"/>
  <c r="Y2813" i="1"/>
  <c r="X2813" i="1"/>
  <c r="W2813" i="1"/>
  <c r="Z2812" i="1"/>
  <c r="Y2812" i="1"/>
  <c r="X2812" i="1"/>
  <c r="W2812" i="1"/>
  <c r="Z2811" i="1"/>
  <c r="Y2811" i="1"/>
  <c r="X2811" i="1"/>
  <c r="W2811" i="1"/>
  <c r="Z2810" i="1"/>
  <c r="Y2810" i="1"/>
  <c r="X2810" i="1"/>
  <c r="W2810" i="1"/>
  <c r="Z2809" i="1"/>
  <c r="Y2809" i="1"/>
  <c r="X2809" i="1"/>
  <c r="W2809" i="1"/>
  <c r="Z2808" i="1"/>
  <c r="Y2808" i="1"/>
  <c r="X2808" i="1"/>
  <c r="W2808" i="1"/>
  <c r="Z2807" i="1"/>
  <c r="Y2807" i="1"/>
  <c r="X2807" i="1"/>
  <c r="W2807" i="1"/>
  <c r="Z2806" i="1"/>
  <c r="Y2806" i="1"/>
  <c r="X2806" i="1"/>
  <c r="W2806" i="1"/>
  <c r="Z2805" i="1"/>
  <c r="Y2805" i="1"/>
  <c r="X2805" i="1"/>
  <c r="W2805" i="1"/>
  <c r="Z2804" i="1"/>
  <c r="Y2804" i="1"/>
  <c r="X2804" i="1"/>
  <c r="W2804" i="1"/>
  <c r="Z2803" i="1"/>
  <c r="Y2803" i="1"/>
  <c r="X2803" i="1"/>
  <c r="W2803" i="1"/>
  <c r="Z2802" i="1"/>
  <c r="Y2802" i="1"/>
  <c r="X2802" i="1"/>
  <c r="W2802" i="1"/>
  <c r="Z2801" i="1"/>
  <c r="Y2801" i="1"/>
  <c r="X2801" i="1"/>
  <c r="W2801" i="1"/>
  <c r="Z2800" i="1"/>
  <c r="Y2800" i="1"/>
  <c r="X2800" i="1"/>
  <c r="W2800" i="1"/>
  <c r="Z2799" i="1"/>
  <c r="Y2799" i="1"/>
  <c r="X2799" i="1"/>
  <c r="W2799" i="1"/>
  <c r="Z2798" i="1"/>
  <c r="Y2798" i="1"/>
  <c r="X2798" i="1"/>
  <c r="W2798" i="1"/>
  <c r="Z2797" i="1"/>
  <c r="Y2797" i="1"/>
  <c r="X2797" i="1"/>
  <c r="W2797" i="1"/>
  <c r="Z2796" i="1"/>
  <c r="Y2796" i="1"/>
  <c r="X2796" i="1"/>
  <c r="W2796" i="1"/>
  <c r="Z2795" i="1"/>
  <c r="Y2795" i="1"/>
  <c r="X2795" i="1"/>
  <c r="W2795" i="1"/>
  <c r="Z2794" i="1"/>
  <c r="Y2794" i="1"/>
  <c r="X2794" i="1"/>
  <c r="W2794" i="1"/>
  <c r="Z2793" i="1"/>
  <c r="Y2793" i="1"/>
  <c r="X2793" i="1"/>
  <c r="W2793" i="1"/>
  <c r="Z2792" i="1"/>
  <c r="Y2792" i="1"/>
  <c r="X2792" i="1"/>
  <c r="W2792" i="1"/>
  <c r="Z2791" i="1"/>
  <c r="Y2791" i="1"/>
  <c r="X2791" i="1"/>
  <c r="W2791" i="1"/>
  <c r="Z2790" i="1"/>
  <c r="Y2790" i="1"/>
  <c r="X2790" i="1"/>
  <c r="W2790" i="1"/>
  <c r="Z2789" i="1"/>
  <c r="Y2789" i="1"/>
  <c r="X2789" i="1"/>
  <c r="W2789" i="1"/>
  <c r="Z2788" i="1"/>
  <c r="Y2788" i="1"/>
  <c r="X2788" i="1"/>
  <c r="W2788" i="1"/>
  <c r="Z2787" i="1"/>
  <c r="Y2787" i="1"/>
  <c r="X2787" i="1"/>
  <c r="W2787" i="1"/>
  <c r="Z2786" i="1"/>
  <c r="Y2786" i="1"/>
  <c r="X2786" i="1"/>
  <c r="W2786" i="1"/>
  <c r="Z2785" i="1"/>
  <c r="Y2785" i="1"/>
  <c r="X2785" i="1"/>
  <c r="W2785" i="1"/>
  <c r="Z2784" i="1"/>
  <c r="Y2784" i="1"/>
  <c r="X2784" i="1"/>
  <c r="W2784" i="1"/>
  <c r="Z2783" i="1"/>
  <c r="Y2783" i="1"/>
  <c r="X2783" i="1"/>
  <c r="W2783" i="1"/>
  <c r="Z2782" i="1"/>
  <c r="Y2782" i="1"/>
  <c r="X2782" i="1"/>
  <c r="W2782" i="1"/>
  <c r="Z2781" i="1"/>
  <c r="Y2781" i="1"/>
  <c r="X2781" i="1"/>
  <c r="W2781" i="1"/>
  <c r="Z2780" i="1"/>
  <c r="Y2780" i="1"/>
  <c r="X2780" i="1"/>
  <c r="W2780" i="1"/>
  <c r="Z2779" i="1"/>
  <c r="Y2779" i="1"/>
  <c r="X2779" i="1"/>
  <c r="W2779" i="1"/>
  <c r="Z2778" i="1"/>
  <c r="Y2778" i="1"/>
  <c r="X2778" i="1"/>
  <c r="W2778" i="1"/>
  <c r="Z2777" i="1"/>
  <c r="Y2777" i="1"/>
  <c r="X2777" i="1"/>
  <c r="W2777" i="1"/>
  <c r="Z2776" i="1"/>
  <c r="Y2776" i="1"/>
  <c r="X2776" i="1"/>
  <c r="W2776" i="1"/>
  <c r="Z2775" i="1"/>
  <c r="Y2775" i="1"/>
  <c r="X2775" i="1"/>
  <c r="W2775" i="1"/>
  <c r="Z2774" i="1"/>
  <c r="Y2774" i="1"/>
  <c r="X2774" i="1"/>
  <c r="W2774" i="1"/>
  <c r="Z2773" i="1"/>
  <c r="Y2773" i="1"/>
  <c r="X2773" i="1"/>
  <c r="W2773" i="1"/>
  <c r="Z2772" i="1"/>
  <c r="Y2772" i="1"/>
  <c r="X2772" i="1"/>
  <c r="W2772" i="1"/>
  <c r="Z2771" i="1"/>
  <c r="Y2771" i="1"/>
  <c r="X2771" i="1"/>
  <c r="W2771" i="1"/>
  <c r="Z2770" i="1"/>
  <c r="Y2770" i="1"/>
  <c r="X2770" i="1"/>
  <c r="W2770" i="1"/>
  <c r="Z2769" i="1"/>
  <c r="Y2769" i="1"/>
  <c r="X2769" i="1"/>
  <c r="W2769" i="1"/>
  <c r="Z2768" i="1"/>
  <c r="Y2768" i="1"/>
  <c r="X2768" i="1"/>
  <c r="W2768" i="1"/>
  <c r="Z2767" i="1"/>
  <c r="Y2767" i="1"/>
  <c r="X2767" i="1"/>
  <c r="W2767" i="1"/>
  <c r="Z2766" i="1"/>
  <c r="Y2766" i="1"/>
  <c r="X2766" i="1"/>
  <c r="W2766" i="1"/>
  <c r="Z2765" i="1"/>
  <c r="Y2765" i="1"/>
  <c r="X2765" i="1"/>
  <c r="W2765" i="1"/>
  <c r="Z2764" i="1"/>
  <c r="Y2764" i="1"/>
  <c r="X2764" i="1"/>
  <c r="W2764" i="1"/>
  <c r="Z2763" i="1"/>
  <c r="Y2763" i="1"/>
  <c r="X2763" i="1"/>
  <c r="W2763" i="1"/>
  <c r="Z2762" i="1"/>
  <c r="Y2762" i="1"/>
  <c r="X2762" i="1"/>
  <c r="W2762" i="1"/>
  <c r="Z2761" i="1"/>
  <c r="Y2761" i="1"/>
  <c r="X2761" i="1"/>
  <c r="W2761" i="1"/>
  <c r="Z2760" i="1"/>
  <c r="Y2760" i="1"/>
  <c r="X2760" i="1"/>
  <c r="W2760" i="1"/>
  <c r="Z2759" i="1"/>
  <c r="Y2759" i="1"/>
  <c r="X2759" i="1"/>
  <c r="W2759" i="1"/>
  <c r="Z2758" i="1"/>
  <c r="Y2758" i="1"/>
  <c r="X2758" i="1"/>
  <c r="W2758" i="1"/>
  <c r="Z2757" i="1"/>
  <c r="Y2757" i="1"/>
  <c r="X2757" i="1"/>
  <c r="W2757" i="1"/>
  <c r="Z2756" i="1"/>
  <c r="Y2756" i="1"/>
  <c r="X2756" i="1"/>
  <c r="W2756" i="1"/>
  <c r="Z2755" i="1"/>
  <c r="Y2755" i="1"/>
  <c r="X2755" i="1"/>
  <c r="W2755" i="1"/>
  <c r="Z2754" i="1"/>
  <c r="Y2754" i="1"/>
  <c r="X2754" i="1"/>
  <c r="W2754" i="1"/>
  <c r="Z2753" i="1"/>
  <c r="Y2753" i="1"/>
  <c r="X2753" i="1"/>
  <c r="W2753" i="1"/>
  <c r="Z2752" i="1"/>
  <c r="Y2752" i="1"/>
  <c r="X2752" i="1"/>
  <c r="W2752" i="1"/>
  <c r="Z2751" i="1"/>
  <c r="Y2751" i="1"/>
  <c r="X2751" i="1"/>
  <c r="W2751" i="1"/>
  <c r="Z2750" i="1"/>
  <c r="Y2750" i="1"/>
  <c r="X2750" i="1"/>
  <c r="W2750" i="1"/>
  <c r="Z2749" i="1"/>
  <c r="Y2749" i="1"/>
  <c r="X2749" i="1"/>
  <c r="W2749" i="1"/>
  <c r="Z2748" i="1"/>
  <c r="Y2748" i="1"/>
  <c r="X2748" i="1"/>
  <c r="W2748" i="1"/>
  <c r="Z2747" i="1"/>
  <c r="Y2747" i="1"/>
  <c r="X2747" i="1"/>
  <c r="W2747" i="1"/>
  <c r="Z2746" i="1"/>
  <c r="Y2746" i="1"/>
  <c r="X2746" i="1"/>
  <c r="W2746" i="1"/>
  <c r="Z2745" i="1"/>
  <c r="Y2745" i="1"/>
  <c r="X2745" i="1"/>
  <c r="W2745" i="1"/>
  <c r="Z2744" i="1"/>
  <c r="Y2744" i="1"/>
  <c r="X2744" i="1"/>
  <c r="W2744" i="1"/>
  <c r="Z2743" i="1"/>
  <c r="Y2743" i="1"/>
  <c r="X2743" i="1"/>
  <c r="W2743" i="1"/>
  <c r="Z2742" i="1"/>
  <c r="Y2742" i="1"/>
  <c r="X2742" i="1"/>
  <c r="W2742" i="1"/>
  <c r="Z2741" i="1"/>
  <c r="Y2741" i="1"/>
  <c r="X2741" i="1"/>
  <c r="W2741" i="1"/>
  <c r="Z2740" i="1"/>
  <c r="Y2740" i="1"/>
  <c r="X2740" i="1"/>
  <c r="W2740" i="1"/>
  <c r="Z2739" i="1"/>
  <c r="Y2739" i="1"/>
  <c r="X2739" i="1"/>
  <c r="W2739" i="1"/>
  <c r="Z2738" i="1"/>
  <c r="Y2738" i="1"/>
  <c r="X2738" i="1"/>
  <c r="W2738" i="1"/>
  <c r="Z2737" i="1"/>
  <c r="Y2737" i="1"/>
  <c r="X2737" i="1"/>
  <c r="W2737" i="1"/>
  <c r="Z2736" i="1"/>
  <c r="Y2736" i="1"/>
  <c r="X2736" i="1"/>
  <c r="W2736" i="1"/>
  <c r="Z2735" i="1"/>
  <c r="Y2735" i="1"/>
  <c r="X2735" i="1"/>
  <c r="W2735" i="1"/>
  <c r="Z2734" i="1"/>
  <c r="Y2734" i="1"/>
  <c r="X2734" i="1"/>
  <c r="W2734" i="1"/>
  <c r="Z2733" i="1"/>
  <c r="Y2733" i="1"/>
  <c r="X2733" i="1"/>
  <c r="W2733" i="1"/>
  <c r="Z2732" i="1"/>
  <c r="Y2732" i="1"/>
  <c r="X2732" i="1"/>
  <c r="W2732" i="1"/>
  <c r="Z2731" i="1"/>
  <c r="Y2731" i="1"/>
  <c r="X2731" i="1"/>
  <c r="W2731" i="1"/>
  <c r="Z2730" i="1"/>
  <c r="Y2730" i="1"/>
  <c r="X2730" i="1"/>
  <c r="W2730" i="1"/>
  <c r="Z2729" i="1"/>
  <c r="Y2729" i="1"/>
  <c r="X2729" i="1"/>
  <c r="W2729" i="1"/>
  <c r="Z2728" i="1"/>
  <c r="Y2728" i="1"/>
  <c r="X2728" i="1"/>
  <c r="W2728" i="1"/>
  <c r="Z2727" i="1"/>
  <c r="Y2727" i="1"/>
  <c r="X2727" i="1"/>
  <c r="W2727" i="1"/>
  <c r="Z2726" i="1"/>
  <c r="Y2726" i="1"/>
  <c r="X2726" i="1"/>
  <c r="W2726" i="1"/>
  <c r="Z2725" i="1"/>
  <c r="Y2725" i="1"/>
  <c r="X2725" i="1"/>
  <c r="W2725" i="1"/>
  <c r="Z2724" i="1"/>
  <c r="Y2724" i="1"/>
  <c r="X2724" i="1"/>
  <c r="W2724" i="1"/>
  <c r="Z2723" i="1"/>
  <c r="Y2723" i="1"/>
  <c r="X2723" i="1"/>
  <c r="W2723" i="1"/>
  <c r="Z2722" i="1"/>
  <c r="Y2722" i="1"/>
  <c r="X2722" i="1"/>
  <c r="W2722" i="1"/>
  <c r="Z2721" i="1"/>
  <c r="Y2721" i="1"/>
  <c r="X2721" i="1"/>
  <c r="W2721" i="1"/>
  <c r="Z2720" i="1"/>
  <c r="Y2720" i="1"/>
  <c r="X2720" i="1"/>
  <c r="W2720" i="1"/>
  <c r="Z2719" i="1"/>
  <c r="Y2719" i="1"/>
  <c r="X2719" i="1"/>
  <c r="W2719" i="1"/>
  <c r="Z2718" i="1"/>
  <c r="Y2718" i="1"/>
  <c r="X2718" i="1"/>
  <c r="W2718" i="1"/>
  <c r="Z2717" i="1"/>
  <c r="Y2717" i="1"/>
  <c r="X2717" i="1"/>
  <c r="W2717" i="1"/>
  <c r="Z2716" i="1"/>
  <c r="Y2716" i="1"/>
  <c r="X2716" i="1"/>
  <c r="W2716" i="1"/>
  <c r="Z2715" i="1"/>
  <c r="Y2715" i="1"/>
  <c r="X2715" i="1"/>
  <c r="W2715" i="1"/>
  <c r="Z2714" i="1"/>
  <c r="Y2714" i="1"/>
  <c r="X2714" i="1"/>
  <c r="W2714" i="1"/>
  <c r="Z2713" i="1"/>
  <c r="Y2713" i="1"/>
  <c r="X2713" i="1"/>
  <c r="W2713" i="1"/>
  <c r="Z2712" i="1"/>
  <c r="Y2712" i="1"/>
  <c r="X2712" i="1"/>
  <c r="W2712" i="1"/>
  <c r="Z2711" i="1"/>
  <c r="Y2711" i="1"/>
  <c r="X2711" i="1"/>
  <c r="W2711" i="1"/>
  <c r="Z2710" i="1"/>
  <c r="Y2710" i="1"/>
  <c r="X2710" i="1"/>
  <c r="W2710" i="1"/>
  <c r="Z2709" i="1"/>
  <c r="Y2709" i="1"/>
  <c r="X2709" i="1"/>
  <c r="W2709" i="1"/>
  <c r="Z2708" i="1"/>
  <c r="Y2708" i="1"/>
  <c r="X2708" i="1"/>
  <c r="W2708" i="1"/>
  <c r="Z2707" i="1"/>
  <c r="Y2707" i="1"/>
  <c r="X2707" i="1"/>
  <c r="W2707" i="1"/>
  <c r="Z2706" i="1"/>
  <c r="Y2706" i="1"/>
  <c r="X2706" i="1"/>
  <c r="W2706" i="1"/>
  <c r="Z2705" i="1"/>
  <c r="Y2705" i="1"/>
  <c r="X2705" i="1"/>
  <c r="W2705" i="1"/>
  <c r="Z2704" i="1"/>
  <c r="Y2704" i="1"/>
  <c r="X2704" i="1"/>
  <c r="W2704" i="1"/>
  <c r="Z2703" i="1"/>
  <c r="Y2703" i="1"/>
  <c r="X2703" i="1"/>
  <c r="W2703" i="1"/>
  <c r="Z2702" i="1"/>
  <c r="Y2702" i="1"/>
  <c r="X2702" i="1"/>
  <c r="W2702" i="1"/>
  <c r="Z2701" i="1"/>
  <c r="Y2701" i="1"/>
  <c r="X2701" i="1"/>
  <c r="W2701" i="1"/>
  <c r="Z2700" i="1"/>
  <c r="Y2700" i="1"/>
  <c r="X2700" i="1"/>
  <c r="W2700" i="1"/>
  <c r="Z2699" i="1"/>
  <c r="Y2699" i="1"/>
  <c r="X2699" i="1"/>
  <c r="W2699" i="1"/>
  <c r="Z2698" i="1"/>
  <c r="Y2698" i="1"/>
  <c r="X2698" i="1"/>
  <c r="W2698" i="1"/>
  <c r="Z2697" i="1"/>
  <c r="Y2697" i="1"/>
  <c r="X2697" i="1"/>
  <c r="W2697" i="1"/>
  <c r="Z2696" i="1"/>
  <c r="Y2696" i="1"/>
  <c r="X2696" i="1"/>
  <c r="W2696" i="1"/>
  <c r="Z2695" i="1"/>
  <c r="Y2695" i="1"/>
  <c r="X2695" i="1"/>
  <c r="W2695" i="1"/>
  <c r="Z2694" i="1"/>
  <c r="Y2694" i="1"/>
  <c r="X2694" i="1"/>
  <c r="W2694" i="1"/>
  <c r="Z2693" i="1"/>
  <c r="Y2693" i="1"/>
  <c r="X2693" i="1"/>
  <c r="W2693" i="1"/>
  <c r="Z2692" i="1"/>
  <c r="Y2692" i="1"/>
  <c r="X2692" i="1"/>
  <c r="W2692" i="1"/>
  <c r="Z2691" i="1"/>
  <c r="Y2691" i="1"/>
  <c r="X2691" i="1"/>
  <c r="W2691" i="1"/>
  <c r="Z2690" i="1"/>
  <c r="Y2690" i="1"/>
  <c r="X2690" i="1"/>
  <c r="W2690" i="1"/>
  <c r="Z2689" i="1"/>
  <c r="Y2689" i="1"/>
  <c r="X2689" i="1"/>
  <c r="W2689" i="1"/>
  <c r="Z2688" i="1"/>
  <c r="Y2688" i="1"/>
  <c r="X2688" i="1"/>
  <c r="W2688" i="1"/>
  <c r="Z2687" i="1"/>
  <c r="Y2687" i="1"/>
  <c r="X2687" i="1"/>
  <c r="W2687" i="1"/>
  <c r="Z2686" i="1"/>
  <c r="Y2686" i="1"/>
  <c r="X2686" i="1"/>
  <c r="W2686" i="1"/>
  <c r="Z2685" i="1"/>
  <c r="Y2685" i="1"/>
  <c r="X2685" i="1"/>
  <c r="W2685" i="1"/>
  <c r="Z2684" i="1"/>
  <c r="Y2684" i="1"/>
  <c r="X2684" i="1"/>
  <c r="W2684" i="1"/>
  <c r="Z2683" i="1"/>
  <c r="Y2683" i="1"/>
  <c r="X2683" i="1"/>
  <c r="W2683" i="1"/>
  <c r="Z2682" i="1"/>
  <c r="Y2682" i="1"/>
  <c r="X2682" i="1"/>
  <c r="W2682" i="1"/>
  <c r="Z2681" i="1"/>
  <c r="Y2681" i="1"/>
  <c r="X2681" i="1"/>
  <c r="W2681" i="1"/>
  <c r="Z2680" i="1"/>
  <c r="Y2680" i="1"/>
  <c r="X2680" i="1"/>
  <c r="W2680" i="1"/>
  <c r="Z2679" i="1"/>
  <c r="Y2679" i="1"/>
  <c r="X2679" i="1"/>
  <c r="W2679" i="1"/>
  <c r="Z2678" i="1"/>
  <c r="Y2678" i="1"/>
  <c r="X2678" i="1"/>
  <c r="W2678" i="1"/>
  <c r="Z2677" i="1"/>
  <c r="Y2677" i="1"/>
  <c r="X2677" i="1"/>
  <c r="W2677" i="1"/>
  <c r="Z2676" i="1"/>
  <c r="Y2676" i="1"/>
  <c r="X2676" i="1"/>
  <c r="W2676" i="1"/>
  <c r="Z2675" i="1"/>
  <c r="Y2675" i="1"/>
  <c r="X2675" i="1"/>
  <c r="W2675" i="1"/>
  <c r="Z2674" i="1"/>
  <c r="Y2674" i="1"/>
  <c r="X2674" i="1"/>
  <c r="W2674" i="1"/>
  <c r="Z2673" i="1"/>
  <c r="Y2673" i="1"/>
  <c r="X2673" i="1"/>
  <c r="W2673" i="1"/>
  <c r="Z2672" i="1"/>
  <c r="Y2672" i="1"/>
  <c r="X2672" i="1"/>
  <c r="W2672" i="1"/>
  <c r="Z2671" i="1"/>
  <c r="Y2671" i="1"/>
  <c r="X2671" i="1"/>
  <c r="W2671" i="1"/>
  <c r="Z2670" i="1"/>
  <c r="Y2670" i="1"/>
  <c r="X2670" i="1"/>
  <c r="W2670" i="1"/>
  <c r="Z2669" i="1"/>
  <c r="Y2669" i="1"/>
  <c r="X2669" i="1"/>
  <c r="W2669" i="1"/>
  <c r="Z2668" i="1"/>
  <c r="Y2668" i="1"/>
  <c r="X2668" i="1"/>
  <c r="W2668" i="1"/>
  <c r="Z2667" i="1"/>
  <c r="Y2667" i="1"/>
  <c r="X2667" i="1"/>
  <c r="W2667" i="1"/>
  <c r="Z2666" i="1"/>
  <c r="Y2666" i="1"/>
  <c r="X2666" i="1"/>
  <c r="W2666" i="1"/>
  <c r="Z2665" i="1"/>
  <c r="Y2665" i="1"/>
  <c r="X2665" i="1"/>
  <c r="W2665" i="1"/>
  <c r="Z2664" i="1"/>
  <c r="Y2664" i="1"/>
  <c r="X2664" i="1"/>
  <c r="W2664" i="1"/>
  <c r="Z2663" i="1"/>
  <c r="Y2663" i="1"/>
  <c r="X2663" i="1"/>
  <c r="W2663" i="1"/>
  <c r="Z2662" i="1"/>
  <c r="Y2662" i="1"/>
  <c r="X2662" i="1"/>
  <c r="W2662" i="1"/>
  <c r="Z2661" i="1"/>
  <c r="Y2661" i="1"/>
  <c r="X2661" i="1"/>
  <c r="W2661" i="1"/>
  <c r="Z2660" i="1"/>
  <c r="Y2660" i="1"/>
  <c r="X2660" i="1"/>
  <c r="W2660" i="1"/>
  <c r="Z2659" i="1"/>
  <c r="Y2659" i="1"/>
  <c r="X2659" i="1"/>
  <c r="W2659" i="1"/>
  <c r="Z2658" i="1"/>
  <c r="Y2658" i="1"/>
  <c r="X2658" i="1"/>
  <c r="W2658" i="1"/>
  <c r="Z2657" i="1"/>
  <c r="Y2657" i="1"/>
  <c r="X2657" i="1"/>
  <c r="W2657" i="1"/>
  <c r="Z2656" i="1"/>
  <c r="Y2656" i="1"/>
  <c r="X2656" i="1"/>
  <c r="W2656" i="1"/>
  <c r="Z2655" i="1"/>
  <c r="Y2655" i="1"/>
  <c r="X2655" i="1"/>
  <c r="W2655" i="1"/>
  <c r="Z2654" i="1"/>
  <c r="Y2654" i="1"/>
  <c r="X2654" i="1"/>
  <c r="W2654" i="1"/>
  <c r="Z2653" i="1"/>
  <c r="Y2653" i="1"/>
  <c r="X2653" i="1"/>
  <c r="W2653" i="1"/>
  <c r="Z2652" i="1"/>
  <c r="Y2652" i="1"/>
  <c r="X2652" i="1"/>
  <c r="W2652" i="1"/>
  <c r="Z2651" i="1"/>
  <c r="Y2651" i="1"/>
  <c r="X2651" i="1"/>
  <c r="W2651" i="1"/>
  <c r="Z2650" i="1"/>
  <c r="Y2650" i="1"/>
  <c r="X2650" i="1"/>
  <c r="W2650" i="1"/>
  <c r="Z2649" i="1"/>
  <c r="Y2649" i="1"/>
  <c r="X2649" i="1"/>
  <c r="W2649" i="1"/>
  <c r="Z2648" i="1"/>
  <c r="Y2648" i="1"/>
  <c r="X2648" i="1"/>
  <c r="W2648" i="1"/>
  <c r="Z2647" i="1"/>
  <c r="Y2647" i="1"/>
  <c r="X2647" i="1"/>
  <c r="W2647" i="1"/>
  <c r="Z2646" i="1"/>
  <c r="Y2646" i="1"/>
  <c r="X2646" i="1"/>
  <c r="W2646" i="1"/>
  <c r="Z2645" i="1"/>
  <c r="Y2645" i="1"/>
  <c r="X2645" i="1"/>
  <c r="W2645" i="1"/>
  <c r="Z2644" i="1"/>
  <c r="Y2644" i="1"/>
  <c r="X2644" i="1"/>
  <c r="W2644" i="1"/>
  <c r="Z2643" i="1"/>
  <c r="Y2643" i="1"/>
  <c r="X2643" i="1"/>
  <c r="W2643" i="1"/>
  <c r="Z2642" i="1"/>
  <c r="Y2642" i="1"/>
  <c r="X2642" i="1"/>
  <c r="W2642" i="1"/>
  <c r="Z2641" i="1"/>
  <c r="Y2641" i="1"/>
  <c r="X2641" i="1"/>
  <c r="W2641" i="1"/>
  <c r="Z2640" i="1"/>
  <c r="Y2640" i="1"/>
  <c r="X2640" i="1"/>
  <c r="W2640" i="1"/>
  <c r="Z2639" i="1"/>
  <c r="Y2639" i="1"/>
  <c r="X2639" i="1"/>
  <c r="W2639" i="1"/>
  <c r="Z2638" i="1"/>
  <c r="Y2638" i="1"/>
  <c r="X2638" i="1"/>
  <c r="W2638" i="1"/>
  <c r="Z2637" i="1"/>
  <c r="Y2637" i="1"/>
  <c r="X2637" i="1"/>
  <c r="W2637" i="1"/>
  <c r="Z2636" i="1"/>
  <c r="Y2636" i="1"/>
  <c r="X2636" i="1"/>
  <c r="W2636" i="1"/>
  <c r="Z2635" i="1"/>
  <c r="Y2635" i="1"/>
  <c r="X2635" i="1"/>
  <c r="W2635" i="1"/>
  <c r="Z2634" i="1"/>
  <c r="Y2634" i="1"/>
  <c r="X2634" i="1"/>
  <c r="W2634" i="1"/>
  <c r="Z2633" i="1"/>
  <c r="Y2633" i="1"/>
  <c r="X2633" i="1"/>
  <c r="W2633" i="1"/>
  <c r="Z2632" i="1"/>
  <c r="Y2632" i="1"/>
  <c r="X2632" i="1"/>
  <c r="W2632" i="1"/>
  <c r="Z2631" i="1"/>
  <c r="Y2631" i="1"/>
  <c r="X2631" i="1"/>
  <c r="W2631" i="1"/>
  <c r="Z2630" i="1"/>
  <c r="Y2630" i="1"/>
  <c r="X2630" i="1"/>
  <c r="W2630" i="1"/>
  <c r="Z2629" i="1"/>
  <c r="Y2629" i="1"/>
  <c r="X2629" i="1"/>
  <c r="W2629" i="1"/>
  <c r="Z2628" i="1"/>
  <c r="Y2628" i="1"/>
  <c r="X2628" i="1"/>
  <c r="W2628" i="1"/>
  <c r="Z2627" i="1"/>
  <c r="Y2627" i="1"/>
  <c r="X2627" i="1"/>
  <c r="W2627" i="1"/>
  <c r="Z2626" i="1"/>
  <c r="Y2626" i="1"/>
  <c r="X2626" i="1"/>
  <c r="W2626" i="1"/>
  <c r="Z2625" i="1"/>
  <c r="Y2625" i="1"/>
  <c r="X2625" i="1"/>
  <c r="W2625" i="1"/>
  <c r="Z2624" i="1"/>
  <c r="Y2624" i="1"/>
  <c r="X2624" i="1"/>
  <c r="W2624" i="1"/>
  <c r="Z2623" i="1"/>
  <c r="Y2623" i="1"/>
  <c r="X2623" i="1"/>
  <c r="W2623" i="1"/>
  <c r="Z2622" i="1"/>
  <c r="Y2622" i="1"/>
  <c r="X2622" i="1"/>
  <c r="W2622" i="1"/>
  <c r="Z2621" i="1"/>
  <c r="Y2621" i="1"/>
  <c r="X2621" i="1"/>
  <c r="W2621" i="1"/>
  <c r="Z2620" i="1"/>
  <c r="Y2620" i="1"/>
  <c r="X2620" i="1"/>
  <c r="W2620" i="1"/>
  <c r="Z2619" i="1"/>
  <c r="Y2619" i="1"/>
  <c r="X2619" i="1"/>
  <c r="W2619" i="1"/>
  <c r="Z2618" i="1"/>
  <c r="Y2618" i="1"/>
  <c r="X2618" i="1"/>
  <c r="W2618" i="1"/>
  <c r="Z2617" i="1"/>
  <c r="Y2617" i="1"/>
  <c r="X2617" i="1"/>
  <c r="W2617" i="1"/>
  <c r="Z2616" i="1"/>
  <c r="Y2616" i="1"/>
  <c r="X2616" i="1"/>
  <c r="W2616" i="1"/>
  <c r="Z2615" i="1"/>
  <c r="Y2615" i="1"/>
  <c r="X2615" i="1"/>
  <c r="W2615" i="1"/>
  <c r="Z2614" i="1"/>
  <c r="Y2614" i="1"/>
  <c r="X2614" i="1"/>
  <c r="W2614" i="1"/>
  <c r="Z2613" i="1"/>
  <c r="Y2613" i="1"/>
  <c r="X2613" i="1"/>
  <c r="W2613" i="1"/>
  <c r="Z2612" i="1"/>
  <c r="Y2612" i="1"/>
  <c r="X2612" i="1"/>
  <c r="W2612" i="1"/>
  <c r="Z2611" i="1"/>
  <c r="Y2611" i="1"/>
  <c r="X2611" i="1"/>
  <c r="W2611" i="1"/>
  <c r="Z2610" i="1"/>
  <c r="Y2610" i="1"/>
  <c r="X2610" i="1"/>
  <c r="W2610" i="1"/>
  <c r="Z2609" i="1"/>
  <c r="Y2609" i="1"/>
  <c r="X2609" i="1"/>
  <c r="W2609" i="1"/>
  <c r="Z2608" i="1"/>
  <c r="Y2608" i="1"/>
  <c r="X2608" i="1"/>
  <c r="W2608" i="1"/>
  <c r="Z2607" i="1"/>
  <c r="Y2607" i="1"/>
  <c r="X2607" i="1"/>
  <c r="W2607" i="1"/>
  <c r="Z2606" i="1"/>
  <c r="Y2606" i="1"/>
  <c r="X2606" i="1"/>
  <c r="W2606" i="1"/>
  <c r="Z2605" i="1"/>
  <c r="Y2605" i="1"/>
  <c r="X2605" i="1"/>
  <c r="W2605" i="1"/>
  <c r="Z2604" i="1"/>
  <c r="Y2604" i="1"/>
  <c r="X2604" i="1"/>
  <c r="W2604" i="1"/>
  <c r="Z2603" i="1"/>
  <c r="Y2603" i="1"/>
  <c r="X2603" i="1"/>
  <c r="W2603" i="1"/>
  <c r="Z2602" i="1"/>
  <c r="Y2602" i="1"/>
  <c r="X2602" i="1"/>
  <c r="W2602" i="1"/>
  <c r="Z2601" i="1"/>
  <c r="Y2601" i="1"/>
  <c r="X2601" i="1"/>
  <c r="W2601" i="1"/>
  <c r="Z2600" i="1"/>
  <c r="Y2600" i="1"/>
  <c r="X2600" i="1"/>
  <c r="W2600" i="1"/>
  <c r="Z2599" i="1"/>
  <c r="Y2599" i="1"/>
  <c r="X2599" i="1"/>
  <c r="W2599" i="1"/>
  <c r="Z2598" i="1"/>
  <c r="Y2598" i="1"/>
  <c r="X2598" i="1"/>
  <c r="W2598" i="1"/>
  <c r="Z2597" i="1"/>
  <c r="Y2597" i="1"/>
  <c r="X2597" i="1"/>
  <c r="W2597" i="1"/>
  <c r="Z2596" i="1"/>
  <c r="Y2596" i="1"/>
  <c r="X2596" i="1"/>
  <c r="W2596" i="1"/>
  <c r="Z2595" i="1"/>
  <c r="Y2595" i="1"/>
  <c r="X2595" i="1"/>
  <c r="W2595" i="1"/>
  <c r="Z2594" i="1"/>
  <c r="Y2594" i="1"/>
  <c r="X2594" i="1"/>
  <c r="W2594" i="1"/>
  <c r="Z2593" i="1"/>
  <c r="Y2593" i="1"/>
  <c r="X2593" i="1"/>
  <c r="W2593" i="1"/>
  <c r="Z2592" i="1"/>
  <c r="Y2592" i="1"/>
  <c r="X2592" i="1"/>
  <c r="W2592" i="1"/>
  <c r="Z2591" i="1"/>
  <c r="Y2591" i="1"/>
  <c r="X2591" i="1"/>
  <c r="W2591" i="1"/>
  <c r="Z2590" i="1"/>
  <c r="Y2590" i="1"/>
  <c r="X2590" i="1"/>
  <c r="W2590" i="1"/>
  <c r="Z2589" i="1"/>
  <c r="Y2589" i="1"/>
  <c r="X2589" i="1"/>
  <c r="W2589" i="1"/>
  <c r="Z2588" i="1"/>
  <c r="Y2588" i="1"/>
  <c r="X2588" i="1"/>
  <c r="W2588" i="1"/>
  <c r="Z2587" i="1"/>
  <c r="Y2587" i="1"/>
  <c r="X2587" i="1"/>
  <c r="W2587" i="1"/>
  <c r="Z2586" i="1"/>
  <c r="Y2586" i="1"/>
  <c r="X2586" i="1"/>
  <c r="W2586" i="1"/>
  <c r="Z2585" i="1"/>
  <c r="Y2585" i="1"/>
  <c r="X2585" i="1"/>
  <c r="W2585" i="1"/>
  <c r="Z2584" i="1"/>
  <c r="Y2584" i="1"/>
  <c r="X2584" i="1"/>
  <c r="W2584" i="1"/>
  <c r="Z2583" i="1"/>
  <c r="Y2583" i="1"/>
  <c r="X2583" i="1"/>
  <c r="W2583" i="1"/>
  <c r="Z2582" i="1"/>
  <c r="Y2582" i="1"/>
  <c r="X2582" i="1"/>
  <c r="W2582" i="1"/>
  <c r="Z2581" i="1"/>
  <c r="Y2581" i="1"/>
  <c r="X2581" i="1"/>
  <c r="W2581" i="1"/>
  <c r="Z2580" i="1"/>
  <c r="Y2580" i="1"/>
  <c r="X2580" i="1"/>
  <c r="W2580" i="1"/>
  <c r="Z2579" i="1"/>
  <c r="Y2579" i="1"/>
  <c r="X2579" i="1"/>
  <c r="W2579" i="1"/>
  <c r="Z2578" i="1"/>
  <c r="Y2578" i="1"/>
  <c r="X2578" i="1"/>
  <c r="W2578" i="1"/>
  <c r="Z2577" i="1"/>
  <c r="Y2577" i="1"/>
  <c r="X2577" i="1"/>
  <c r="W2577" i="1"/>
  <c r="Z2576" i="1"/>
  <c r="Y2576" i="1"/>
  <c r="X2576" i="1"/>
  <c r="W2576" i="1"/>
  <c r="Z2575" i="1"/>
  <c r="Y2575" i="1"/>
  <c r="X2575" i="1"/>
  <c r="W2575" i="1"/>
  <c r="Z2574" i="1"/>
  <c r="Y2574" i="1"/>
  <c r="X2574" i="1"/>
  <c r="W2574" i="1"/>
  <c r="Z2573" i="1"/>
  <c r="Y2573" i="1"/>
  <c r="X2573" i="1"/>
  <c r="W2573" i="1"/>
  <c r="Z2572" i="1"/>
  <c r="Y2572" i="1"/>
  <c r="X2572" i="1"/>
  <c r="W2572" i="1"/>
  <c r="Z2571" i="1"/>
  <c r="Y2571" i="1"/>
  <c r="X2571" i="1"/>
  <c r="W2571" i="1"/>
  <c r="Z2570" i="1"/>
  <c r="Y2570" i="1"/>
  <c r="X2570" i="1"/>
  <c r="W2570" i="1"/>
  <c r="Z2569" i="1"/>
  <c r="Y2569" i="1"/>
  <c r="X2569" i="1"/>
  <c r="W2569" i="1"/>
  <c r="Z2568" i="1"/>
  <c r="Y2568" i="1"/>
  <c r="X2568" i="1"/>
  <c r="W2568" i="1"/>
  <c r="Z2567" i="1"/>
  <c r="Y2567" i="1"/>
  <c r="X2567" i="1"/>
  <c r="W2567" i="1"/>
  <c r="Z2566" i="1"/>
  <c r="Y2566" i="1"/>
  <c r="X2566" i="1"/>
  <c r="W2566" i="1"/>
  <c r="Z2565" i="1"/>
  <c r="Y2565" i="1"/>
  <c r="X2565" i="1"/>
  <c r="W2565" i="1"/>
  <c r="Z2564" i="1"/>
  <c r="Y2564" i="1"/>
  <c r="X2564" i="1"/>
  <c r="W2564" i="1"/>
  <c r="Z2563" i="1"/>
  <c r="Y2563" i="1"/>
  <c r="X2563" i="1"/>
  <c r="W2563" i="1"/>
  <c r="Z2562" i="1"/>
  <c r="Y2562" i="1"/>
  <c r="X2562" i="1"/>
  <c r="W2562" i="1"/>
  <c r="Z2561" i="1"/>
  <c r="Y2561" i="1"/>
  <c r="X2561" i="1"/>
  <c r="W2561" i="1"/>
  <c r="Z2560" i="1"/>
  <c r="Y2560" i="1"/>
  <c r="X2560" i="1"/>
  <c r="W2560" i="1"/>
  <c r="Z2559" i="1"/>
  <c r="Y2559" i="1"/>
  <c r="X2559" i="1"/>
  <c r="W2559" i="1"/>
  <c r="Z2558" i="1"/>
  <c r="Y2558" i="1"/>
  <c r="X2558" i="1"/>
  <c r="W2558" i="1"/>
  <c r="Z2557" i="1"/>
  <c r="Y2557" i="1"/>
  <c r="X2557" i="1"/>
  <c r="W2557" i="1"/>
  <c r="Z2556" i="1"/>
  <c r="Y2556" i="1"/>
  <c r="X2556" i="1"/>
  <c r="W2556" i="1"/>
  <c r="Z2555" i="1"/>
  <c r="Y2555" i="1"/>
  <c r="X2555" i="1"/>
  <c r="W2555" i="1"/>
  <c r="Z2554" i="1"/>
  <c r="Y2554" i="1"/>
  <c r="X2554" i="1"/>
  <c r="W2554" i="1"/>
  <c r="Z2553" i="1"/>
  <c r="Y2553" i="1"/>
  <c r="X2553" i="1"/>
  <c r="W2553" i="1"/>
  <c r="Z2552" i="1"/>
  <c r="Y2552" i="1"/>
  <c r="X2552" i="1"/>
  <c r="W2552" i="1"/>
  <c r="Z2551" i="1"/>
  <c r="Y2551" i="1"/>
  <c r="X2551" i="1"/>
  <c r="W2551" i="1"/>
  <c r="Z2550" i="1"/>
  <c r="Y2550" i="1"/>
  <c r="X2550" i="1"/>
  <c r="W2550" i="1"/>
  <c r="Z2549" i="1"/>
  <c r="Y2549" i="1"/>
  <c r="X2549" i="1"/>
  <c r="W2549" i="1"/>
  <c r="Z2548" i="1"/>
  <c r="Y2548" i="1"/>
  <c r="X2548" i="1"/>
  <c r="W2548" i="1"/>
  <c r="Z2547" i="1"/>
  <c r="Y2547" i="1"/>
  <c r="X2547" i="1"/>
  <c r="W2547" i="1"/>
  <c r="Z2546" i="1"/>
  <c r="Y2546" i="1"/>
  <c r="X2546" i="1"/>
  <c r="W2546" i="1"/>
  <c r="Z2545" i="1"/>
  <c r="Y2545" i="1"/>
  <c r="X2545" i="1"/>
  <c r="W2545" i="1"/>
  <c r="Z2544" i="1"/>
  <c r="Y2544" i="1"/>
  <c r="X2544" i="1"/>
  <c r="W2544" i="1"/>
  <c r="Z2543" i="1"/>
  <c r="Y2543" i="1"/>
  <c r="X2543" i="1"/>
  <c r="W2543" i="1"/>
  <c r="Z2542" i="1"/>
  <c r="Y2542" i="1"/>
  <c r="X2542" i="1"/>
  <c r="W2542" i="1"/>
  <c r="Z2541" i="1"/>
  <c r="Y2541" i="1"/>
  <c r="X2541" i="1"/>
  <c r="W2541" i="1"/>
  <c r="Z2540" i="1"/>
  <c r="Y2540" i="1"/>
  <c r="X2540" i="1"/>
  <c r="W2540" i="1"/>
  <c r="Z2539" i="1"/>
  <c r="Y2539" i="1"/>
  <c r="X2539" i="1"/>
  <c r="W2539" i="1"/>
  <c r="Z2538" i="1"/>
  <c r="Y2538" i="1"/>
  <c r="X2538" i="1"/>
  <c r="W2538" i="1"/>
  <c r="Z2537" i="1"/>
  <c r="Y2537" i="1"/>
  <c r="X2537" i="1"/>
  <c r="W2537" i="1"/>
  <c r="Z2536" i="1"/>
  <c r="Y2536" i="1"/>
  <c r="X2536" i="1"/>
  <c r="W2536" i="1"/>
  <c r="Z2535" i="1"/>
  <c r="Y2535" i="1"/>
  <c r="X2535" i="1"/>
  <c r="W2535" i="1"/>
  <c r="Z2534" i="1"/>
  <c r="Y2534" i="1"/>
  <c r="X2534" i="1"/>
  <c r="W2534" i="1"/>
  <c r="Z2533" i="1"/>
  <c r="Y2533" i="1"/>
  <c r="X2533" i="1"/>
  <c r="W2533" i="1"/>
  <c r="Z2532" i="1"/>
  <c r="Y2532" i="1"/>
  <c r="X2532" i="1"/>
  <c r="W2532" i="1"/>
  <c r="Z2531" i="1"/>
  <c r="Y2531" i="1"/>
  <c r="X2531" i="1"/>
  <c r="W2531" i="1"/>
  <c r="Z2530" i="1"/>
  <c r="Y2530" i="1"/>
  <c r="X2530" i="1"/>
  <c r="W2530" i="1"/>
  <c r="Z2529" i="1"/>
  <c r="Y2529" i="1"/>
  <c r="X2529" i="1"/>
  <c r="W2529" i="1"/>
  <c r="Z2528" i="1"/>
  <c r="Y2528" i="1"/>
  <c r="X2528" i="1"/>
  <c r="W2528" i="1"/>
  <c r="Z2527" i="1"/>
  <c r="Y2527" i="1"/>
  <c r="X2527" i="1"/>
  <c r="W2527" i="1"/>
  <c r="Z2526" i="1"/>
  <c r="Y2526" i="1"/>
  <c r="X2526" i="1"/>
  <c r="W2526" i="1"/>
  <c r="Z2525" i="1"/>
  <c r="Y2525" i="1"/>
  <c r="X2525" i="1"/>
  <c r="W2525" i="1"/>
  <c r="Z2524" i="1"/>
  <c r="Y2524" i="1"/>
  <c r="X2524" i="1"/>
  <c r="W2524" i="1"/>
  <c r="Z2523" i="1"/>
  <c r="Y2523" i="1"/>
  <c r="X2523" i="1"/>
  <c r="W2523" i="1"/>
  <c r="Z2522" i="1"/>
  <c r="Y2522" i="1"/>
  <c r="X2522" i="1"/>
  <c r="W2522" i="1"/>
  <c r="Z2521" i="1"/>
  <c r="Y2521" i="1"/>
  <c r="X2521" i="1"/>
  <c r="W2521" i="1"/>
  <c r="Z2520" i="1"/>
  <c r="Y2520" i="1"/>
  <c r="X2520" i="1"/>
  <c r="W2520" i="1"/>
  <c r="Z2519" i="1"/>
  <c r="Y2519" i="1"/>
  <c r="X2519" i="1"/>
  <c r="W2519" i="1"/>
  <c r="Z2518" i="1"/>
  <c r="Y2518" i="1"/>
  <c r="X2518" i="1"/>
  <c r="W2518" i="1"/>
  <c r="Z2517" i="1"/>
  <c r="Y2517" i="1"/>
  <c r="X2517" i="1"/>
  <c r="W2517" i="1"/>
  <c r="Z2516" i="1"/>
  <c r="Y2516" i="1"/>
  <c r="X2516" i="1"/>
  <c r="W2516" i="1"/>
  <c r="Z2515" i="1"/>
  <c r="Y2515" i="1"/>
  <c r="X2515" i="1"/>
  <c r="W2515" i="1"/>
  <c r="Z2514" i="1"/>
  <c r="Y2514" i="1"/>
  <c r="X2514" i="1"/>
  <c r="W2514" i="1"/>
  <c r="Z2513" i="1"/>
  <c r="Y2513" i="1"/>
  <c r="X2513" i="1"/>
  <c r="W2513" i="1"/>
  <c r="Z2512" i="1"/>
  <c r="Y2512" i="1"/>
  <c r="X2512" i="1"/>
  <c r="W2512" i="1"/>
  <c r="Z2511" i="1"/>
  <c r="Y2511" i="1"/>
  <c r="X2511" i="1"/>
  <c r="W2511" i="1"/>
  <c r="Z2510" i="1"/>
  <c r="Y2510" i="1"/>
  <c r="X2510" i="1"/>
  <c r="W2510" i="1"/>
  <c r="Z2509" i="1"/>
  <c r="Y2509" i="1"/>
  <c r="X2509" i="1"/>
  <c r="W2509" i="1"/>
  <c r="Z2508" i="1"/>
  <c r="Y2508" i="1"/>
  <c r="X2508" i="1"/>
  <c r="W2508" i="1"/>
  <c r="Z2507" i="1"/>
  <c r="Y2507" i="1"/>
  <c r="X2507" i="1"/>
  <c r="W2507" i="1"/>
  <c r="Z2506" i="1"/>
  <c r="Y2506" i="1"/>
  <c r="X2506" i="1"/>
  <c r="W2506" i="1"/>
  <c r="Z2505" i="1"/>
  <c r="Y2505" i="1"/>
  <c r="X2505" i="1"/>
  <c r="W2505" i="1"/>
  <c r="Z2504" i="1"/>
  <c r="Y2504" i="1"/>
  <c r="X2504" i="1"/>
  <c r="W2504" i="1"/>
  <c r="Z2503" i="1"/>
  <c r="Y2503" i="1"/>
  <c r="X2503" i="1"/>
  <c r="W2503" i="1"/>
  <c r="Z2502" i="1"/>
  <c r="Y2502" i="1"/>
  <c r="X2502" i="1"/>
  <c r="W2502" i="1"/>
  <c r="Z2501" i="1"/>
  <c r="Y2501" i="1"/>
  <c r="X2501" i="1"/>
  <c r="W2501" i="1"/>
  <c r="Z2500" i="1"/>
  <c r="Y2500" i="1"/>
  <c r="X2500" i="1"/>
  <c r="W2500" i="1"/>
  <c r="Z2499" i="1"/>
  <c r="Y2499" i="1"/>
  <c r="X2499" i="1"/>
  <c r="W2499" i="1"/>
  <c r="Z2498" i="1"/>
  <c r="Y2498" i="1"/>
  <c r="X2498" i="1"/>
  <c r="W2498" i="1"/>
  <c r="Z2497" i="1"/>
  <c r="Y2497" i="1"/>
  <c r="X2497" i="1"/>
  <c r="W2497" i="1"/>
  <c r="Z2496" i="1"/>
  <c r="Y2496" i="1"/>
  <c r="X2496" i="1"/>
  <c r="W2496" i="1"/>
  <c r="Z2495" i="1"/>
  <c r="Y2495" i="1"/>
  <c r="X2495" i="1"/>
  <c r="W2495" i="1"/>
  <c r="Z2494" i="1"/>
  <c r="Y2494" i="1"/>
  <c r="X2494" i="1"/>
  <c r="W2494" i="1"/>
  <c r="Z2493" i="1"/>
  <c r="Y2493" i="1"/>
  <c r="X2493" i="1"/>
  <c r="W2493" i="1"/>
  <c r="Z2492" i="1"/>
  <c r="Y2492" i="1"/>
  <c r="X2492" i="1"/>
  <c r="W2492" i="1"/>
  <c r="Z2491" i="1"/>
  <c r="Y2491" i="1"/>
  <c r="X2491" i="1"/>
  <c r="W2491" i="1"/>
  <c r="Z2490" i="1"/>
  <c r="Y2490" i="1"/>
  <c r="X2490" i="1"/>
  <c r="W2490" i="1"/>
  <c r="Z2489" i="1"/>
  <c r="Y2489" i="1"/>
  <c r="X2489" i="1"/>
  <c r="W2489" i="1"/>
  <c r="Z2488" i="1"/>
  <c r="Y2488" i="1"/>
  <c r="X2488" i="1"/>
  <c r="W2488" i="1"/>
  <c r="Z2487" i="1"/>
  <c r="Y2487" i="1"/>
  <c r="X2487" i="1"/>
  <c r="W2487" i="1"/>
  <c r="Z2486" i="1"/>
  <c r="Y2486" i="1"/>
  <c r="X2486" i="1"/>
  <c r="W2486" i="1"/>
  <c r="Z2485" i="1"/>
  <c r="Y2485" i="1"/>
  <c r="X2485" i="1"/>
  <c r="W2485" i="1"/>
  <c r="Z2484" i="1"/>
  <c r="Y2484" i="1"/>
  <c r="X2484" i="1"/>
  <c r="W2484" i="1"/>
  <c r="Z2483" i="1"/>
  <c r="Y2483" i="1"/>
  <c r="X2483" i="1"/>
  <c r="W2483" i="1"/>
  <c r="Z2482" i="1"/>
  <c r="Y2482" i="1"/>
  <c r="X2482" i="1"/>
  <c r="W2482" i="1"/>
  <c r="Z2481" i="1"/>
  <c r="Y2481" i="1"/>
  <c r="X2481" i="1"/>
  <c r="W2481" i="1"/>
  <c r="Z2480" i="1"/>
  <c r="Y2480" i="1"/>
  <c r="X2480" i="1"/>
  <c r="W2480" i="1"/>
  <c r="Z2479" i="1"/>
  <c r="Y2479" i="1"/>
  <c r="X2479" i="1"/>
  <c r="W2479" i="1"/>
  <c r="Z2478" i="1"/>
  <c r="Y2478" i="1"/>
  <c r="X2478" i="1"/>
  <c r="W2478" i="1"/>
  <c r="Z2477" i="1"/>
  <c r="Y2477" i="1"/>
  <c r="X2477" i="1"/>
  <c r="W2477" i="1"/>
  <c r="Z2476" i="1"/>
  <c r="Y2476" i="1"/>
  <c r="X2476" i="1"/>
  <c r="W2476" i="1"/>
  <c r="Z2475" i="1"/>
  <c r="Y2475" i="1"/>
  <c r="X2475" i="1"/>
  <c r="W2475" i="1"/>
  <c r="Z2474" i="1"/>
  <c r="Y2474" i="1"/>
  <c r="X2474" i="1"/>
  <c r="W2474" i="1"/>
  <c r="Z2473" i="1"/>
  <c r="Y2473" i="1"/>
  <c r="X2473" i="1"/>
  <c r="W2473" i="1"/>
  <c r="Z2472" i="1"/>
  <c r="Y2472" i="1"/>
  <c r="X2472" i="1"/>
  <c r="W2472" i="1"/>
  <c r="Z2471" i="1"/>
  <c r="Y2471" i="1"/>
  <c r="X2471" i="1"/>
  <c r="W2471" i="1"/>
  <c r="Z2470" i="1"/>
  <c r="Y2470" i="1"/>
  <c r="X2470" i="1"/>
  <c r="W2470" i="1"/>
  <c r="Z2469" i="1"/>
  <c r="Y2469" i="1"/>
  <c r="X2469" i="1"/>
  <c r="W2469" i="1"/>
  <c r="Z2468" i="1"/>
  <c r="Y2468" i="1"/>
  <c r="X2468" i="1"/>
  <c r="W2468" i="1"/>
  <c r="Z2467" i="1"/>
  <c r="Y2467" i="1"/>
  <c r="X2467" i="1"/>
  <c r="W2467" i="1"/>
  <c r="Z2466" i="1"/>
  <c r="Y2466" i="1"/>
  <c r="X2466" i="1"/>
  <c r="W2466" i="1"/>
  <c r="Z2465" i="1"/>
  <c r="Y2465" i="1"/>
  <c r="X2465" i="1"/>
  <c r="W2465" i="1"/>
  <c r="Z2464" i="1"/>
  <c r="Y2464" i="1"/>
  <c r="X2464" i="1"/>
  <c r="W2464" i="1"/>
  <c r="Z2463" i="1"/>
  <c r="Y2463" i="1"/>
  <c r="X2463" i="1"/>
  <c r="W2463" i="1"/>
  <c r="Z2462" i="1"/>
  <c r="Y2462" i="1"/>
  <c r="X2462" i="1"/>
  <c r="W2462" i="1"/>
  <c r="Z2461" i="1"/>
  <c r="Y2461" i="1"/>
  <c r="X2461" i="1"/>
  <c r="W2461" i="1"/>
  <c r="Z2460" i="1"/>
  <c r="Y2460" i="1"/>
  <c r="X2460" i="1"/>
  <c r="W2460" i="1"/>
  <c r="Z2459" i="1"/>
  <c r="Y2459" i="1"/>
  <c r="X2459" i="1"/>
  <c r="W2459" i="1"/>
  <c r="Z2458" i="1"/>
  <c r="Y2458" i="1"/>
  <c r="X2458" i="1"/>
  <c r="W2458" i="1"/>
  <c r="Z2457" i="1"/>
  <c r="Y2457" i="1"/>
  <c r="X2457" i="1"/>
  <c r="W2457" i="1"/>
  <c r="Z2456" i="1"/>
  <c r="Y2456" i="1"/>
  <c r="X2456" i="1"/>
  <c r="W2456" i="1"/>
  <c r="Z2455" i="1"/>
  <c r="Y2455" i="1"/>
  <c r="X2455" i="1"/>
  <c r="W2455" i="1"/>
  <c r="Z2454" i="1"/>
  <c r="Y2454" i="1"/>
  <c r="X2454" i="1"/>
  <c r="W2454" i="1"/>
  <c r="Z2453" i="1"/>
  <c r="Y2453" i="1"/>
  <c r="X2453" i="1"/>
  <c r="W2453" i="1"/>
  <c r="Z2452" i="1"/>
  <c r="Y2452" i="1"/>
  <c r="X2452" i="1"/>
  <c r="W2452" i="1"/>
  <c r="Z2451" i="1"/>
  <c r="Y2451" i="1"/>
  <c r="X2451" i="1"/>
  <c r="W2451" i="1"/>
  <c r="Z2450" i="1"/>
  <c r="Y2450" i="1"/>
  <c r="X2450" i="1"/>
  <c r="W2450" i="1"/>
  <c r="Z2449" i="1"/>
  <c r="Y2449" i="1"/>
  <c r="X2449" i="1"/>
  <c r="W2449" i="1"/>
  <c r="Z2448" i="1"/>
  <c r="Y2448" i="1"/>
  <c r="X2448" i="1"/>
  <c r="W2448" i="1"/>
  <c r="Z2447" i="1"/>
  <c r="Y2447" i="1"/>
  <c r="X2447" i="1"/>
  <c r="W2447" i="1"/>
  <c r="Z2446" i="1"/>
  <c r="Y2446" i="1"/>
  <c r="X2446" i="1"/>
  <c r="W2446" i="1"/>
  <c r="Z2445" i="1"/>
  <c r="Y2445" i="1"/>
  <c r="X2445" i="1"/>
  <c r="W2445" i="1"/>
  <c r="Z2444" i="1"/>
  <c r="Y2444" i="1"/>
  <c r="X2444" i="1"/>
  <c r="W2444" i="1"/>
  <c r="Z2443" i="1"/>
  <c r="Y2443" i="1"/>
  <c r="X2443" i="1"/>
  <c r="W2443" i="1"/>
  <c r="Z2442" i="1"/>
  <c r="Y2442" i="1"/>
  <c r="X2442" i="1"/>
  <c r="W2442" i="1"/>
  <c r="Z2441" i="1"/>
  <c r="Y2441" i="1"/>
  <c r="X2441" i="1"/>
  <c r="W2441" i="1"/>
  <c r="Z2440" i="1"/>
  <c r="Y2440" i="1"/>
  <c r="X2440" i="1"/>
  <c r="W2440" i="1"/>
  <c r="Z2439" i="1"/>
  <c r="Y2439" i="1"/>
  <c r="X2439" i="1"/>
  <c r="W2439" i="1"/>
  <c r="Z2438" i="1"/>
  <c r="Y2438" i="1"/>
  <c r="X2438" i="1"/>
  <c r="W2438" i="1"/>
  <c r="Z2437" i="1"/>
  <c r="Y2437" i="1"/>
  <c r="X2437" i="1"/>
  <c r="W2437" i="1"/>
  <c r="Z2436" i="1"/>
  <c r="Y2436" i="1"/>
  <c r="X2436" i="1"/>
  <c r="W2436" i="1"/>
  <c r="Z2435" i="1"/>
  <c r="Y2435" i="1"/>
  <c r="X2435" i="1"/>
  <c r="W2435" i="1"/>
  <c r="Z2434" i="1"/>
  <c r="Y2434" i="1"/>
  <c r="X2434" i="1"/>
  <c r="W2434" i="1"/>
  <c r="Z2433" i="1"/>
  <c r="Y2433" i="1"/>
  <c r="X2433" i="1"/>
  <c r="W2433" i="1"/>
  <c r="Z2432" i="1"/>
  <c r="Y2432" i="1"/>
  <c r="X2432" i="1"/>
  <c r="W2432" i="1"/>
  <c r="Z2431" i="1"/>
  <c r="Y2431" i="1"/>
  <c r="X2431" i="1"/>
  <c r="W2431" i="1"/>
  <c r="Z2430" i="1"/>
  <c r="Y2430" i="1"/>
  <c r="X2430" i="1"/>
  <c r="W2430" i="1"/>
  <c r="Z2429" i="1"/>
  <c r="Y2429" i="1"/>
  <c r="X2429" i="1"/>
  <c r="W2429" i="1"/>
  <c r="Z2428" i="1"/>
  <c r="Y2428" i="1"/>
  <c r="X2428" i="1"/>
  <c r="W2428" i="1"/>
  <c r="Z2427" i="1"/>
  <c r="Y2427" i="1"/>
  <c r="X2427" i="1"/>
  <c r="W2427" i="1"/>
  <c r="Z2426" i="1"/>
  <c r="Y2426" i="1"/>
  <c r="X2426" i="1"/>
  <c r="W2426" i="1"/>
  <c r="Z2425" i="1"/>
  <c r="Y2425" i="1"/>
  <c r="X2425" i="1"/>
  <c r="W2425" i="1"/>
  <c r="Z2424" i="1"/>
  <c r="Y2424" i="1"/>
  <c r="X2424" i="1"/>
  <c r="W2424" i="1"/>
  <c r="Z2423" i="1"/>
  <c r="Y2423" i="1"/>
  <c r="X2423" i="1"/>
  <c r="W2423" i="1"/>
  <c r="Z2422" i="1"/>
  <c r="Y2422" i="1"/>
  <c r="X2422" i="1"/>
  <c r="W2422" i="1"/>
  <c r="Z2421" i="1"/>
  <c r="Y2421" i="1"/>
  <c r="X2421" i="1"/>
  <c r="W2421" i="1"/>
  <c r="Z2420" i="1"/>
  <c r="Y2420" i="1"/>
  <c r="X2420" i="1"/>
  <c r="W2420" i="1"/>
  <c r="Z2419" i="1"/>
  <c r="Y2419" i="1"/>
  <c r="X2419" i="1"/>
  <c r="W2419" i="1"/>
  <c r="Z2418" i="1"/>
  <c r="Y2418" i="1"/>
  <c r="X2418" i="1"/>
  <c r="W2418" i="1"/>
  <c r="Z2417" i="1"/>
  <c r="Y2417" i="1"/>
  <c r="X2417" i="1"/>
  <c r="W2417" i="1"/>
  <c r="Z2416" i="1"/>
  <c r="Y2416" i="1"/>
  <c r="X2416" i="1"/>
  <c r="W2416" i="1"/>
  <c r="Z2415" i="1"/>
  <c r="Y2415" i="1"/>
  <c r="X2415" i="1"/>
  <c r="W2415" i="1"/>
  <c r="Z2414" i="1"/>
  <c r="Y2414" i="1"/>
  <c r="X2414" i="1"/>
  <c r="W2414" i="1"/>
  <c r="Z2413" i="1"/>
  <c r="Y2413" i="1"/>
  <c r="X2413" i="1"/>
  <c r="W2413" i="1"/>
  <c r="Z2412" i="1"/>
  <c r="Y2412" i="1"/>
  <c r="X2412" i="1"/>
  <c r="W2412" i="1"/>
  <c r="Z2411" i="1"/>
  <c r="Y2411" i="1"/>
  <c r="X2411" i="1"/>
  <c r="W2411" i="1"/>
  <c r="Z2410" i="1"/>
  <c r="Y2410" i="1"/>
  <c r="X2410" i="1"/>
  <c r="W2410" i="1"/>
  <c r="Z2409" i="1"/>
  <c r="Y2409" i="1"/>
  <c r="X2409" i="1"/>
  <c r="W2409" i="1"/>
  <c r="Z2408" i="1"/>
  <c r="Y2408" i="1"/>
  <c r="X2408" i="1"/>
  <c r="W2408" i="1"/>
  <c r="Z2407" i="1"/>
  <c r="Y2407" i="1"/>
  <c r="X2407" i="1"/>
  <c r="W2407" i="1"/>
  <c r="Z2406" i="1"/>
  <c r="Y2406" i="1"/>
  <c r="X2406" i="1"/>
  <c r="W2406" i="1"/>
  <c r="Z2405" i="1"/>
  <c r="Y2405" i="1"/>
  <c r="X2405" i="1"/>
  <c r="W2405" i="1"/>
  <c r="Z2404" i="1"/>
  <c r="Y2404" i="1"/>
  <c r="X2404" i="1"/>
  <c r="W2404" i="1"/>
  <c r="Z2403" i="1"/>
  <c r="Y2403" i="1"/>
  <c r="X2403" i="1"/>
  <c r="W2403" i="1"/>
  <c r="Z2402" i="1"/>
  <c r="Y2402" i="1"/>
  <c r="X2402" i="1"/>
  <c r="W2402" i="1"/>
  <c r="Z2401" i="1"/>
  <c r="Y2401" i="1"/>
  <c r="X2401" i="1"/>
  <c r="W2401" i="1"/>
  <c r="Z2400" i="1"/>
  <c r="Y2400" i="1"/>
  <c r="X2400" i="1"/>
  <c r="W2400" i="1"/>
  <c r="Z2399" i="1"/>
  <c r="Y2399" i="1"/>
  <c r="X2399" i="1"/>
  <c r="W2399" i="1"/>
  <c r="Z2398" i="1"/>
  <c r="Y2398" i="1"/>
  <c r="X2398" i="1"/>
  <c r="W2398" i="1"/>
  <c r="Z2397" i="1"/>
  <c r="Y2397" i="1"/>
  <c r="X2397" i="1"/>
  <c r="W2397" i="1"/>
  <c r="Z2396" i="1"/>
  <c r="Y2396" i="1"/>
  <c r="X2396" i="1"/>
  <c r="W2396" i="1"/>
  <c r="Z2395" i="1"/>
  <c r="Y2395" i="1"/>
  <c r="X2395" i="1"/>
  <c r="W2395" i="1"/>
  <c r="Z2394" i="1"/>
  <c r="Y2394" i="1"/>
  <c r="X2394" i="1"/>
  <c r="W2394" i="1"/>
  <c r="Z2393" i="1"/>
  <c r="Y2393" i="1"/>
  <c r="X2393" i="1"/>
  <c r="W2393" i="1"/>
  <c r="Z2392" i="1"/>
  <c r="Y2392" i="1"/>
  <c r="X2392" i="1"/>
  <c r="W2392" i="1"/>
  <c r="Z2391" i="1"/>
  <c r="Y2391" i="1"/>
  <c r="X2391" i="1"/>
  <c r="W2391" i="1"/>
  <c r="Z2390" i="1"/>
  <c r="Y2390" i="1"/>
  <c r="X2390" i="1"/>
  <c r="W2390" i="1"/>
  <c r="Z2389" i="1"/>
  <c r="Y2389" i="1"/>
  <c r="X2389" i="1"/>
  <c r="W2389" i="1"/>
  <c r="Z2388" i="1"/>
  <c r="Y2388" i="1"/>
  <c r="X2388" i="1"/>
  <c r="W2388" i="1"/>
  <c r="Z2387" i="1"/>
  <c r="Y2387" i="1"/>
  <c r="X2387" i="1"/>
  <c r="W2387" i="1"/>
  <c r="Z2386" i="1"/>
  <c r="Y2386" i="1"/>
  <c r="X2386" i="1"/>
  <c r="W2386" i="1"/>
  <c r="Z2385" i="1"/>
  <c r="Y2385" i="1"/>
  <c r="X2385" i="1"/>
  <c r="W2385" i="1"/>
  <c r="Z2384" i="1"/>
  <c r="Y2384" i="1"/>
  <c r="X2384" i="1"/>
  <c r="W2384" i="1"/>
  <c r="Z2383" i="1"/>
  <c r="Y2383" i="1"/>
  <c r="X2383" i="1"/>
  <c r="W2383" i="1"/>
  <c r="Z2382" i="1"/>
  <c r="Y2382" i="1"/>
  <c r="X2382" i="1"/>
  <c r="W2382" i="1"/>
  <c r="Z2381" i="1"/>
  <c r="Y2381" i="1"/>
  <c r="X2381" i="1"/>
  <c r="W2381" i="1"/>
  <c r="Z2380" i="1"/>
  <c r="Y2380" i="1"/>
  <c r="X2380" i="1"/>
  <c r="W2380" i="1"/>
  <c r="Z2379" i="1"/>
  <c r="Y2379" i="1"/>
  <c r="X2379" i="1"/>
  <c r="W2379" i="1"/>
  <c r="Z2378" i="1"/>
  <c r="Y2378" i="1"/>
  <c r="X2378" i="1"/>
  <c r="W2378" i="1"/>
  <c r="Z2377" i="1"/>
  <c r="Y2377" i="1"/>
  <c r="X2377" i="1"/>
  <c r="W2377" i="1"/>
  <c r="Z2376" i="1"/>
  <c r="Y2376" i="1"/>
  <c r="X2376" i="1"/>
  <c r="W2376" i="1"/>
  <c r="Z2375" i="1"/>
  <c r="Y2375" i="1"/>
  <c r="X2375" i="1"/>
  <c r="W2375" i="1"/>
  <c r="Z2374" i="1"/>
  <c r="Y2374" i="1"/>
  <c r="X2374" i="1"/>
  <c r="W2374" i="1"/>
  <c r="Z2373" i="1"/>
  <c r="Y2373" i="1"/>
  <c r="X2373" i="1"/>
  <c r="W2373" i="1"/>
  <c r="Z2372" i="1"/>
  <c r="Y2372" i="1"/>
  <c r="X2372" i="1"/>
  <c r="W2372" i="1"/>
  <c r="Z2371" i="1"/>
  <c r="Y2371" i="1"/>
  <c r="X2371" i="1"/>
  <c r="W2371" i="1"/>
  <c r="Z2370" i="1"/>
  <c r="Y2370" i="1"/>
  <c r="X2370" i="1"/>
  <c r="W2370" i="1"/>
  <c r="Z2369" i="1"/>
  <c r="Y2369" i="1"/>
  <c r="X2369" i="1"/>
  <c r="W2369" i="1"/>
  <c r="Z2368" i="1"/>
  <c r="Y2368" i="1"/>
  <c r="X2368" i="1"/>
  <c r="W2368" i="1"/>
  <c r="Z2367" i="1"/>
  <c r="Y2367" i="1"/>
  <c r="X2367" i="1"/>
  <c r="W2367" i="1"/>
  <c r="Z2366" i="1"/>
  <c r="Y2366" i="1"/>
  <c r="X2366" i="1"/>
  <c r="W2366" i="1"/>
  <c r="Z2365" i="1"/>
  <c r="Y2365" i="1"/>
  <c r="X2365" i="1"/>
  <c r="W2365" i="1"/>
  <c r="Z2364" i="1"/>
  <c r="Y2364" i="1"/>
  <c r="X2364" i="1"/>
  <c r="W2364" i="1"/>
  <c r="Z2363" i="1"/>
  <c r="Y2363" i="1"/>
  <c r="X2363" i="1"/>
  <c r="W2363" i="1"/>
  <c r="Z2362" i="1"/>
  <c r="Y2362" i="1"/>
  <c r="X2362" i="1"/>
  <c r="W2362" i="1"/>
  <c r="Z2361" i="1"/>
  <c r="Y2361" i="1"/>
  <c r="X2361" i="1"/>
  <c r="W2361" i="1"/>
  <c r="Z2360" i="1"/>
  <c r="Y2360" i="1"/>
  <c r="X2360" i="1"/>
  <c r="W2360" i="1"/>
  <c r="Z2359" i="1"/>
  <c r="Y2359" i="1"/>
  <c r="X2359" i="1"/>
  <c r="W2359" i="1"/>
  <c r="Z2358" i="1"/>
  <c r="Y2358" i="1"/>
  <c r="X2358" i="1"/>
  <c r="W2358" i="1"/>
  <c r="Z2357" i="1"/>
  <c r="Y2357" i="1"/>
  <c r="X2357" i="1"/>
  <c r="W2357" i="1"/>
  <c r="Z2356" i="1"/>
  <c r="Y2356" i="1"/>
  <c r="X2356" i="1"/>
  <c r="W2356" i="1"/>
  <c r="Z2355" i="1"/>
  <c r="Y2355" i="1"/>
  <c r="X2355" i="1"/>
  <c r="W2355" i="1"/>
  <c r="Z2354" i="1"/>
  <c r="Y2354" i="1"/>
  <c r="X2354" i="1"/>
  <c r="W2354" i="1"/>
  <c r="Z2353" i="1"/>
  <c r="Y2353" i="1"/>
  <c r="X2353" i="1"/>
  <c r="W2353" i="1"/>
  <c r="Z2352" i="1"/>
  <c r="Y2352" i="1"/>
  <c r="X2352" i="1"/>
  <c r="W2352" i="1"/>
  <c r="Z2351" i="1"/>
  <c r="Y2351" i="1"/>
  <c r="X2351" i="1"/>
  <c r="W2351" i="1"/>
  <c r="Z2350" i="1"/>
  <c r="Y2350" i="1"/>
  <c r="X2350" i="1"/>
  <c r="W2350" i="1"/>
  <c r="Z2349" i="1"/>
  <c r="Y2349" i="1"/>
  <c r="X2349" i="1"/>
  <c r="W2349" i="1"/>
  <c r="Z2348" i="1"/>
  <c r="Y2348" i="1"/>
  <c r="X2348" i="1"/>
  <c r="W2348" i="1"/>
  <c r="Z2347" i="1"/>
  <c r="Y2347" i="1"/>
  <c r="X2347" i="1"/>
  <c r="W2347" i="1"/>
  <c r="Z2346" i="1"/>
  <c r="Y2346" i="1"/>
  <c r="X2346" i="1"/>
  <c r="W2346" i="1"/>
  <c r="Z2345" i="1"/>
  <c r="Y2345" i="1"/>
  <c r="X2345" i="1"/>
  <c r="W2345" i="1"/>
  <c r="Z2344" i="1"/>
  <c r="Y2344" i="1"/>
  <c r="X2344" i="1"/>
  <c r="W2344" i="1"/>
  <c r="Z2343" i="1"/>
  <c r="Y2343" i="1"/>
  <c r="X2343" i="1"/>
  <c r="W2343" i="1"/>
  <c r="Z2342" i="1"/>
  <c r="Y2342" i="1"/>
  <c r="X2342" i="1"/>
  <c r="W2342" i="1"/>
  <c r="Z2341" i="1"/>
  <c r="Y2341" i="1"/>
  <c r="X2341" i="1"/>
  <c r="W2341" i="1"/>
  <c r="Z2340" i="1"/>
  <c r="Y2340" i="1"/>
  <c r="X2340" i="1"/>
  <c r="W2340" i="1"/>
  <c r="Z2339" i="1"/>
  <c r="Y2339" i="1"/>
  <c r="X2339" i="1"/>
  <c r="W2339" i="1"/>
  <c r="Z2338" i="1"/>
  <c r="Y2338" i="1"/>
  <c r="X2338" i="1"/>
  <c r="W2338" i="1"/>
  <c r="Z2337" i="1"/>
  <c r="Y2337" i="1"/>
  <c r="X2337" i="1"/>
  <c r="W2337" i="1"/>
  <c r="Z2336" i="1"/>
  <c r="Y2336" i="1"/>
  <c r="X2336" i="1"/>
  <c r="W2336" i="1"/>
  <c r="Z2335" i="1"/>
  <c r="Y2335" i="1"/>
  <c r="X2335" i="1"/>
  <c r="W2335" i="1"/>
  <c r="Z2334" i="1"/>
  <c r="Y2334" i="1"/>
  <c r="X2334" i="1"/>
  <c r="W2334" i="1"/>
  <c r="Z2333" i="1"/>
  <c r="Y2333" i="1"/>
  <c r="X2333" i="1"/>
  <c r="W2333" i="1"/>
  <c r="Z2332" i="1"/>
  <c r="Y2332" i="1"/>
  <c r="X2332" i="1"/>
  <c r="W2332" i="1"/>
  <c r="Z2331" i="1"/>
  <c r="Y2331" i="1"/>
  <c r="X2331" i="1"/>
  <c r="W2331" i="1"/>
  <c r="Z2330" i="1"/>
  <c r="Y2330" i="1"/>
  <c r="X2330" i="1"/>
  <c r="W2330" i="1"/>
  <c r="Z2329" i="1"/>
  <c r="Y2329" i="1"/>
  <c r="X2329" i="1"/>
  <c r="W2329" i="1"/>
  <c r="Z2328" i="1"/>
  <c r="Y2328" i="1"/>
  <c r="X2328" i="1"/>
  <c r="W2328" i="1"/>
  <c r="Z2327" i="1"/>
  <c r="Y2327" i="1"/>
  <c r="X2327" i="1"/>
  <c r="W2327" i="1"/>
  <c r="Z2326" i="1"/>
  <c r="Y2326" i="1"/>
  <c r="X2326" i="1"/>
  <c r="W2326" i="1"/>
  <c r="Z2325" i="1"/>
  <c r="Y2325" i="1"/>
  <c r="X2325" i="1"/>
  <c r="W2325" i="1"/>
  <c r="Z2324" i="1"/>
  <c r="Y2324" i="1"/>
  <c r="X2324" i="1"/>
  <c r="W2324" i="1"/>
  <c r="Z2323" i="1"/>
  <c r="Y2323" i="1"/>
  <c r="X2323" i="1"/>
  <c r="W2323" i="1"/>
  <c r="Z2322" i="1"/>
  <c r="Y2322" i="1"/>
  <c r="X2322" i="1"/>
  <c r="W2322" i="1"/>
  <c r="Z2321" i="1"/>
  <c r="Y2321" i="1"/>
  <c r="X2321" i="1"/>
  <c r="W2321" i="1"/>
  <c r="Z2320" i="1"/>
  <c r="Y2320" i="1"/>
  <c r="X2320" i="1"/>
  <c r="W2320" i="1"/>
  <c r="Z2319" i="1"/>
  <c r="Y2319" i="1"/>
  <c r="X2319" i="1"/>
  <c r="W2319" i="1"/>
  <c r="Z2318" i="1"/>
  <c r="Y2318" i="1"/>
  <c r="X2318" i="1"/>
  <c r="W2318" i="1"/>
  <c r="Z2317" i="1"/>
  <c r="Y2317" i="1"/>
  <c r="X2317" i="1"/>
  <c r="W2317" i="1"/>
  <c r="Z2316" i="1"/>
  <c r="Y2316" i="1"/>
  <c r="X2316" i="1"/>
  <c r="W2316" i="1"/>
  <c r="Z2315" i="1"/>
  <c r="Y2315" i="1"/>
  <c r="X2315" i="1"/>
  <c r="W2315" i="1"/>
  <c r="Z2314" i="1"/>
  <c r="Y2314" i="1"/>
  <c r="X2314" i="1"/>
  <c r="W2314" i="1"/>
  <c r="Z2313" i="1"/>
  <c r="Y2313" i="1"/>
  <c r="X2313" i="1"/>
  <c r="W2313" i="1"/>
  <c r="Z2312" i="1"/>
  <c r="Y2312" i="1"/>
  <c r="X2312" i="1"/>
  <c r="W2312" i="1"/>
  <c r="Z2311" i="1"/>
  <c r="Y2311" i="1"/>
  <c r="X2311" i="1"/>
  <c r="W2311" i="1"/>
  <c r="Z2310" i="1"/>
  <c r="Y2310" i="1"/>
  <c r="X2310" i="1"/>
  <c r="W2310" i="1"/>
  <c r="Z2309" i="1"/>
  <c r="Y2309" i="1"/>
  <c r="X2309" i="1"/>
  <c r="W2309" i="1"/>
  <c r="Z2308" i="1"/>
  <c r="Y2308" i="1"/>
  <c r="X2308" i="1"/>
  <c r="W2308" i="1"/>
  <c r="Z2307" i="1"/>
  <c r="Y2307" i="1"/>
  <c r="X2307" i="1"/>
  <c r="W2307" i="1"/>
  <c r="Z2306" i="1"/>
  <c r="Y2306" i="1"/>
  <c r="X2306" i="1"/>
  <c r="W2306" i="1"/>
  <c r="Z2305" i="1"/>
  <c r="Y2305" i="1"/>
  <c r="X2305" i="1"/>
  <c r="W2305" i="1"/>
  <c r="Z2304" i="1"/>
  <c r="Y2304" i="1"/>
  <c r="X2304" i="1"/>
  <c r="W2304" i="1"/>
  <c r="Z2303" i="1"/>
  <c r="Y2303" i="1"/>
  <c r="X2303" i="1"/>
  <c r="W2303" i="1"/>
  <c r="Z2302" i="1"/>
  <c r="Y2302" i="1"/>
  <c r="X2302" i="1"/>
  <c r="W2302" i="1"/>
  <c r="Z2301" i="1"/>
  <c r="Y2301" i="1"/>
  <c r="X2301" i="1"/>
  <c r="W2301" i="1"/>
  <c r="Z2300" i="1"/>
  <c r="Y2300" i="1"/>
  <c r="X2300" i="1"/>
  <c r="W2300" i="1"/>
  <c r="Z2299" i="1"/>
  <c r="Y2299" i="1"/>
  <c r="X2299" i="1"/>
  <c r="W2299" i="1"/>
  <c r="Z2298" i="1"/>
  <c r="Y2298" i="1"/>
  <c r="X2298" i="1"/>
  <c r="W2298" i="1"/>
  <c r="Z2297" i="1"/>
  <c r="Y2297" i="1"/>
  <c r="X2297" i="1"/>
  <c r="W2297" i="1"/>
  <c r="Z2296" i="1"/>
  <c r="Y2296" i="1"/>
  <c r="X2296" i="1"/>
  <c r="W2296" i="1"/>
  <c r="Z2295" i="1"/>
  <c r="Y2295" i="1"/>
  <c r="X2295" i="1"/>
  <c r="W2295" i="1"/>
  <c r="Z2294" i="1"/>
  <c r="Y2294" i="1"/>
  <c r="X2294" i="1"/>
  <c r="W2294" i="1"/>
  <c r="Z2293" i="1"/>
  <c r="Y2293" i="1"/>
  <c r="X2293" i="1"/>
  <c r="W2293" i="1"/>
  <c r="Z2292" i="1"/>
  <c r="Y2292" i="1"/>
  <c r="X2292" i="1"/>
  <c r="W2292" i="1"/>
  <c r="Z2291" i="1"/>
  <c r="Y2291" i="1"/>
  <c r="X2291" i="1"/>
  <c r="W2291" i="1"/>
  <c r="Z2290" i="1"/>
  <c r="Y2290" i="1"/>
  <c r="X2290" i="1"/>
  <c r="W2290" i="1"/>
  <c r="Z2289" i="1"/>
  <c r="Y2289" i="1"/>
  <c r="X2289" i="1"/>
  <c r="W2289" i="1"/>
  <c r="Z2288" i="1"/>
  <c r="Y2288" i="1"/>
  <c r="X2288" i="1"/>
  <c r="W2288" i="1"/>
  <c r="Z2287" i="1"/>
  <c r="Y2287" i="1"/>
  <c r="X2287" i="1"/>
  <c r="W2287" i="1"/>
  <c r="Z2286" i="1"/>
  <c r="Y2286" i="1"/>
  <c r="X2286" i="1"/>
  <c r="W2286" i="1"/>
  <c r="Z2285" i="1"/>
  <c r="Y2285" i="1"/>
  <c r="X2285" i="1"/>
  <c r="W2285" i="1"/>
  <c r="Z2284" i="1"/>
  <c r="Y2284" i="1"/>
  <c r="X2284" i="1"/>
  <c r="W2284" i="1"/>
  <c r="Z2283" i="1"/>
  <c r="Y2283" i="1"/>
  <c r="X2283" i="1"/>
  <c r="W2283" i="1"/>
  <c r="Z2282" i="1"/>
  <c r="Y2282" i="1"/>
  <c r="X2282" i="1"/>
  <c r="W2282" i="1"/>
  <c r="Z2281" i="1"/>
  <c r="Y2281" i="1"/>
  <c r="X2281" i="1"/>
  <c r="W2281" i="1"/>
  <c r="Z2280" i="1"/>
  <c r="Y2280" i="1"/>
  <c r="X2280" i="1"/>
  <c r="W2280" i="1"/>
  <c r="Z2279" i="1"/>
  <c r="Y2279" i="1"/>
  <c r="X2279" i="1"/>
  <c r="W2279" i="1"/>
  <c r="Z2278" i="1"/>
  <c r="Y2278" i="1"/>
  <c r="X2278" i="1"/>
  <c r="W2278" i="1"/>
  <c r="Z2277" i="1"/>
  <c r="Y2277" i="1"/>
  <c r="X2277" i="1"/>
  <c r="W2277" i="1"/>
  <c r="Z2276" i="1"/>
  <c r="Y2276" i="1"/>
  <c r="X2276" i="1"/>
  <c r="W2276" i="1"/>
  <c r="Z2275" i="1"/>
  <c r="Y2275" i="1"/>
  <c r="X2275" i="1"/>
  <c r="W2275" i="1"/>
  <c r="Z2274" i="1"/>
  <c r="Y2274" i="1"/>
  <c r="X2274" i="1"/>
  <c r="W2274" i="1"/>
  <c r="Z2273" i="1"/>
  <c r="Y2273" i="1"/>
  <c r="X2273" i="1"/>
  <c r="W2273" i="1"/>
  <c r="Z2272" i="1"/>
  <c r="Y2272" i="1"/>
  <c r="X2272" i="1"/>
  <c r="W2272" i="1"/>
  <c r="Z2271" i="1"/>
  <c r="Y2271" i="1"/>
  <c r="X2271" i="1"/>
  <c r="W2271" i="1"/>
  <c r="Z2270" i="1"/>
  <c r="Y2270" i="1"/>
  <c r="X2270" i="1"/>
  <c r="W2270" i="1"/>
  <c r="Z2269" i="1"/>
  <c r="Y2269" i="1"/>
  <c r="X2269" i="1"/>
  <c r="W2269" i="1"/>
  <c r="Z2268" i="1"/>
  <c r="Y2268" i="1"/>
  <c r="X2268" i="1"/>
  <c r="W2268" i="1"/>
  <c r="Z2267" i="1"/>
  <c r="Y2267" i="1"/>
  <c r="X2267" i="1"/>
  <c r="W2267" i="1"/>
  <c r="Z2266" i="1"/>
  <c r="Y2266" i="1"/>
  <c r="X2266" i="1"/>
  <c r="W2266" i="1"/>
  <c r="Z2265" i="1"/>
  <c r="Y2265" i="1"/>
  <c r="X2265" i="1"/>
  <c r="W2265" i="1"/>
  <c r="Z2264" i="1"/>
  <c r="Y2264" i="1"/>
  <c r="X2264" i="1"/>
  <c r="W2264" i="1"/>
  <c r="Z2263" i="1"/>
  <c r="Y2263" i="1"/>
  <c r="X2263" i="1"/>
  <c r="W2263" i="1"/>
  <c r="Z2262" i="1"/>
  <c r="Y2262" i="1"/>
  <c r="X2262" i="1"/>
  <c r="W2262" i="1"/>
  <c r="Z2261" i="1"/>
  <c r="Y2261" i="1"/>
  <c r="X2261" i="1"/>
  <c r="W2261" i="1"/>
  <c r="Z2260" i="1"/>
  <c r="Y2260" i="1"/>
  <c r="X2260" i="1"/>
  <c r="W2260" i="1"/>
  <c r="Z2259" i="1"/>
  <c r="Y2259" i="1"/>
  <c r="X2259" i="1"/>
  <c r="W2259" i="1"/>
  <c r="Z2258" i="1"/>
  <c r="Y2258" i="1"/>
  <c r="X2258" i="1"/>
  <c r="W2258" i="1"/>
  <c r="Z2257" i="1"/>
  <c r="Y2257" i="1"/>
  <c r="X2257" i="1"/>
  <c r="W2257" i="1"/>
  <c r="Z2256" i="1"/>
  <c r="Y2256" i="1"/>
  <c r="X2256" i="1"/>
  <c r="W2256" i="1"/>
  <c r="Z2255" i="1"/>
  <c r="Y2255" i="1"/>
  <c r="X2255" i="1"/>
  <c r="W2255" i="1"/>
  <c r="Z2254" i="1"/>
  <c r="Y2254" i="1"/>
  <c r="X2254" i="1"/>
  <c r="W2254" i="1"/>
  <c r="Z2253" i="1"/>
  <c r="Y2253" i="1"/>
  <c r="X2253" i="1"/>
  <c r="W2253" i="1"/>
  <c r="Z2252" i="1"/>
  <c r="Y2252" i="1"/>
  <c r="X2252" i="1"/>
  <c r="W2252" i="1"/>
  <c r="Z2251" i="1"/>
  <c r="Y2251" i="1"/>
  <c r="X2251" i="1"/>
  <c r="W2251" i="1"/>
  <c r="Z2250" i="1"/>
  <c r="Y2250" i="1"/>
  <c r="X2250" i="1"/>
  <c r="W2250" i="1"/>
  <c r="Z2249" i="1"/>
  <c r="Y2249" i="1"/>
  <c r="X2249" i="1"/>
  <c r="W2249" i="1"/>
  <c r="Z2248" i="1"/>
  <c r="Y2248" i="1"/>
  <c r="X2248" i="1"/>
  <c r="W2248" i="1"/>
  <c r="Z2247" i="1"/>
  <c r="Y2247" i="1"/>
  <c r="X2247" i="1"/>
  <c r="W2247" i="1"/>
  <c r="Z2246" i="1"/>
  <c r="Y2246" i="1"/>
  <c r="X2246" i="1"/>
  <c r="W2246" i="1"/>
  <c r="Z2245" i="1"/>
  <c r="Y2245" i="1"/>
  <c r="X2245" i="1"/>
  <c r="W2245" i="1"/>
  <c r="Z2244" i="1"/>
  <c r="Y2244" i="1"/>
  <c r="X2244" i="1"/>
  <c r="W2244" i="1"/>
  <c r="Z2243" i="1"/>
  <c r="Y2243" i="1"/>
  <c r="X2243" i="1"/>
  <c r="W2243" i="1"/>
  <c r="Z2242" i="1"/>
  <c r="Y2242" i="1"/>
  <c r="X2242" i="1"/>
  <c r="W2242" i="1"/>
  <c r="Z2241" i="1"/>
  <c r="Y2241" i="1"/>
  <c r="X2241" i="1"/>
  <c r="W2241" i="1"/>
  <c r="Z2240" i="1"/>
  <c r="Y2240" i="1"/>
  <c r="X2240" i="1"/>
  <c r="W2240" i="1"/>
  <c r="Z2239" i="1"/>
  <c r="Y2239" i="1"/>
  <c r="X2239" i="1"/>
  <c r="W2239" i="1"/>
  <c r="Z2238" i="1"/>
  <c r="Y2238" i="1"/>
  <c r="X2238" i="1"/>
  <c r="W2238" i="1"/>
  <c r="Z2237" i="1"/>
  <c r="Y2237" i="1"/>
  <c r="X2237" i="1"/>
  <c r="W2237" i="1"/>
  <c r="Z2236" i="1"/>
  <c r="Y2236" i="1"/>
  <c r="X2236" i="1"/>
  <c r="W2236" i="1"/>
  <c r="Z2235" i="1"/>
  <c r="Y2235" i="1"/>
  <c r="X2235" i="1"/>
  <c r="W2235" i="1"/>
  <c r="Z2234" i="1"/>
  <c r="Y2234" i="1"/>
  <c r="X2234" i="1"/>
  <c r="W2234" i="1"/>
  <c r="Z2233" i="1"/>
  <c r="Y2233" i="1"/>
  <c r="X2233" i="1"/>
  <c r="W2233" i="1"/>
  <c r="Z2232" i="1"/>
  <c r="Y2232" i="1"/>
  <c r="X2232" i="1"/>
  <c r="W2232" i="1"/>
  <c r="Z2231" i="1"/>
  <c r="Y2231" i="1"/>
  <c r="X2231" i="1"/>
  <c r="W2231" i="1"/>
  <c r="Z2230" i="1"/>
  <c r="Y2230" i="1"/>
  <c r="X2230" i="1"/>
  <c r="W2230" i="1"/>
  <c r="Z2229" i="1"/>
  <c r="Y2229" i="1"/>
  <c r="X2229" i="1"/>
  <c r="W2229" i="1"/>
  <c r="Z2228" i="1"/>
  <c r="Y2228" i="1"/>
  <c r="X2228" i="1"/>
  <c r="W2228" i="1"/>
  <c r="Z2227" i="1"/>
  <c r="Y2227" i="1"/>
  <c r="X2227" i="1"/>
  <c r="W2227" i="1"/>
  <c r="Z2226" i="1"/>
  <c r="Y2226" i="1"/>
  <c r="X2226" i="1"/>
  <c r="W2226" i="1"/>
  <c r="Z2225" i="1"/>
  <c r="Y2225" i="1"/>
  <c r="X2225" i="1"/>
  <c r="W2225" i="1"/>
  <c r="Z2224" i="1"/>
  <c r="Y2224" i="1"/>
  <c r="X2224" i="1"/>
  <c r="W2224" i="1"/>
  <c r="Z2223" i="1"/>
  <c r="Y2223" i="1"/>
  <c r="X2223" i="1"/>
  <c r="W2223" i="1"/>
  <c r="Z2222" i="1"/>
  <c r="Y2222" i="1"/>
  <c r="X2222" i="1"/>
  <c r="W2222" i="1"/>
  <c r="Z2221" i="1"/>
  <c r="Y2221" i="1"/>
  <c r="X2221" i="1"/>
  <c r="W2221" i="1"/>
  <c r="Z2220" i="1"/>
  <c r="Y2220" i="1"/>
  <c r="X2220" i="1"/>
  <c r="W2220" i="1"/>
  <c r="Z2219" i="1"/>
  <c r="Y2219" i="1"/>
  <c r="X2219" i="1"/>
  <c r="W2219" i="1"/>
  <c r="Z2218" i="1"/>
  <c r="Y2218" i="1"/>
  <c r="X2218" i="1"/>
  <c r="W2218" i="1"/>
  <c r="Z2217" i="1"/>
  <c r="Y2217" i="1"/>
  <c r="X2217" i="1"/>
  <c r="W2217" i="1"/>
  <c r="Z2216" i="1"/>
  <c r="Y2216" i="1"/>
  <c r="X2216" i="1"/>
  <c r="W2216" i="1"/>
  <c r="Z2215" i="1"/>
  <c r="Y2215" i="1"/>
  <c r="X2215" i="1"/>
  <c r="W2215" i="1"/>
  <c r="Z2214" i="1"/>
  <c r="Y2214" i="1"/>
  <c r="X2214" i="1"/>
  <c r="W2214" i="1"/>
  <c r="Z2213" i="1"/>
  <c r="Y2213" i="1"/>
  <c r="X2213" i="1"/>
  <c r="W2213" i="1"/>
  <c r="Z2212" i="1"/>
  <c r="Y2212" i="1"/>
  <c r="X2212" i="1"/>
  <c r="W2212" i="1"/>
  <c r="Z2211" i="1"/>
  <c r="Y2211" i="1"/>
  <c r="X2211" i="1"/>
  <c r="W2211" i="1"/>
  <c r="Z2210" i="1"/>
  <c r="Y2210" i="1"/>
  <c r="X2210" i="1"/>
  <c r="W2210" i="1"/>
  <c r="Z2209" i="1"/>
  <c r="Y2209" i="1"/>
  <c r="X2209" i="1"/>
  <c r="W2209" i="1"/>
  <c r="Z2208" i="1"/>
  <c r="Y2208" i="1"/>
  <c r="X2208" i="1"/>
  <c r="W2208" i="1"/>
  <c r="Z2207" i="1"/>
  <c r="Y2207" i="1"/>
  <c r="X2207" i="1"/>
  <c r="W2207" i="1"/>
  <c r="Z2206" i="1"/>
  <c r="Y2206" i="1"/>
  <c r="X2206" i="1"/>
  <c r="W2206" i="1"/>
  <c r="Z2205" i="1"/>
  <c r="Y2205" i="1"/>
  <c r="X2205" i="1"/>
  <c r="W2205" i="1"/>
  <c r="Z2204" i="1"/>
  <c r="Y2204" i="1"/>
  <c r="X2204" i="1"/>
  <c r="W2204" i="1"/>
  <c r="Z2203" i="1"/>
  <c r="Y2203" i="1"/>
  <c r="X2203" i="1"/>
  <c r="W2203" i="1"/>
  <c r="Z2202" i="1"/>
  <c r="Y2202" i="1"/>
  <c r="X2202" i="1"/>
  <c r="W2202" i="1"/>
  <c r="Z2201" i="1"/>
  <c r="Y2201" i="1"/>
  <c r="X2201" i="1"/>
  <c r="W2201" i="1"/>
  <c r="Z2200" i="1"/>
  <c r="Y2200" i="1"/>
  <c r="X2200" i="1"/>
  <c r="W2200" i="1"/>
  <c r="Z2199" i="1"/>
  <c r="Y2199" i="1"/>
  <c r="X2199" i="1"/>
  <c r="W2199" i="1"/>
  <c r="Z2198" i="1"/>
  <c r="Y2198" i="1"/>
  <c r="X2198" i="1"/>
  <c r="W2198" i="1"/>
  <c r="Z2197" i="1"/>
  <c r="Y2197" i="1"/>
  <c r="X2197" i="1"/>
  <c r="W2197" i="1"/>
  <c r="Z2196" i="1"/>
  <c r="Y2196" i="1"/>
  <c r="X2196" i="1"/>
  <c r="W2196" i="1"/>
  <c r="Z2195" i="1"/>
  <c r="Y2195" i="1"/>
  <c r="X2195" i="1"/>
  <c r="W2195" i="1"/>
  <c r="Z2194" i="1"/>
  <c r="Y2194" i="1"/>
  <c r="X2194" i="1"/>
  <c r="W2194" i="1"/>
  <c r="Z2193" i="1"/>
  <c r="Y2193" i="1"/>
  <c r="X2193" i="1"/>
  <c r="W2193" i="1"/>
  <c r="Z2192" i="1"/>
  <c r="Y2192" i="1"/>
  <c r="X2192" i="1"/>
  <c r="W2192" i="1"/>
  <c r="Z2191" i="1"/>
  <c r="Y2191" i="1"/>
  <c r="X2191" i="1"/>
  <c r="W2191" i="1"/>
  <c r="Z2190" i="1"/>
  <c r="Y2190" i="1"/>
  <c r="X2190" i="1"/>
  <c r="W2190" i="1"/>
  <c r="Z2189" i="1"/>
  <c r="Y2189" i="1"/>
  <c r="X2189" i="1"/>
  <c r="W2189" i="1"/>
  <c r="Z2188" i="1"/>
  <c r="Y2188" i="1"/>
  <c r="X2188" i="1"/>
  <c r="W2188" i="1"/>
  <c r="Z2187" i="1"/>
  <c r="Y2187" i="1"/>
  <c r="X2187" i="1"/>
  <c r="W2187" i="1"/>
  <c r="Z2186" i="1"/>
  <c r="Y2186" i="1"/>
  <c r="X2186" i="1"/>
  <c r="W2186" i="1"/>
  <c r="Z2185" i="1"/>
  <c r="Y2185" i="1"/>
  <c r="X2185" i="1"/>
  <c r="W2185" i="1"/>
  <c r="Z2184" i="1"/>
  <c r="Y2184" i="1"/>
  <c r="X2184" i="1"/>
  <c r="W2184" i="1"/>
  <c r="Z2183" i="1"/>
  <c r="Y2183" i="1"/>
  <c r="X2183" i="1"/>
  <c r="W2183" i="1"/>
  <c r="Z2182" i="1"/>
  <c r="Y2182" i="1"/>
  <c r="X2182" i="1"/>
  <c r="W2182" i="1"/>
  <c r="Z2181" i="1"/>
  <c r="Y2181" i="1"/>
  <c r="X2181" i="1"/>
  <c r="W2181" i="1"/>
  <c r="Z2180" i="1"/>
  <c r="Y2180" i="1"/>
  <c r="X2180" i="1"/>
  <c r="W2180" i="1"/>
  <c r="Z2179" i="1"/>
  <c r="Y2179" i="1"/>
  <c r="X2179" i="1"/>
  <c r="W2179" i="1"/>
  <c r="Z2178" i="1"/>
  <c r="Y2178" i="1"/>
  <c r="X2178" i="1"/>
  <c r="W2178" i="1"/>
  <c r="Z2177" i="1"/>
  <c r="Y2177" i="1"/>
  <c r="X2177" i="1"/>
  <c r="W2177" i="1"/>
  <c r="Z2176" i="1"/>
  <c r="Y2176" i="1"/>
  <c r="X2176" i="1"/>
  <c r="W2176" i="1"/>
  <c r="Z2175" i="1"/>
  <c r="Y2175" i="1"/>
  <c r="X2175" i="1"/>
  <c r="W2175" i="1"/>
  <c r="Z2174" i="1"/>
  <c r="Y2174" i="1"/>
  <c r="X2174" i="1"/>
  <c r="W2174" i="1"/>
  <c r="Z2173" i="1"/>
  <c r="Y2173" i="1"/>
  <c r="X2173" i="1"/>
  <c r="W2173" i="1"/>
  <c r="Z2172" i="1"/>
  <c r="Y2172" i="1"/>
  <c r="X2172" i="1"/>
  <c r="W2172" i="1"/>
  <c r="Z2171" i="1"/>
  <c r="Y2171" i="1"/>
  <c r="X2171" i="1"/>
  <c r="W2171" i="1"/>
  <c r="Z2170" i="1"/>
  <c r="Y2170" i="1"/>
  <c r="X2170" i="1"/>
  <c r="W2170" i="1"/>
  <c r="Z2169" i="1"/>
  <c r="Y2169" i="1"/>
  <c r="X2169" i="1"/>
  <c r="W2169" i="1"/>
  <c r="Z2168" i="1"/>
  <c r="Y2168" i="1"/>
  <c r="X2168" i="1"/>
  <c r="W2168" i="1"/>
  <c r="Z2167" i="1"/>
  <c r="Y2167" i="1"/>
  <c r="X2167" i="1"/>
  <c r="W2167" i="1"/>
  <c r="Z2166" i="1"/>
  <c r="Y2166" i="1"/>
  <c r="X2166" i="1"/>
  <c r="W2166" i="1"/>
  <c r="Z2165" i="1"/>
  <c r="Y2165" i="1"/>
  <c r="X2165" i="1"/>
  <c r="W2165" i="1"/>
  <c r="Z2164" i="1"/>
  <c r="Y2164" i="1"/>
  <c r="X2164" i="1"/>
  <c r="W2164" i="1"/>
  <c r="Z2163" i="1"/>
  <c r="Y2163" i="1"/>
  <c r="X2163" i="1"/>
  <c r="W2163" i="1"/>
  <c r="Z2162" i="1"/>
  <c r="Y2162" i="1"/>
  <c r="X2162" i="1"/>
  <c r="W2162" i="1"/>
  <c r="Z2161" i="1"/>
  <c r="Y2161" i="1"/>
  <c r="X2161" i="1"/>
  <c r="W2161" i="1"/>
  <c r="Z2160" i="1"/>
  <c r="Y2160" i="1"/>
  <c r="X2160" i="1"/>
  <c r="W2160" i="1"/>
  <c r="Z2159" i="1"/>
  <c r="Y2159" i="1"/>
  <c r="X2159" i="1"/>
  <c r="W2159" i="1"/>
  <c r="Z2158" i="1"/>
  <c r="Y2158" i="1"/>
  <c r="X2158" i="1"/>
  <c r="W2158" i="1"/>
  <c r="Z2157" i="1"/>
  <c r="Y2157" i="1"/>
  <c r="X2157" i="1"/>
  <c r="W2157" i="1"/>
  <c r="Z2156" i="1"/>
  <c r="Y2156" i="1"/>
  <c r="X2156" i="1"/>
  <c r="W2156" i="1"/>
  <c r="Z2155" i="1"/>
  <c r="Y2155" i="1"/>
  <c r="X2155" i="1"/>
  <c r="W2155" i="1"/>
  <c r="Z2154" i="1"/>
  <c r="Y2154" i="1"/>
  <c r="X2154" i="1"/>
  <c r="W2154" i="1"/>
  <c r="Z2153" i="1"/>
  <c r="Y2153" i="1"/>
  <c r="X2153" i="1"/>
  <c r="W2153" i="1"/>
  <c r="Z2152" i="1"/>
  <c r="Y2152" i="1"/>
  <c r="X2152" i="1"/>
  <c r="W2152" i="1"/>
  <c r="Z2151" i="1"/>
  <c r="Y2151" i="1"/>
  <c r="X2151" i="1"/>
  <c r="W2151" i="1"/>
  <c r="Z2150" i="1"/>
  <c r="Y2150" i="1"/>
  <c r="X2150" i="1"/>
  <c r="W2150" i="1"/>
  <c r="Z2149" i="1"/>
  <c r="Y2149" i="1"/>
  <c r="X2149" i="1"/>
  <c r="W2149" i="1"/>
  <c r="Z2148" i="1"/>
  <c r="Y2148" i="1"/>
  <c r="X2148" i="1"/>
  <c r="W2148" i="1"/>
  <c r="Z2147" i="1"/>
  <c r="Y2147" i="1"/>
  <c r="X2147" i="1"/>
  <c r="W2147" i="1"/>
  <c r="Z2146" i="1"/>
  <c r="Y2146" i="1"/>
  <c r="X2146" i="1"/>
  <c r="W2146" i="1"/>
  <c r="Z2145" i="1"/>
  <c r="Y2145" i="1"/>
  <c r="X2145" i="1"/>
  <c r="W2145" i="1"/>
  <c r="Z2144" i="1"/>
  <c r="Y2144" i="1"/>
  <c r="X2144" i="1"/>
  <c r="W2144" i="1"/>
  <c r="Z2143" i="1"/>
  <c r="Y2143" i="1"/>
  <c r="X2143" i="1"/>
  <c r="W2143" i="1"/>
  <c r="Z2142" i="1"/>
  <c r="Y2142" i="1"/>
  <c r="X2142" i="1"/>
  <c r="W2142" i="1"/>
  <c r="Z2141" i="1"/>
  <c r="Y2141" i="1"/>
  <c r="X2141" i="1"/>
  <c r="W2141" i="1"/>
  <c r="Z2140" i="1"/>
  <c r="Y2140" i="1"/>
  <c r="X2140" i="1"/>
  <c r="W2140" i="1"/>
  <c r="Z2139" i="1"/>
  <c r="Y2139" i="1"/>
  <c r="X2139" i="1"/>
  <c r="W2139" i="1"/>
  <c r="Z2138" i="1"/>
  <c r="Y2138" i="1"/>
  <c r="X2138" i="1"/>
  <c r="W2138" i="1"/>
  <c r="Z2137" i="1"/>
  <c r="Y2137" i="1"/>
  <c r="X2137" i="1"/>
  <c r="W2137" i="1"/>
  <c r="Z2136" i="1"/>
  <c r="Y2136" i="1"/>
  <c r="X2136" i="1"/>
  <c r="W2136" i="1"/>
  <c r="Z2135" i="1"/>
  <c r="Y2135" i="1"/>
  <c r="X2135" i="1"/>
  <c r="W2135" i="1"/>
  <c r="Z2134" i="1"/>
  <c r="Y2134" i="1"/>
  <c r="X2134" i="1"/>
  <c r="W2134" i="1"/>
  <c r="Z2133" i="1"/>
  <c r="Y2133" i="1"/>
  <c r="X2133" i="1"/>
  <c r="W2133" i="1"/>
  <c r="Z2132" i="1"/>
  <c r="Y2132" i="1"/>
  <c r="X2132" i="1"/>
  <c r="W2132" i="1"/>
  <c r="Z2131" i="1"/>
  <c r="Y2131" i="1"/>
  <c r="X2131" i="1"/>
  <c r="W2131" i="1"/>
  <c r="Z2130" i="1"/>
  <c r="Y2130" i="1"/>
  <c r="X2130" i="1"/>
  <c r="W2130" i="1"/>
  <c r="Z2129" i="1"/>
  <c r="Y2129" i="1"/>
  <c r="X2129" i="1"/>
  <c r="W2129" i="1"/>
  <c r="Z2128" i="1"/>
  <c r="Y2128" i="1"/>
  <c r="X2128" i="1"/>
  <c r="W2128" i="1"/>
  <c r="Z2127" i="1"/>
  <c r="Y2127" i="1"/>
  <c r="X2127" i="1"/>
  <c r="W2127" i="1"/>
  <c r="Z2126" i="1"/>
  <c r="Y2126" i="1"/>
  <c r="X2126" i="1"/>
  <c r="W2126" i="1"/>
  <c r="Z2125" i="1"/>
  <c r="Y2125" i="1"/>
  <c r="X2125" i="1"/>
  <c r="W2125" i="1"/>
  <c r="Z2124" i="1"/>
  <c r="Y2124" i="1"/>
  <c r="X2124" i="1"/>
  <c r="W2124" i="1"/>
  <c r="Z2123" i="1"/>
  <c r="Y2123" i="1"/>
  <c r="X2123" i="1"/>
  <c r="W2123" i="1"/>
  <c r="Z2122" i="1"/>
  <c r="Y2122" i="1"/>
  <c r="X2122" i="1"/>
  <c r="W2122" i="1"/>
  <c r="Z2121" i="1"/>
  <c r="Y2121" i="1"/>
  <c r="X2121" i="1"/>
  <c r="W2121" i="1"/>
  <c r="Z2120" i="1"/>
  <c r="Y2120" i="1"/>
  <c r="X2120" i="1"/>
  <c r="W2120" i="1"/>
  <c r="Z2119" i="1"/>
  <c r="Y2119" i="1"/>
  <c r="X2119" i="1"/>
  <c r="W2119" i="1"/>
  <c r="Z2118" i="1"/>
  <c r="Y2118" i="1"/>
  <c r="X2118" i="1"/>
  <c r="W2118" i="1"/>
  <c r="Z2117" i="1"/>
  <c r="Y2117" i="1"/>
  <c r="X2117" i="1"/>
  <c r="W2117" i="1"/>
  <c r="Z2116" i="1"/>
  <c r="Y2116" i="1"/>
  <c r="X2116" i="1"/>
  <c r="W2116" i="1"/>
  <c r="Z2115" i="1"/>
  <c r="Y2115" i="1"/>
  <c r="X2115" i="1"/>
  <c r="W2115" i="1"/>
  <c r="Z2114" i="1"/>
  <c r="Y2114" i="1"/>
  <c r="X2114" i="1"/>
  <c r="W2114" i="1"/>
  <c r="Z2113" i="1"/>
  <c r="Y2113" i="1"/>
  <c r="X2113" i="1"/>
  <c r="W2113" i="1"/>
  <c r="Z2112" i="1"/>
  <c r="Y2112" i="1"/>
  <c r="X2112" i="1"/>
  <c r="W2112" i="1"/>
  <c r="Z2111" i="1"/>
  <c r="Y2111" i="1"/>
  <c r="X2111" i="1"/>
  <c r="W2111" i="1"/>
  <c r="Z2110" i="1"/>
  <c r="Y2110" i="1"/>
  <c r="X2110" i="1"/>
  <c r="W2110" i="1"/>
  <c r="Z2109" i="1"/>
  <c r="Y2109" i="1"/>
  <c r="X2109" i="1"/>
  <c r="W2109" i="1"/>
  <c r="Z2108" i="1"/>
  <c r="Y2108" i="1"/>
  <c r="X2108" i="1"/>
  <c r="W2108" i="1"/>
  <c r="Z2107" i="1"/>
  <c r="Y2107" i="1"/>
  <c r="X2107" i="1"/>
  <c r="W2107" i="1"/>
  <c r="Z2106" i="1"/>
  <c r="Y2106" i="1"/>
  <c r="X2106" i="1"/>
  <c r="W2106" i="1"/>
  <c r="Z2105" i="1"/>
  <c r="Y2105" i="1"/>
  <c r="X2105" i="1"/>
  <c r="W2105" i="1"/>
  <c r="Z2104" i="1"/>
  <c r="Y2104" i="1"/>
  <c r="X2104" i="1"/>
  <c r="W2104" i="1"/>
  <c r="Z2103" i="1"/>
  <c r="Y2103" i="1"/>
  <c r="X2103" i="1"/>
  <c r="W2103" i="1"/>
  <c r="Z2102" i="1"/>
  <c r="Y2102" i="1"/>
  <c r="X2102" i="1"/>
  <c r="W2102" i="1"/>
  <c r="Z2101" i="1"/>
  <c r="Y2101" i="1"/>
  <c r="X2101" i="1"/>
  <c r="W2101" i="1"/>
  <c r="Z2100" i="1"/>
  <c r="Y2100" i="1"/>
  <c r="X2100" i="1"/>
  <c r="W2100" i="1"/>
  <c r="Z2099" i="1"/>
  <c r="Y2099" i="1"/>
  <c r="X2099" i="1"/>
  <c r="W2099" i="1"/>
  <c r="Z2098" i="1"/>
  <c r="Y2098" i="1"/>
  <c r="X2098" i="1"/>
  <c r="W2098" i="1"/>
  <c r="Z2097" i="1"/>
  <c r="Y2097" i="1"/>
  <c r="X2097" i="1"/>
  <c r="W2097" i="1"/>
  <c r="Z2096" i="1"/>
  <c r="Y2096" i="1"/>
  <c r="X2096" i="1"/>
  <c r="W2096" i="1"/>
  <c r="Z2095" i="1"/>
  <c r="Y2095" i="1"/>
  <c r="X2095" i="1"/>
  <c r="W2095" i="1"/>
  <c r="Z2094" i="1"/>
  <c r="Y2094" i="1"/>
  <c r="X2094" i="1"/>
  <c r="W2094" i="1"/>
  <c r="Z2093" i="1"/>
  <c r="Y2093" i="1"/>
  <c r="X2093" i="1"/>
  <c r="W2093" i="1"/>
  <c r="Z2092" i="1"/>
  <c r="Y2092" i="1"/>
  <c r="X2092" i="1"/>
  <c r="W2092" i="1"/>
  <c r="Z2091" i="1"/>
  <c r="Y2091" i="1"/>
  <c r="X2091" i="1"/>
  <c r="W2091" i="1"/>
  <c r="Z2090" i="1"/>
  <c r="Y2090" i="1"/>
  <c r="X2090" i="1"/>
  <c r="W2090" i="1"/>
  <c r="Z2089" i="1"/>
  <c r="Y2089" i="1"/>
  <c r="X2089" i="1"/>
  <c r="W2089" i="1"/>
  <c r="Z2088" i="1"/>
  <c r="Y2088" i="1"/>
  <c r="X2088" i="1"/>
  <c r="W2088" i="1"/>
  <c r="Z2087" i="1"/>
  <c r="Y2087" i="1"/>
  <c r="X2087" i="1"/>
  <c r="W2087" i="1"/>
  <c r="Z2086" i="1"/>
  <c r="Y2086" i="1"/>
  <c r="X2086" i="1"/>
  <c r="W2086" i="1"/>
  <c r="Z2085" i="1"/>
  <c r="Y2085" i="1"/>
  <c r="X2085" i="1"/>
  <c r="W2085" i="1"/>
  <c r="Z2084" i="1"/>
  <c r="Y2084" i="1"/>
  <c r="X2084" i="1"/>
  <c r="W2084" i="1"/>
  <c r="Z2083" i="1"/>
  <c r="Y2083" i="1"/>
  <c r="X2083" i="1"/>
  <c r="W2083" i="1"/>
  <c r="Z2082" i="1"/>
  <c r="Y2082" i="1"/>
  <c r="X2082" i="1"/>
  <c r="W2082" i="1"/>
  <c r="Z2081" i="1"/>
  <c r="Y2081" i="1"/>
  <c r="X2081" i="1"/>
  <c r="W2081" i="1"/>
  <c r="Z2080" i="1"/>
  <c r="Y2080" i="1"/>
  <c r="X2080" i="1"/>
  <c r="W2080" i="1"/>
  <c r="Z2079" i="1"/>
  <c r="Y2079" i="1"/>
  <c r="X2079" i="1"/>
  <c r="W2079" i="1"/>
  <c r="Z2078" i="1"/>
  <c r="Y2078" i="1"/>
  <c r="X2078" i="1"/>
  <c r="W2078" i="1"/>
  <c r="Z2077" i="1"/>
  <c r="Y2077" i="1"/>
  <c r="X2077" i="1"/>
  <c r="W2077" i="1"/>
  <c r="Z2076" i="1"/>
  <c r="Y2076" i="1"/>
  <c r="X2076" i="1"/>
  <c r="W2076" i="1"/>
  <c r="Z2075" i="1"/>
  <c r="Y2075" i="1"/>
  <c r="X2075" i="1"/>
  <c r="W2075" i="1"/>
  <c r="Z2074" i="1"/>
  <c r="Y2074" i="1"/>
  <c r="X2074" i="1"/>
  <c r="W2074" i="1"/>
  <c r="Z2073" i="1"/>
  <c r="Y2073" i="1"/>
  <c r="X2073" i="1"/>
  <c r="W2073" i="1"/>
  <c r="Z2072" i="1"/>
  <c r="Y2072" i="1"/>
  <c r="X2072" i="1"/>
  <c r="W2072" i="1"/>
  <c r="Z2071" i="1"/>
  <c r="Y2071" i="1"/>
  <c r="X2071" i="1"/>
  <c r="W2071" i="1"/>
  <c r="Z2070" i="1"/>
  <c r="Y2070" i="1"/>
  <c r="X2070" i="1"/>
  <c r="W2070" i="1"/>
  <c r="Z2069" i="1"/>
  <c r="Y2069" i="1"/>
  <c r="X2069" i="1"/>
  <c r="W2069" i="1"/>
  <c r="Z2068" i="1"/>
  <c r="Y2068" i="1"/>
  <c r="X2068" i="1"/>
  <c r="W2068" i="1"/>
  <c r="Z2067" i="1"/>
  <c r="Y2067" i="1"/>
  <c r="X2067" i="1"/>
  <c r="W2067" i="1"/>
  <c r="Z2066" i="1"/>
  <c r="Y2066" i="1"/>
  <c r="X2066" i="1"/>
  <c r="W2066" i="1"/>
  <c r="Z2065" i="1"/>
  <c r="Y2065" i="1"/>
  <c r="X2065" i="1"/>
  <c r="W2065" i="1"/>
  <c r="Z2064" i="1"/>
  <c r="Y2064" i="1"/>
  <c r="X2064" i="1"/>
  <c r="W2064" i="1"/>
  <c r="Z2063" i="1"/>
  <c r="Y2063" i="1"/>
  <c r="X2063" i="1"/>
  <c r="W2063" i="1"/>
  <c r="Z2062" i="1"/>
  <c r="Y2062" i="1"/>
  <c r="X2062" i="1"/>
  <c r="W2062" i="1"/>
  <c r="Z2061" i="1"/>
  <c r="Y2061" i="1"/>
  <c r="X2061" i="1"/>
  <c r="W2061" i="1"/>
  <c r="Z2060" i="1"/>
  <c r="Y2060" i="1"/>
  <c r="X2060" i="1"/>
  <c r="W2060" i="1"/>
  <c r="Z2059" i="1"/>
  <c r="Y2059" i="1"/>
  <c r="X2059" i="1"/>
  <c r="W2059" i="1"/>
  <c r="Z2058" i="1"/>
  <c r="Y2058" i="1"/>
  <c r="X2058" i="1"/>
  <c r="W2058" i="1"/>
  <c r="Z2057" i="1"/>
  <c r="Y2057" i="1"/>
  <c r="X2057" i="1"/>
  <c r="W2057" i="1"/>
  <c r="Z2056" i="1"/>
  <c r="Y2056" i="1"/>
  <c r="X2056" i="1"/>
  <c r="W2056" i="1"/>
  <c r="Z2055" i="1"/>
  <c r="Y2055" i="1"/>
  <c r="X2055" i="1"/>
  <c r="W2055" i="1"/>
  <c r="Z2054" i="1"/>
  <c r="Y2054" i="1"/>
  <c r="X2054" i="1"/>
  <c r="W2054" i="1"/>
  <c r="Z2053" i="1"/>
  <c r="Y2053" i="1"/>
  <c r="X2053" i="1"/>
  <c r="W2053" i="1"/>
  <c r="Z2052" i="1"/>
  <c r="Y2052" i="1"/>
  <c r="X2052" i="1"/>
  <c r="W2052" i="1"/>
  <c r="Z2051" i="1"/>
  <c r="Y2051" i="1"/>
  <c r="X2051" i="1"/>
  <c r="W2051" i="1"/>
  <c r="Z2050" i="1"/>
  <c r="Y2050" i="1"/>
  <c r="X2050" i="1"/>
  <c r="W2050" i="1"/>
  <c r="Z2049" i="1"/>
  <c r="Y2049" i="1"/>
  <c r="X2049" i="1"/>
  <c r="W2049" i="1"/>
  <c r="Z2048" i="1"/>
  <c r="Y2048" i="1"/>
  <c r="X2048" i="1"/>
  <c r="W2048" i="1"/>
  <c r="Z2047" i="1"/>
  <c r="Y2047" i="1"/>
  <c r="X2047" i="1"/>
  <c r="W2047" i="1"/>
  <c r="Z2046" i="1"/>
  <c r="Y2046" i="1"/>
  <c r="X2046" i="1"/>
  <c r="W2046" i="1"/>
  <c r="Z2045" i="1"/>
  <c r="Y2045" i="1"/>
  <c r="X2045" i="1"/>
  <c r="W2045" i="1"/>
  <c r="Z2044" i="1"/>
  <c r="Y2044" i="1"/>
  <c r="X2044" i="1"/>
  <c r="W2044" i="1"/>
  <c r="Z2043" i="1"/>
  <c r="Y2043" i="1"/>
  <c r="X2043" i="1"/>
  <c r="W2043" i="1"/>
  <c r="Z2042" i="1"/>
  <c r="Y2042" i="1"/>
  <c r="X2042" i="1"/>
  <c r="W2042" i="1"/>
  <c r="Z2041" i="1"/>
  <c r="Y2041" i="1"/>
  <c r="X2041" i="1"/>
  <c r="W2041" i="1"/>
  <c r="Z2040" i="1"/>
  <c r="Y2040" i="1"/>
  <c r="X2040" i="1"/>
  <c r="W2040" i="1"/>
  <c r="Z2039" i="1"/>
  <c r="Y2039" i="1"/>
  <c r="X2039" i="1"/>
  <c r="W2039" i="1"/>
  <c r="Z2038" i="1"/>
  <c r="Y2038" i="1"/>
  <c r="X2038" i="1"/>
  <c r="W2038" i="1"/>
  <c r="Z2037" i="1"/>
  <c r="Y2037" i="1"/>
  <c r="X2037" i="1"/>
  <c r="W2037" i="1"/>
  <c r="Z2036" i="1"/>
  <c r="Y2036" i="1"/>
  <c r="X2036" i="1"/>
  <c r="W2036" i="1"/>
  <c r="Z2035" i="1"/>
  <c r="Y2035" i="1"/>
  <c r="X2035" i="1"/>
  <c r="W2035" i="1"/>
  <c r="Z2034" i="1"/>
  <c r="Y2034" i="1"/>
  <c r="X2034" i="1"/>
  <c r="W2034" i="1"/>
  <c r="Z2033" i="1"/>
  <c r="Y2033" i="1"/>
  <c r="X2033" i="1"/>
  <c r="W2033" i="1"/>
  <c r="Z2032" i="1"/>
  <c r="Y2032" i="1"/>
  <c r="X2032" i="1"/>
  <c r="W2032" i="1"/>
  <c r="Z2031" i="1"/>
  <c r="Y2031" i="1"/>
  <c r="X2031" i="1"/>
  <c r="W2031" i="1"/>
  <c r="Z2030" i="1"/>
  <c r="Y2030" i="1"/>
  <c r="X2030" i="1"/>
  <c r="W2030" i="1"/>
  <c r="Z2029" i="1"/>
  <c r="Y2029" i="1"/>
  <c r="X2029" i="1"/>
  <c r="W2029" i="1"/>
  <c r="Z2028" i="1"/>
  <c r="Y2028" i="1"/>
  <c r="X2028" i="1"/>
  <c r="W2028" i="1"/>
  <c r="Z2027" i="1"/>
  <c r="Y2027" i="1"/>
  <c r="X2027" i="1"/>
  <c r="W2027" i="1"/>
  <c r="Z2026" i="1"/>
  <c r="Y2026" i="1"/>
  <c r="X2026" i="1"/>
  <c r="W2026" i="1"/>
  <c r="Z2025" i="1"/>
  <c r="Y2025" i="1"/>
  <c r="X2025" i="1"/>
  <c r="W2025" i="1"/>
  <c r="Z2024" i="1"/>
  <c r="Y2024" i="1"/>
  <c r="X2024" i="1"/>
  <c r="W2024" i="1"/>
  <c r="Z2023" i="1"/>
  <c r="Y2023" i="1"/>
  <c r="X2023" i="1"/>
  <c r="W2023" i="1"/>
  <c r="Z2022" i="1"/>
  <c r="Y2022" i="1"/>
  <c r="X2022" i="1"/>
  <c r="W2022" i="1"/>
  <c r="Z2021" i="1"/>
  <c r="Y2021" i="1"/>
  <c r="X2021" i="1"/>
  <c r="W2021" i="1"/>
  <c r="Z2020" i="1"/>
  <c r="Y2020" i="1"/>
  <c r="X2020" i="1"/>
  <c r="W2020" i="1"/>
  <c r="Z2019" i="1"/>
  <c r="Y2019" i="1"/>
  <c r="X2019" i="1"/>
  <c r="W2019" i="1"/>
  <c r="Z2018" i="1"/>
  <c r="Y2018" i="1"/>
  <c r="X2018" i="1"/>
  <c r="W2018" i="1"/>
  <c r="Z2017" i="1"/>
  <c r="Y2017" i="1"/>
  <c r="X2017" i="1"/>
  <c r="W2017" i="1"/>
  <c r="Z2016" i="1"/>
  <c r="Y2016" i="1"/>
  <c r="X2016" i="1"/>
  <c r="W2016" i="1"/>
  <c r="Z2015" i="1"/>
  <c r="Y2015" i="1"/>
  <c r="X2015" i="1"/>
  <c r="W2015" i="1"/>
  <c r="Z2014" i="1"/>
  <c r="Y2014" i="1"/>
  <c r="X2014" i="1"/>
  <c r="W2014" i="1"/>
  <c r="Z2013" i="1"/>
  <c r="Y2013" i="1"/>
  <c r="X2013" i="1"/>
  <c r="W2013" i="1"/>
  <c r="Z2012" i="1"/>
  <c r="Y2012" i="1"/>
  <c r="X2012" i="1"/>
  <c r="W2012" i="1"/>
  <c r="Z2011" i="1"/>
  <c r="Y2011" i="1"/>
  <c r="X2011" i="1"/>
  <c r="W2011" i="1"/>
  <c r="Z2010" i="1"/>
  <c r="Y2010" i="1"/>
  <c r="X2010" i="1"/>
  <c r="W2010" i="1"/>
  <c r="Z2009" i="1"/>
  <c r="Y2009" i="1"/>
  <c r="X2009" i="1"/>
  <c r="W2009" i="1"/>
  <c r="Z2008" i="1"/>
  <c r="Y2008" i="1"/>
  <c r="X2008" i="1"/>
  <c r="W2008" i="1"/>
  <c r="Z2007" i="1"/>
  <c r="Y2007" i="1"/>
  <c r="X2007" i="1"/>
  <c r="W2007" i="1"/>
  <c r="Z2006" i="1"/>
  <c r="Y2006" i="1"/>
  <c r="X2006" i="1"/>
  <c r="W2006" i="1"/>
  <c r="Z2005" i="1"/>
  <c r="Y2005" i="1"/>
  <c r="X2005" i="1"/>
  <c r="W2005" i="1"/>
  <c r="Z2004" i="1"/>
  <c r="Y2004" i="1"/>
  <c r="X2004" i="1"/>
  <c r="W2004" i="1"/>
  <c r="Z2003" i="1"/>
  <c r="Y2003" i="1"/>
  <c r="X2003" i="1"/>
  <c r="W2003" i="1"/>
  <c r="Z2002" i="1"/>
  <c r="Y2002" i="1"/>
  <c r="X2002" i="1"/>
  <c r="W2002" i="1"/>
  <c r="Z2001" i="1"/>
  <c r="Y2001" i="1"/>
  <c r="X2001" i="1"/>
  <c r="W2001" i="1"/>
  <c r="Z2000" i="1"/>
  <c r="Y2000" i="1"/>
  <c r="X2000" i="1"/>
  <c r="W2000" i="1"/>
  <c r="Z1999" i="1"/>
  <c r="Y1999" i="1"/>
  <c r="X1999" i="1"/>
  <c r="W1999" i="1"/>
  <c r="Z1998" i="1"/>
  <c r="Y1998" i="1"/>
  <c r="X1998" i="1"/>
  <c r="W1998" i="1"/>
  <c r="Z1997" i="1"/>
  <c r="Y1997" i="1"/>
  <c r="X1997" i="1"/>
  <c r="W1997" i="1"/>
  <c r="Z1996" i="1"/>
  <c r="Y1996" i="1"/>
  <c r="X1996" i="1"/>
  <c r="W1996" i="1"/>
  <c r="Z1995" i="1"/>
  <c r="Y1995" i="1"/>
  <c r="X1995" i="1"/>
  <c r="W1995" i="1"/>
  <c r="Z1994" i="1"/>
  <c r="Y1994" i="1"/>
  <c r="X1994" i="1"/>
  <c r="W1994" i="1"/>
  <c r="Z1993" i="1"/>
  <c r="Y1993" i="1"/>
  <c r="X1993" i="1"/>
  <c r="W1993" i="1"/>
  <c r="Z1992" i="1"/>
  <c r="Y1992" i="1"/>
  <c r="X1992" i="1"/>
  <c r="W1992" i="1"/>
  <c r="Z1991" i="1"/>
  <c r="Y1991" i="1"/>
  <c r="X1991" i="1"/>
  <c r="W1991" i="1"/>
  <c r="Z1990" i="1"/>
  <c r="Y1990" i="1"/>
  <c r="X1990" i="1"/>
  <c r="W1990" i="1"/>
  <c r="Z1989" i="1"/>
  <c r="Y1989" i="1"/>
  <c r="X1989" i="1"/>
  <c r="W1989" i="1"/>
  <c r="Z1988" i="1"/>
  <c r="Y1988" i="1"/>
  <c r="X1988" i="1"/>
  <c r="W1988" i="1"/>
  <c r="Z1987" i="1"/>
  <c r="Y1987" i="1"/>
  <c r="X1987" i="1"/>
  <c r="W1987" i="1"/>
  <c r="Z1986" i="1"/>
  <c r="Y1986" i="1"/>
  <c r="X1986" i="1"/>
  <c r="W1986" i="1"/>
  <c r="Z1985" i="1"/>
  <c r="Y1985" i="1"/>
  <c r="X1985" i="1"/>
  <c r="W1985" i="1"/>
  <c r="Z1984" i="1"/>
  <c r="Y1984" i="1"/>
  <c r="X1984" i="1"/>
  <c r="W1984" i="1"/>
  <c r="Z1983" i="1"/>
  <c r="Y1983" i="1"/>
  <c r="X1983" i="1"/>
  <c r="W1983" i="1"/>
  <c r="Z1982" i="1"/>
  <c r="Y1982" i="1"/>
  <c r="X1982" i="1"/>
  <c r="W1982" i="1"/>
  <c r="Z1981" i="1"/>
  <c r="Y1981" i="1"/>
  <c r="X1981" i="1"/>
  <c r="W1981" i="1"/>
  <c r="Z1980" i="1"/>
  <c r="Y1980" i="1"/>
  <c r="X1980" i="1"/>
  <c r="W1980" i="1"/>
  <c r="Z1979" i="1"/>
  <c r="Y1979" i="1"/>
  <c r="X1979" i="1"/>
  <c r="W1979" i="1"/>
  <c r="Z1978" i="1"/>
  <c r="Y1978" i="1"/>
  <c r="X1978" i="1"/>
  <c r="W1978" i="1"/>
  <c r="Z1977" i="1"/>
  <c r="Y1977" i="1"/>
  <c r="X1977" i="1"/>
  <c r="W1977" i="1"/>
  <c r="Z1976" i="1"/>
  <c r="Y1976" i="1"/>
  <c r="X1976" i="1"/>
  <c r="W1976" i="1"/>
  <c r="Z1975" i="1"/>
  <c r="Y1975" i="1"/>
  <c r="X1975" i="1"/>
  <c r="W1975" i="1"/>
  <c r="Z1974" i="1"/>
  <c r="Y1974" i="1"/>
  <c r="X1974" i="1"/>
  <c r="W1974" i="1"/>
  <c r="Z1973" i="1"/>
  <c r="Y1973" i="1"/>
  <c r="X1973" i="1"/>
  <c r="W1973" i="1"/>
  <c r="Z1972" i="1"/>
  <c r="Y1972" i="1"/>
  <c r="X1972" i="1"/>
  <c r="W1972" i="1"/>
  <c r="Z1971" i="1"/>
  <c r="Y1971" i="1"/>
  <c r="X1971" i="1"/>
  <c r="W1971" i="1"/>
  <c r="Z1970" i="1"/>
  <c r="Y1970" i="1"/>
  <c r="X1970" i="1"/>
  <c r="W1970" i="1"/>
  <c r="Z1969" i="1"/>
  <c r="Y1969" i="1"/>
  <c r="X1969" i="1"/>
  <c r="W1969" i="1"/>
  <c r="Z1968" i="1"/>
  <c r="Y1968" i="1"/>
  <c r="X1968" i="1"/>
  <c r="W1968" i="1"/>
  <c r="Z1967" i="1"/>
  <c r="Y1967" i="1"/>
  <c r="X1967" i="1"/>
  <c r="W1967" i="1"/>
  <c r="Z1966" i="1"/>
  <c r="Y1966" i="1"/>
  <c r="X1966" i="1"/>
  <c r="W1966" i="1"/>
  <c r="Z1965" i="1"/>
  <c r="Y1965" i="1"/>
  <c r="X1965" i="1"/>
  <c r="W1965" i="1"/>
  <c r="Z1964" i="1"/>
  <c r="Y1964" i="1"/>
  <c r="X1964" i="1"/>
  <c r="W1964" i="1"/>
  <c r="Z1963" i="1"/>
  <c r="Y1963" i="1"/>
  <c r="X1963" i="1"/>
  <c r="W1963" i="1"/>
  <c r="Z1962" i="1"/>
  <c r="Y1962" i="1"/>
  <c r="X1962" i="1"/>
  <c r="W1962" i="1"/>
  <c r="Z1961" i="1"/>
  <c r="Y1961" i="1"/>
  <c r="X1961" i="1"/>
  <c r="W1961" i="1"/>
  <c r="Z1960" i="1"/>
  <c r="Y1960" i="1"/>
  <c r="X1960" i="1"/>
  <c r="W1960" i="1"/>
  <c r="Z1959" i="1"/>
  <c r="Y1959" i="1"/>
  <c r="X1959" i="1"/>
  <c r="W1959" i="1"/>
  <c r="Z1958" i="1"/>
  <c r="Y1958" i="1"/>
  <c r="X1958" i="1"/>
  <c r="W1958" i="1"/>
  <c r="Z1957" i="1"/>
  <c r="Y1957" i="1"/>
  <c r="X1957" i="1"/>
  <c r="W1957" i="1"/>
  <c r="Z1956" i="1"/>
  <c r="Y1956" i="1"/>
  <c r="X1956" i="1"/>
  <c r="W1956" i="1"/>
  <c r="Z1955" i="1"/>
  <c r="Y1955" i="1"/>
  <c r="X1955" i="1"/>
  <c r="W1955" i="1"/>
  <c r="Z1954" i="1"/>
  <c r="Y1954" i="1"/>
  <c r="X1954" i="1"/>
  <c r="W1954" i="1"/>
  <c r="Z1953" i="1"/>
  <c r="Y1953" i="1"/>
  <c r="X1953" i="1"/>
  <c r="W1953" i="1"/>
  <c r="Z1952" i="1"/>
  <c r="Y1952" i="1"/>
  <c r="X1952" i="1"/>
  <c r="W1952" i="1"/>
  <c r="Z1951" i="1"/>
  <c r="Y1951" i="1"/>
  <c r="X1951" i="1"/>
  <c r="W1951" i="1"/>
  <c r="Z1950" i="1"/>
  <c r="Y1950" i="1"/>
  <c r="X1950" i="1"/>
  <c r="W1950" i="1"/>
  <c r="Z1949" i="1"/>
  <c r="Y1949" i="1"/>
  <c r="X1949" i="1"/>
  <c r="W1949" i="1"/>
  <c r="Z1948" i="1"/>
  <c r="Y1948" i="1"/>
  <c r="X1948" i="1"/>
  <c r="W1948" i="1"/>
  <c r="Z1947" i="1"/>
  <c r="Y1947" i="1"/>
  <c r="X1947" i="1"/>
  <c r="W1947" i="1"/>
  <c r="Z1946" i="1"/>
  <c r="Y1946" i="1"/>
  <c r="X1946" i="1"/>
  <c r="W1946" i="1"/>
  <c r="Z1945" i="1"/>
  <c r="Y1945" i="1"/>
  <c r="X1945" i="1"/>
  <c r="W1945" i="1"/>
  <c r="Z1944" i="1"/>
  <c r="Y1944" i="1"/>
  <c r="X1944" i="1"/>
  <c r="W1944" i="1"/>
  <c r="Z1943" i="1"/>
  <c r="Y1943" i="1"/>
  <c r="X1943" i="1"/>
  <c r="W1943" i="1"/>
  <c r="Z1942" i="1"/>
  <c r="Y1942" i="1"/>
  <c r="X1942" i="1"/>
  <c r="W1942" i="1"/>
  <c r="Z1941" i="1"/>
  <c r="Y1941" i="1"/>
  <c r="X1941" i="1"/>
  <c r="W1941" i="1"/>
  <c r="Z1940" i="1"/>
  <c r="Y1940" i="1"/>
  <c r="X1940" i="1"/>
  <c r="W1940" i="1"/>
  <c r="Z1939" i="1"/>
  <c r="Y1939" i="1"/>
  <c r="X1939" i="1"/>
  <c r="W1939" i="1"/>
  <c r="Z1938" i="1"/>
  <c r="Y1938" i="1"/>
  <c r="X1938" i="1"/>
  <c r="W1938" i="1"/>
  <c r="Z1937" i="1"/>
  <c r="Y1937" i="1"/>
  <c r="X1937" i="1"/>
  <c r="W1937" i="1"/>
  <c r="Z1936" i="1"/>
  <c r="Y1936" i="1"/>
  <c r="X1936" i="1"/>
  <c r="W1936" i="1"/>
  <c r="Z1935" i="1"/>
  <c r="Y1935" i="1"/>
  <c r="X1935" i="1"/>
  <c r="W1935" i="1"/>
  <c r="Z1934" i="1"/>
  <c r="Y1934" i="1"/>
  <c r="X1934" i="1"/>
  <c r="W1934" i="1"/>
  <c r="Z1933" i="1"/>
  <c r="Y1933" i="1"/>
  <c r="X1933" i="1"/>
  <c r="W1933" i="1"/>
  <c r="Z1932" i="1"/>
  <c r="Y1932" i="1"/>
  <c r="X1932" i="1"/>
  <c r="W1932" i="1"/>
  <c r="Z1931" i="1"/>
  <c r="Y1931" i="1"/>
  <c r="X1931" i="1"/>
  <c r="W1931" i="1"/>
  <c r="Z1930" i="1"/>
  <c r="Y1930" i="1"/>
  <c r="X1930" i="1"/>
  <c r="W1930" i="1"/>
  <c r="Z1929" i="1"/>
  <c r="Y1929" i="1"/>
  <c r="X1929" i="1"/>
  <c r="W1929" i="1"/>
  <c r="Z1928" i="1"/>
  <c r="Y1928" i="1"/>
  <c r="X1928" i="1"/>
  <c r="W1928" i="1"/>
  <c r="Z1927" i="1"/>
  <c r="Y1927" i="1"/>
  <c r="X1927" i="1"/>
  <c r="W1927" i="1"/>
  <c r="Z1926" i="1"/>
  <c r="Y1926" i="1"/>
  <c r="X1926" i="1"/>
  <c r="W1926" i="1"/>
  <c r="Z1925" i="1"/>
  <c r="Y1925" i="1"/>
  <c r="X1925" i="1"/>
  <c r="W1925" i="1"/>
  <c r="Z1924" i="1"/>
  <c r="Y1924" i="1"/>
  <c r="X1924" i="1"/>
  <c r="W1924" i="1"/>
  <c r="Z1923" i="1"/>
  <c r="Y1923" i="1"/>
  <c r="X1923" i="1"/>
  <c r="W1923" i="1"/>
  <c r="Z1922" i="1"/>
  <c r="Y1922" i="1"/>
  <c r="X1922" i="1"/>
  <c r="W1922" i="1"/>
  <c r="Z1921" i="1"/>
  <c r="Y1921" i="1"/>
  <c r="X1921" i="1"/>
  <c r="W1921" i="1"/>
  <c r="Z1920" i="1"/>
  <c r="Y1920" i="1"/>
  <c r="X1920" i="1"/>
  <c r="W1920" i="1"/>
  <c r="Z1919" i="1"/>
  <c r="Y1919" i="1"/>
  <c r="X1919" i="1"/>
  <c r="W1919" i="1"/>
  <c r="Z1918" i="1"/>
  <c r="Y1918" i="1"/>
  <c r="X1918" i="1"/>
  <c r="W1918" i="1"/>
  <c r="Z1917" i="1"/>
  <c r="Y1917" i="1"/>
  <c r="X1917" i="1"/>
  <c r="W1917" i="1"/>
  <c r="Z1916" i="1"/>
  <c r="Y1916" i="1"/>
  <c r="X1916" i="1"/>
  <c r="W1916" i="1"/>
  <c r="Z1915" i="1"/>
  <c r="Y1915" i="1"/>
  <c r="X1915" i="1"/>
  <c r="W1915" i="1"/>
  <c r="Z1914" i="1"/>
  <c r="Y1914" i="1"/>
  <c r="X1914" i="1"/>
  <c r="W1914" i="1"/>
  <c r="Z1913" i="1"/>
  <c r="Y1913" i="1"/>
  <c r="X1913" i="1"/>
  <c r="W1913" i="1"/>
  <c r="Z1912" i="1"/>
  <c r="Y1912" i="1"/>
  <c r="X1912" i="1"/>
  <c r="W1912" i="1"/>
  <c r="Z1911" i="1"/>
  <c r="Y1911" i="1"/>
  <c r="X1911" i="1"/>
  <c r="W1911" i="1"/>
  <c r="Z1910" i="1"/>
  <c r="Y1910" i="1"/>
  <c r="X1910" i="1"/>
  <c r="W1910" i="1"/>
  <c r="Z1909" i="1"/>
  <c r="Y1909" i="1"/>
  <c r="X1909" i="1"/>
  <c r="W1909" i="1"/>
  <c r="Z1908" i="1"/>
  <c r="Y1908" i="1"/>
  <c r="X1908" i="1"/>
  <c r="W1908" i="1"/>
  <c r="Z1907" i="1"/>
  <c r="Y1907" i="1"/>
  <c r="X1907" i="1"/>
  <c r="W1907" i="1"/>
  <c r="Z1906" i="1"/>
  <c r="Y1906" i="1"/>
  <c r="X1906" i="1"/>
  <c r="W1906" i="1"/>
  <c r="Z1905" i="1"/>
  <c r="Y1905" i="1"/>
  <c r="X1905" i="1"/>
  <c r="W1905" i="1"/>
  <c r="Z1904" i="1"/>
  <c r="Y1904" i="1"/>
  <c r="X1904" i="1"/>
  <c r="W1904" i="1"/>
  <c r="Z1903" i="1"/>
  <c r="Y1903" i="1"/>
  <c r="X1903" i="1"/>
  <c r="W1903" i="1"/>
  <c r="Z1902" i="1"/>
  <c r="Y1902" i="1"/>
  <c r="X1902" i="1"/>
  <c r="W1902" i="1"/>
  <c r="Z1901" i="1"/>
  <c r="Y1901" i="1"/>
  <c r="X1901" i="1"/>
  <c r="W1901" i="1"/>
  <c r="Z1900" i="1"/>
  <c r="Y1900" i="1"/>
  <c r="X1900" i="1"/>
  <c r="W1900" i="1"/>
  <c r="Z1899" i="1"/>
  <c r="Y1899" i="1"/>
  <c r="X1899" i="1"/>
  <c r="W1899" i="1"/>
  <c r="Z1898" i="1"/>
  <c r="Y1898" i="1"/>
  <c r="X1898" i="1"/>
  <c r="W1898" i="1"/>
  <c r="Z1897" i="1"/>
  <c r="Y1897" i="1"/>
  <c r="X1897" i="1"/>
  <c r="W1897" i="1"/>
  <c r="Z1896" i="1"/>
  <c r="Y1896" i="1"/>
  <c r="X1896" i="1"/>
  <c r="W1896" i="1"/>
  <c r="Z1895" i="1"/>
  <c r="Y1895" i="1"/>
  <c r="X1895" i="1"/>
  <c r="W1895" i="1"/>
  <c r="Z1894" i="1"/>
  <c r="Y1894" i="1"/>
  <c r="X1894" i="1"/>
  <c r="W1894" i="1"/>
  <c r="Z1893" i="1"/>
  <c r="Y1893" i="1"/>
  <c r="X1893" i="1"/>
  <c r="W1893" i="1"/>
  <c r="Z1892" i="1"/>
  <c r="Y1892" i="1"/>
  <c r="X1892" i="1"/>
  <c r="W1892" i="1"/>
  <c r="Z1891" i="1"/>
  <c r="Y1891" i="1"/>
  <c r="X1891" i="1"/>
  <c r="W1891" i="1"/>
  <c r="Z1890" i="1"/>
  <c r="Y1890" i="1"/>
  <c r="X1890" i="1"/>
  <c r="W1890" i="1"/>
  <c r="Z1889" i="1"/>
  <c r="Y1889" i="1"/>
  <c r="X1889" i="1"/>
  <c r="W1889" i="1"/>
  <c r="Z1888" i="1"/>
  <c r="Y1888" i="1"/>
  <c r="X1888" i="1"/>
  <c r="W1888" i="1"/>
  <c r="Z1887" i="1"/>
  <c r="Y1887" i="1"/>
  <c r="X1887" i="1"/>
  <c r="W1887" i="1"/>
  <c r="Z1886" i="1"/>
  <c r="Y1886" i="1"/>
  <c r="X1886" i="1"/>
  <c r="W1886" i="1"/>
  <c r="Z1885" i="1"/>
  <c r="Y1885" i="1"/>
  <c r="X1885" i="1"/>
  <c r="W1885" i="1"/>
  <c r="Z1884" i="1"/>
  <c r="Y1884" i="1"/>
  <c r="X1884" i="1"/>
  <c r="W1884" i="1"/>
  <c r="Z1883" i="1"/>
  <c r="Y1883" i="1"/>
  <c r="X1883" i="1"/>
  <c r="W1883" i="1"/>
  <c r="Z1882" i="1"/>
  <c r="Y1882" i="1"/>
  <c r="X1882" i="1"/>
  <c r="W1882" i="1"/>
  <c r="Z1881" i="1"/>
  <c r="Y1881" i="1"/>
  <c r="X1881" i="1"/>
  <c r="W1881" i="1"/>
  <c r="Z1880" i="1"/>
  <c r="Y1880" i="1"/>
  <c r="X1880" i="1"/>
  <c r="W1880" i="1"/>
  <c r="Z1879" i="1"/>
  <c r="Y1879" i="1"/>
  <c r="X1879" i="1"/>
  <c r="W1879" i="1"/>
  <c r="Z1878" i="1"/>
  <c r="Y1878" i="1"/>
  <c r="X1878" i="1"/>
  <c r="W1878" i="1"/>
  <c r="Z1877" i="1"/>
  <c r="Y1877" i="1"/>
  <c r="X1877" i="1"/>
  <c r="W1877" i="1"/>
  <c r="Z1876" i="1"/>
  <c r="Y1876" i="1"/>
  <c r="X1876" i="1"/>
  <c r="W1876" i="1"/>
  <c r="Z1875" i="1"/>
  <c r="Y1875" i="1"/>
  <c r="X1875" i="1"/>
  <c r="W1875" i="1"/>
  <c r="Z1874" i="1"/>
  <c r="Y1874" i="1"/>
  <c r="X1874" i="1"/>
  <c r="W1874" i="1"/>
  <c r="Z1873" i="1"/>
  <c r="Y1873" i="1"/>
  <c r="X1873" i="1"/>
  <c r="W1873" i="1"/>
  <c r="Z1872" i="1"/>
  <c r="Y1872" i="1"/>
  <c r="X1872" i="1"/>
  <c r="W1872" i="1"/>
  <c r="Z1871" i="1"/>
  <c r="Y1871" i="1"/>
  <c r="X1871" i="1"/>
  <c r="W1871" i="1"/>
  <c r="Z1870" i="1"/>
  <c r="Y1870" i="1"/>
  <c r="X1870" i="1"/>
  <c r="W1870" i="1"/>
  <c r="Z1869" i="1"/>
  <c r="Y1869" i="1"/>
  <c r="X1869" i="1"/>
  <c r="W1869" i="1"/>
  <c r="Z1868" i="1"/>
  <c r="Y1868" i="1"/>
  <c r="X1868" i="1"/>
  <c r="W1868" i="1"/>
  <c r="Z1867" i="1"/>
  <c r="Y1867" i="1"/>
  <c r="X1867" i="1"/>
  <c r="W1867" i="1"/>
  <c r="Z1866" i="1"/>
  <c r="Y1866" i="1"/>
  <c r="X1866" i="1"/>
  <c r="W1866" i="1"/>
  <c r="Z1865" i="1"/>
  <c r="Y1865" i="1"/>
  <c r="X1865" i="1"/>
  <c r="W1865" i="1"/>
  <c r="Z1864" i="1"/>
  <c r="Y1864" i="1"/>
  <c r="X1864" i="1"/>
  <c r="W1864" i="1"/>
  <c r="Z1863" i="1"/>
  <c r="Y1863" i="1"/>
  <c r="X1863" i="1"/>
  <c r="W1863" i="1"/>
  <c r="Z1862" i="1"/>
  <c r="Y1862" i="1"/>
  <c r="X1862" i="1"/>
  <c r="W1862" i="1"/>
  <c r="Z1861" i="1"/>
  <c r="Y1861" i="1"/>
  <c r="X1861" i="1"/>
  <c r="W1861" i="1"/>
  <c r="Z1860" i="1"/>
  <c r="Y1860" i="1"/>
  <c r="X1860" i="1"/>
  <c r="W1860" i="1"/>
  <c r="Z1859" i="1"/>
  <c r="Y1859" i="1"/>
  <c r="X1859" i="1"/>
  <c r="W1859" i="1"/>
  <c r="Z1858" i="1"/>
  <c r="Y1858" i="1"/>
  <c r="X1858" i="1"/>
  <c r="W1858" i="1"/>
  <c r="Z1857" i="1"/>
  <c r="Y1857" i="1"/>
  <c r="X1857" i="1"/>
  <c r="W1857" i="1"/>
  <c r="Z1856" i="1"/>
  <c r="Y1856" i="1"/>
  <c r="X1856" i="1"/>
  <c r="W1856" i="1"/>
  <c r="Z1855" i="1"/>
  <c r="Y1855" i="1"/>
  <c r="X1855" i="1"/>
  <c r="W1855" i="1"/>
  <c r="Z1854" i="1"/>
  <c r="Y1854" i="1"/>
  <c r="X1854" i="1"/>
  <c r="W1854" i="1"/>
  <c r="Z1853" i="1"/>
  <c r="Y1853" i="1"/>
  <c r="X1853" i="1"/>
  <c r="W1853" i="1"/>
  <c r="Z1852" i="1"/>
  <c r="Y1852" i="1"/>
  <c r="X1852" i="1"/>
  <c r="W1852" i="1"/>
  <c r="Z1851" i="1"/>
  <c r="Y1851" i="1"/>
  <c r="X1851" i="1"/>
  <c r="W1851" i="1"/>
  <c r="Z1850" i="1"/>
  <c r="Y1850" i="1"/>
  <c r="X1850" i="1"/>
  <c r="W1850" i="1"/>
  <c r="Z1849" i="1"/>
  <c r="Y1849" i="1"/>
  <c r="X1849" i="1"/>
  <c r="W1849" i="1"/>
  <c r="Z1848" i="1"/>
  <c r="Y1848" i="1"/>
  <c r="X1848" i="1"/>
  <c r="W1848" i="1"/>
  <c r="Z1847" i="1"/>
  <c r="Y1847" i="1"/>
  <c r="X1847" i="1"/>
  <c r="W1847" i="1"/>
  <c r="Z1846" i="1"/>
  <c r="Y1846" i="1"/>
  <c r="X1846" i="1"/>
  <c r="W1846" i="1"/>
  <c r="Z1845" i="1"/>
  <c r="Y1845" i="1"/>
  <c r="X1845" i="1"/>
  <c r="W1845" i="1"/>
  <c r="Z1844" i="1"/>
  <c r="Y1844" i="1"/>
  <c r="X1844" i="1"/>
  <c r="W1844" i="1"/>
  <c r="Z1843" i="1"/>
  <c r="Y1843" i="1"/>
  <c r="X1843" i="1"/>
  <c r="W1843" i="1"/>
  <c r="Z1842" i="1"/>
  <c r="Y1842" i="1"/>
  <c r="X1842" i="1"/>
  <c r="W1842" i="1"/>
  <c r="Z1841" i="1"/>
  <c r="Y1841" i="1"/>
  <c r="X1841" i="1"/>
  <c r="W1841" i="1"/>
  <c r="Z1840" i="1"/>
  <c r="Y1840" i="1"/>
  <c r="X1840" i="1"/>
  <c r="W1840" i="1"/>
  <c r="Z1839" i="1"/>
  <c r="Y1839" i="1"/>
  <c r="X1839" i="1"/>
  <c r="W1839" i="1"/>
  <c r="Z1838" i="1"/>
  <c r="Y1838" i="1"/>
  <c r="X1838" i="1"/>
  <c r="W1838" i="1"/>
  <c r="Z1837" i="1"/>
  <c r="Y1837" i="1"/>
  <c r="X1837" i="1"/>
  <c r="W1837" i="1"/>
  <c r="Z1836" i="1"/>
  <c r="Y1836" i="1"/>
  <c r="X1836" i="1"/>
  <c r="W1836" i="1"/>
  <c r="Z1835" i="1"/>
  <c r="Y1835" i="1"/>
  <c r="X1835" i="1"/>
  <c r="W1835" i="1"/>
  <c r="Z1834" i="1"/>
  <c r="Y1834" i="1"/>
  <c r="X1834" i="1"/>
  <c r="W1834" i="1"/>
  <c r="Z1833" i="1"/>
  <c r="Y1833" i="1"/>
  <c r="X1833" i="1"/>
  <c r="W1833" i="1"/>
  <c r="Z1832" i="1"/>
  <c r="Y1832" i="1"/>
  <c r="X1832" i="1"/>
  <c r="W1832" i="1"/>
  <c r="Z1831" i="1"/>
  <c r="Y1831" i="1"/>
  <c r="X1831" i="1"/>
  <c r="W1831" i="1"/>
  <c r="Z1830" i="1"/>
  <c r="Y1830" i="1"/>
  <c r="X1830" i="1"/>
  <c r="W1830" i="1"/>
  <c r="Z1829" i="1"/>
  <c r="Y1829" i="1"/>
  <c r="X1829" i="1"/>
  <c r="W1829" i="1"/>
  <c r="Z1828" i="1"/>
  <c r="Y1828" i="1"/>
  <c r="X1828" i="1"/>
  <c r="W1828" i="1"/>
  <c r="Z1827" i="1"/>
  <c r="Y1827" i="1"/>
  <c r="X1827" i="1"/>
  <c r="W1827" i="1"/>
  <c r="Z1826" i="1"/>
  <c r="Y1826" i="1"/>
  <c r="X1826" i="1"/>
  <c r="W1826" i="1"/>
  <c r="Z1825" i="1"/>
  <c r="Y1825" i="1"/>
  <c r="X1825" i="1"/>
  <c r="W1825" i="1"/>
  <c r="Z1824" i="1"/>
  <c r="Y1824" i="1"/>
  <c r="X1824" i="1"/>
  <c r="W1824" i="1"/>
  <c r="Z1823" i="1"/>
  <c r="Y1823" i="1"/>
  <c r="X1823" i="1"/>
  <c r="W1823" i="1"/>
  <c r="Z1822" i="1"/>
  <c r="Y1822" i="1"/>
  <c r="X1822" i="1"/>
  <c r="W1822" i="1"/>
  <c r="Z1821" i="1"/>
  <c r="Y1821" i="1"/>
  <c r="X1821" i="1"/>
  <c r="W1821" i="1"/>
  <c r="Z1820" i="1"/>
  <c r="Y1820" i="1"/>
  <c r="X1820" i="1"/>
  <c r="W1820" i="1"/>
  <c r="Z1819" i="1"/>
  <c r="Y1819" i="1"/>
  <c r="X1819" i="1"/>
  <c r="W1819" i="1"/>
  <c r="Z1818" i="1"/>
  <c r="Y1818" i="1"/>
  <c r="X1818" i="1"/>
  <c r="W1818" i="1"/>
  <c r="Z1817" i="1"/>
  <c r="Y1817" i="1"/>
  <c r="X1817" i="1"/>
  <c r="W1817" i="1"/>
  <c r="Z1816" i="1"/>
  <c r="Y1816" i="1"/>
  <c r="X1816" i="1"/>
  <c r="W1816" i="1"/>
  <c r="Z1815" i="1"/>
  <c r="Y1815" i="1"/>
  <c r="X1815" i="1"/>
  <c r="W1815" i="1"/>
  <c r="Z1814" i="1"/>
  <c r="Y1814" i="1"/>
  <c r="X1814" i="1"/>
  <c r="W1814" i="1"/>
  <c r="Z1813" i="1"/>
  <c r="Y1813" i="1"/>
  <c r="X1813" i="1"/>
  <c r="W1813" i="1"/>
  <c r="Z1812" i="1"/>
  <c r="Y1812" i="1"/>
  <c r="X1812" i="1"/>
  <c r="W1812" i="1"/>
  <c r="Z1811" i="1"/>
  <c r="Y1811" i="1"/>
  <c r="X1811" i="1"/>
  <c r="W1811" i="1"/>
  <c r="Z1810" i="1"/>
  <c r="Y1810" i="1"/>
  <c r="X1810" i="1"/>
  <c r="W1810" i="1"/>
  <c r="Z1809" i="1"/>
  <c r="Y1809" i="1"/>
  <c r="X1809" i="1"/>
  <c r="W1809" i="1"/>
  <c r="Z1808" i="1"/>
  <c r="Y1808" i="1"/>
  <c r="X1808" i="1"/>
  <c r="W1808" i="1"/>
  <c r="Z1807" i="1"/>
  <c r="Y1807" i="1"/>
  <c r="X1807" i="1"/>
  <c r="W1807" i="1"/>
  <c r="Z1806" i="1"/>
  <c r="Y1806" i="1"/>
  <c r="X1806" i="1"/>
  <c r="W1806" i="1"/>
  <c r="Z1805" i="1"/>
  <c r="Y1805" i="1"/>
  <c r="X1805" i="1"/>
  <c r="W1805" i="1"/>
  <c r="Z1804" i="1"/>
  <c r="Y1804" i="1"/>
  <c r="X1804" i="1"/>
  <c r="W1804" i="1"/>
  <c r="Z1803" i="1"/>
  <c r="Y1803" i="1"/>
  <c r="X1803" i="1"/>
  <c r="W1803" i="1"/>
  <c r="Z1802" i="1"/>
  <c r="Y1802" i="1"/>
  <c r="X1802" i="1"/>
  <c r="W1802" i="1"/>
  <c r="Z1801" i="1"/>
  <c r="Y1801" i="1"/>
  <c r="X1801" i="1"/>
  <c r="W1801" i="1"/>
  <c r="Z1800" i="1"/>
  <c r="Y1800" i="1"/>
  <c r="X1800" i="1"/>
  <c r="W1800" i="1"/>
  <c r="Z1799" i="1"/>
  <c r="Y1799" i="1"/>
  <c r="X1799" i="1"/>
  <c r="W1799" i="1"/>
  <c r="Z1798" i="1"/>
  <c r="Y1798" i="1"/>
  <c r="X1798" i="1"/>
  <c r="W1798" i="1"/>
  <c r="Z1797" i="1"/>
  <c r="Y1797" i="1"/>
  <c r="X1797" i="1"/>
  <c r="W1797" i="1"/>
  <c r="Z1796" i="1"/>
  <c r="Y1796" i="1"/>
  <c r="X1796" i="1"/>
  <c r="W1796" i="1"/>
  <c r="Z1795" i="1"/>
  <c r="Y1795" i="1"/>
  <c r="X1795" i="1"/>
  <c r="W1795" i="1"/>
  <c r="Z1794" i="1"/>
  <c r="Y1794" i="1"/>
  <c r="X1794" i="1"/>
  <c r="W1794" i="1"/>
  <c r="Z1793" i="1"/>
  <c r="Y1793" i="1"/>
  <c r="X1793" i="1"/>
  <c r="W1793" i="1"/>
  <c r="Z1792" i="1"/>
  <c r="Y1792" i="1"/>
  <c r="X1792" i="1"/>
  <c r="W1792" i="1"/>
  <c r="Z1791" i="1"/>
  <c r="Y1791" i="1"/>
  <c r="X1791" i="1"/>
  <c r="W1791" i="1"/>
  <c r="Z1790" i="1"/>
  <c r="Y1790" i="1"/>
  <c r="X1790" i="1"/>
  <c r="W1790" i="1"/>
  <c r="Z1789" i="1"/>
  <c r="Y1789" i="1"/>
  <c r="X1789" i="1"/>
  <c r="W1789" i="1"/>
  <c r="Z1788" i="1"/>
  <c r="Y1788" i="1"/>
  <c r="X1788" i="1"/>
  <c r="W1788" i="1"/>
  <c r="Z1787" i="1"/>
  <c r="Y1787" i="1"/>
  <c r="X1787" i="1"/>
  <c r="W1787" i="1"/>
  <c r="Z1786" i="1"/>
  <c r="Y1786" i="1"/>
  <c r="X1786" i="1"/>
  <c r="W1786" i="1"/>
  <c r="Z1785" i="1"/>
  <c r="Y1785" i="1"/>
  <c r="X1785" i="1"/>
  <c r="W1785" i="1"/>
  <c r="Z1784" i="1"/>
  <c r="Y1784" i="1"/>
  <c r="X1784" i="1"/>
  <c r="W1784" i="1"/>
  <c r="Z1783" i="1"/>
  <c r="Y1783" i="1"/>
  <c r="X1783" i="1"/>
  <c r="W1783" i="1"/>
  <c r="Z1782" i="1"/>
  <c r="Y1782" i="1"/>
  <c r="X1782" i="1"/>
  <c r="W1782" i="1"/>
  <c r="Z1781" i="1"/>
  <c r="Y1781" i="1"/>
  <c r="X1781" i="1"/>
  <c r="W1781" i="1"/>
  <c r="Z1780" i="1"/>
  <c r="Y1780" i="1"/>
  <c r="X1780" i="1"/>
  <c r="W1780" i="1"/>
  <c r="Z1779" i="1"/>
  <c r="Y1779" i="1"/>
  <c r="X1779" i="1"/>
  <c r="W1779" i="1"/>
  <c r="Z1778" i="1"/>
  <c r="Y1778" i="1"/>
  <c r="X1778" i="1"/>
  <c r="W1778" i="1"/>
  <c r="Z1777" i="1"/>
  <c r="Y1777" i="1"/>
  <c r="X1777" i="1"/>
  <c r="W1777" i="1"/>
  <c r="Z1776" i="1"/>
  <c r="Y1776" i="1"/>
  <c r="X1776" i="1"/>
  <c r="W1776" i="1"/>
  <c r="Z1775" i="1"/>
  <c r="Y1775" i="1"/>
  <c r="X1775" i="1"/>
  <c r="W1775" i="1"/>
  <c r="Z1774" i="1"/>
  <c r="Y1774" i="1"/>
  <c r="X1774" i="1"/>
  <c r="W1774" i="1"/>
  <c r="Z1773" i="1"/>
  <c r="Y1773" i="1"/>
  <c r="X1773" i="1"/>
  <c r="W1773" i="1"/>
  <c r="Z1772" i="1"/>
  <c r="Y1772" i="1"/>
  <c r="X1772" i="1"/>
  <c r="W1772" i="1"/>
  <c r="Z1771" i="1"/>
  <c r="Y1771" i="1"/>
  <c r="X1771" i="1"/>
  <c r="W1771" i="1"/>
  <c r="Z1770" i="1"/>
  <c r="Y1770" i="1"/>
  <c r="X1770" i="1"/>
  <c r="W1770" i="1"/>
  <c r="Z1769" i="1"/>
  <c r="Y1769" i="1"/>
  <c r="X1769" i="1"/>
  <c r="W1769" i="1"/>
  <c r="Z1768" i="1"/>
  <c r="Y1768" i="1"/>
  <c r="X1768" i="1"/>
  <c r="W1768" i="1"/>
  <c r="Z1767" i="1"/>
  <c r="Y1767" i="1"/>
  <c r="X1767" i="1"/>
  <c r="W1767" i="1"/>
  <c r="Z1766" i="1"/>
  <c r="Y1766" i="1"/>
  <c r="X1766" i="1"/>
  <c r="W1766" i="1"/>
  <c r="Z1765" i="1"/>
  <c r="Y1765" i="1"/>
  <c r="X1765" i="1"/>
  <c r="W1765" i="1"/>
  <c r="Z1764" i="1"/>
  <c r="Y1764" i="1"/>
  <c r="X1764" i="1"/>
  <c r="W1764" i="1"/>
  <c r="Z1763" i="1"/>
  <c r="Y1763" i="1"/>
  <c r="X1763" i="1"/>
  <c r="W1763" i="1"/>
  <c r="Z1762" i="1"/>
  <c r="Y1762" i="1"/>
  <c r="X1762" i="1"/>
  <c r="W1762" i="1"/>
  <c r="Z1761" i="1"/>
  <c r="Y1761" i="1"/>
  <c r="X1761" i="1"/>
  <c r="W1761" i="1"/>
  <c r="Z1760" i="1"/>
  <c r="Y1760" i="1"/>
  <c r="X1760" i="1"/>
  <c r="W1760" i="1"/>
  <c r="Z1759" i="1"/>
  <c r="Y1759" i="1"/>
  <c r="X1759" i="1"/>
  <c r="W1759" i="1"/>
  <c r="Z1758" i="1"/>
  <c r="Y1758" i="1"/>
  <c r="X1758" i="1"/>
  <c r="W1758" i="1"/>
  <c r="Z1757" i="1"/>
  <c r="Y1757" i="1"/>
  <c r="X1757" i="1"/>
  <c r="W1757" i="1"/>
  <c r="Z1756" i="1"/>
  <c r="Y1756" i="1"/>
  <c r="X1756" i="1"/>
  <c r="W1756" i="1"/>
  <c r="Z1755" i="1"/>
  <c r="Y1755" i="1"/>
  <c r="X1755" i="1"/>
  <c r="W1755" i="1"/>
  <c r="Z1754" i="1"/>
  <c r="Y1754" i="1"/>
  <c r="X1754" i="1"/>
  <c r="W1754" i="1"/>
  <c r="Z1753" i="1"/>
  <c r="Y1753" i="1"/>
  <c r="X1753" i="1"/>
  <c r="W1753" i="1"/>
  <c r="Z1752" i="1"/>
  <c r="Y1752" i="1"/>
  <c r="X1752" i="1"/>
  <c r="W1752" i="1"/>
  <c r="Z1751" i="1"/>
  <c r="Y1751" i="1"/>
  <c r="X1751" i="1"/>
  <c r="W1751" i="1"/>
  <c r="Z1750" i="1"/>
  <c r="Y1750" i="1"/>
  <c r="X1750" i="1"/>
  <c r="W1750" i="1"/>
  <c r="Z1749" i="1"/>
  <c r="Y1749" i="1"/>
  <c r="X1749" i="1"/>
  <c r="W1749" i="1"/>
  <c r="Z1748" i="1"/>
  <c r="Y1748" i="1"/>
  <c r="X1748" i="1"/>
  <c r="W1748" i="1"/>
  <c r="Z1747" i="1"/>
  <c r="Y1747" i="1"/>
  <c r="X1747" i="1"/>
  <c r="W1747" i="1"/>
  <c r="Z1746" i="1"/>
  <c r="Y1746" i="1"/>
  <c r="X1746" i="1"/>
  <c r="W1746" i="1"/>
  <c r="Z1745" i="1"/>
  <c r="Y1745" i="1"/>
  <c r="X1745" i="1"/>
  <c r="W1745" i="1"/>
  <c r="Z1744" i="1"/>
  <c r="Y1744" i="1"/>
  <c r="X1744" i="1"/>
  <c r="W1744" i="1"/>
  <c r="Z1743" i="1"/>
  <c r="Y1743" i="1"/>
  <c r="X1743" i="1"/>
  <c r="W1743" i="1"/>
  <c r="Z1742" i="1"/>
  <c r="Y1742" i="1"/>
  <c r="X1742" i="1"/>
  <c r="W1742" i="1"/>
  <c r="Z1741" i="1"/>
  <c r="Y1741" i="1"/>
  <c r="X1741" i="1"/>
  <c r="W1741" i="1"/>
  <c r="Z1740" i="1"/>
  <c r="Y1740" i="1"/>
  <c r="X1740" i="1"/>
  <c r="W1740" i="1"/>
  <c r="Z1739" i="1"/>
  <c r="Y1739" i="1"/>
  <c r="X1739" i="1"/>
  <c r="W1739" i="1"/>
  <c r="Z1738" i="1"/>
  <c r="Y1738" i="1"/>
  <c r="X1738" i="1"/>
  <c r="W1738" i="1"/>
  <c r="Z1737" i="1"/>
  <c r="Y1737" i="1"/>
  <c r="X1737" i="1"/>
  <c r="W1737" i="1"/>
  <c r="Z1736" i="1"/>
  <c r="Y1736" i="1"/>
  <c r="X1736" i="1"/>
  <c r="W1736" i="1"/>
  <c r="Z1735" i="1"/>
  <c r="Y1735" i="1"/>
  <c r="X1735" i="1"/>
  <c r="W1735" i="1"/>
  <c r="Z1734" i="1"/>
  <c r="Y1734" i="1"/>
  <c r="X1734" i="1"/>
  <c r="W1734" i="1"/>
  <c r="Z1733" i="1"/>
  <c r="Y1733" i="1"/>
  <c r="X1733" i="1"/>
  <c r="W1733" i="1"/>
  <c r="Z1732" i="1"/>
  <c r="Y1732" i="1"/>
  <c r="X1732" i="1"/>
  <c r="W1732" i="1"/>
  <c r="Z1731" i="1"/>
  <c r="Y1731" i="1"/>
  <c r="X1731" i="1"/>
  <c r="W1731" i="1"/>
  <c r="Z1730" i="1"/>
  <c r="Y1730" i="1"/>
  <c r="X1730" i="1"/>
  <c r="W1730" i="1"/>
  <c r="Z1729" i="1"/>
  <c r="Y1729" i="1"/>
  <c r="X1729" i="1"/>
  <c r="W1729" i="1"/>
  <c r="Z1728" i="1"/>
  <c r="Y1728" i="1"/>
  <c r="X1728" i="1"/>
  <c r="W1728" i="1"/>
  <c r="Z1727" i="1"/>
  <c r="Y1727" i="1"/>
  <c r="X1727" i="1"/>
  <c r="W1727" i="1"/>
  <c r="Z1726" i="1"/>
  <c r="Y1726" i="1"/>
  <c r="X1726" i="1"/>
  <c r="W1726" i="1"/>
  <c r="Z1725" i="1"/>
  <c r="Y1725" i="1"/>
  <c r="X1725" i="1"/>
  <c r="W1725" i="1"/>
  <c r="Z1724" i="1"/>
  <c r="Y1724" i="1"/>
  <c r="X1724" i="1"/>
  <c r="W1724" i="1"/>
  <c r="Z1723" i="1"/>
  <c r="Y1723" i="1"/>
  <c r="X1723" i="1"/>
  <c r="W1723" i="1"/>
  <c r="Z1722" i="1"/>
  <c r="Y1722" i="1"/>
  <c r="X1722" i="1"/>
  <c r="W1722" i="1"/>
  <c r="Z1721" i="1"/>
  <c r="Y1721" i="1"/>
  <c r="X1721" i="1"/>
  <c r="W1721" i="1"/>
  <c r="Z1720" i="1"/>
  <c r="Y1720" i="1"/>
  <c r="X1720" i="1"/>
  <c r="W1720" i="1"/>
  <c r="Z1719" i="1"/>
  <c r="Y1719" i="1"/>
  <c r="X1719" i="1"/>
  <c r="W1719" i="1"/>
  <c r="Z1718" i="1"/>
  <c r="Y1718" i="1"/>
  <c r="X1718" i="1"/>
  <c r="W1718" i="1"/>
  <c r="Z1717" i="1"/>
  <c r="Y1717" i="1"/>
  <c r="X1717" i="1"/>
  <c r="W1717" i="1"/>
  <c r="Z1716" i="1"/>
  <c r="Y1716" i="1"/>
  <c r="X1716" i="1"/>
  <c r="W1716" i="1"/>
  <c r="Z1715" i="1"/>
  <c r="Y1715" i="1"/>
  <c r="X1715" i="1"/>
  <c r="W1715" i="1"/>
  <c r="Z1714" i="1"/>
  <c r="Y1714" i="1"/>
  <c r="X1714" i="1"/>
  <c r="W1714" i="1"/>
  <c r="Z1713" i="1"/>
  <c r="Y1713" i="1"/>
  <c r="X1713" i="1"/>
  <c r="W1713" i="1"/>
  <c r="Z1712" i="1"/>
  <c r="Y1712" i="1"/>
  <c r="X1712" i="1"/>
  <c r="W1712" i="1"/>
  <c r="Z1711" i="1"/>
  <c r="Y1711" i="1"/>
  <c r="X1711" i="1"/>
  <c r="W1711" i="1"/>
  <c r="Z1710" i="1"/>
  <c r="Y1710" i="1"/>
  <c r="X1710" i="1"/>
  <c r="W1710" i="1"/>
  <c r="Z1709" i="1"/>
  <c r="Y1709" i="1"/>
  <c r="X1709" i="1"/>
  <c r="W1709" i="1"/>
  <c r="Z1708" i="1"/>
  <c r="Y1708" i="1"/>
  <c r="X1708" i="1"/>
  <c r="W1708" i="1"/>
  <c r="Z1707" i="1"/>
  <c r="Y1707" i="1"/>
  <c r="X1707" i="1"/>
  <c r="W1707" i="1"/>
  <c r="Z1706" i="1"/>
  <c r="Y1706" i="1"/>
  <c r="X1706" i="1"/>
  <c r="W1706" i="1"/>
  <c r="Z1705" i="1"/>
  <c r="Y1705" i="1"/>
  <c r="X1705" i="1"/>
  <c r="W1705" i="1"/>
  <c r="Z1704" i="1"/>
  <c r="Y1704" i="1"/>
  <c r="X1704" i="1"/>
  <c r="W1704" i="1"/>
  <c r="Z1703" i="1"/>
  <c r="Y1703" i="1"/>
  <c r="X1703" i="1"/>
  <c r="W1703" i="1"/>
  <c r="Z1702" i="1"/>
  <c r="Y1702" i="1"/>
  <c r="X1702" i="1"/>
  <c r="W1702" i="1"/>
  <c r="Z1701" i="1"/>
  <c r="Y1701" i="1"/>
  <c r="X1701" i="1"/>
  <c r="W1701" i="1"/>
  <c r="Z1700" i="1"/>
  <c r="Y1700" i="1"/>
  <c r="X1700" i="1"/>
  <c r="W1700" i="1"/>
  <c r="Z1699" i="1"/>
  <c r="Y1699" i="1"/>
  <c r="X1699" i="1"/>
  <c r="W1699" i="1"/>
  <c r="Z1698" i="1"/>
  <c r="Y1698" i="1"/>
  <c r="X1698" i="1"/>
  <c r="W1698" i="1"/>
  <c r="Z1697" i="1"/>
  <c r="Y1697" i="1"/>
  <c r="X1697" i="1"/>
  <c r="W1697" i="1"/>
  <c r="Z1696" i="1"/>
  <c r="Y1696" i="1"/>
  <c r="X1696" i="1"/>
  <c r="W1696" i="1"/>
  <c r="Z1695" i="1"/>
  <c r="Y1695" i="1"/>
  <c r="X1695" i="1"/>
  <c r="W1695" i="1"/>
  <c r="Z1694" i="1"/>
  <c r="Y1694" i="1"/>
  <c r="X1694" i="1"/>
  <c r="W1694" i="1"/>
  <c r="Z1693" i="1"/>
  <c r="Y1693" i="1"/>
  <c r="X1693" i="1"/>
  <c r="W1693" i="1"/>
  <c r="Z1692" i="1"/>
  <c r="Y1692" i="1"/>
  <c r="X1692" i="1"/>
  <c r="W1692" i="1"/>
  <c r="Z1691" i="1"/>
  <c r="Y1691" i="1"/>
  <c r="X1691" i="1"/>
  <c r="W1691" i="1"/>
  <c r="Z1690" i="1"/>
  <c r="Y1690" i="1"/>
  <c r="X1690" i="1"/>
  <c r="W1690" i="1"/>
  <c r="Z1689" i="1"/>
  <c r="Y1689" i="1"/>
  <c r="X1689" i="1"/>
  <c r="W1689" i="1"/>
  <c r="Z1688" i="1"/>
  <c r="Y1688" i="1"/>
  <c r="X1688" i="1"/>
  <c r="W1688" i="1"/>
  <c r="Z1687" i="1"/>
  <c r="Y1687" i="1"/>
  <c r="X1687" i="1"/>
  <c r="W1687" i="1"/>
  <c r="Z1686" i="1"/>
  <c r="Y1686" i="1"/>
  <c r="X1686" i="1"/>
  <c r="W1686" i="1"/>
  <c r="Z1685" i="1"/>
  <c r="Y1685" i="1"/>
  <c r="X1685" i="1"/>
  <c r="W1685" i="1"/>
  <c r="Z1684" i="1"/>
  <c r="Y1684" i="1"/>
  <c r="X1684" i="1"/>
  <c r="W1684" i="1"/>
  <c r="Z1683" i="1"/>
  <c r="Y1683" i="1"/>
  <c r="X1683" i="1"/>
  <c r="W1683" i="1"/>
  <c r="Z1682" i="1"/>
  <c r="Y1682" i="1"/>
  <c r="X1682" i="1"/>
  <c r="W1682" i="1"/>
  <c r="Z1681" i="1"/>
  <c r="Y1681" i="1"/>
  <c r="X1681" i="1"/>
  <c r="W1681" i="1"/>
  <c r="Z1680" i="1"/>
  <c r="Y1680" i="1"/>
  <c r="X1680" i="1"/>
  <c r="W1680" i="1"/>
  <c r="Z1679" i="1"/>
  <c r="Y1679" i="1"/>
  <c r="X1679" i="1"/>
  <c r="W1679" i="1"/>
  <c r="Z1678" i="1"/>
  <c r="Y1678" i="1"/>
  <c r="X1678" i="1"/>
  <c r="W1678" i="1"/>
  <c r="Z1677" i="1"/>
  <c r="Y1677" i="1"/>
  <c r="X1677" i="1"/>
  <c r="W1677" i="1"/>
  <c r="Z1676" i="1"/>
  <c r="Y1676" i="1"/>
  <c r="X1676" i="1"/>
  <c r="W1676" i="1"/>
  <c r="Z1675" i="1"/>
  <c r="Y1675" i="1"/>
  <c r="X1675" i="1"/>
  <c r="W1675" i="1"/>
  <c r="Z1674" i="1"/>
  <c r="Y1674" i="1"/>
  <c r="X1674" i="1"/>
  <c r="W1674" i="1"/>
  <c r="Z1673" i="1"/>
  <c r="Y1673" i="1"/>
  <c r="X1673" i="1"/>
  <c r="W1673" i="1"/>
  <c r="Z1672" i="1"/>
  <c r="Y1672" i="1"/>
  <c r="X1672" i="1"/>
  <c r="W1672" i="1"/>
  <c r="Z1671" i="1"/>
  <c r="Y1671" i="1"/>
  <c r="X1671" i="1"/>
  <c r="W1671" i="1"/>
  <c r="Z1670" i="1"/>
  <c r="Y1670" i="1"/>
  <c r="X1670" i="1"/>
  <c r="W1670" i="1"/>
  <c r="Z1669" i="1"/>
  <c r="Y1669" i="1"/>
  <c r="X1669" i="1"/>
  <c r="W1669" i="1"/>
  <c r="Z1668" i="1"/>
  <c r="Y1668" i="1"/>
  <c r="X1668" i="1"/>
  <c r="W1668" i="1"/>
  <c r="Z1667" i="1"/>
  <c r="Y1667" i="1"/>
  <c r="X1667" i="1"/>
  <c r="W1667" i="1"/>
  <c r="Z1666" i="1"/>
  <c r="Y1666" i="1"/>
  <c r="X1666" i="1"/>
  <c r="W1666" i="1"/>
  <c r="Z1665" i="1"/>
  <c r="Y1665" i="1"/>
  <c r="X1665" i="1"/>
  <c r="W1665" i="1"/>
  <c r="Z1664" i="1"/>
  <c r="Y1664" i="1"/>
  <c r="X1664" i="1"/>
  <c r="W1664" i="1"/>
  <c r="Z1663" i="1"/>
  <c r="Y1663" i="1"/>
  <c r="X1663" i="1"/>
  <c r="W1663" i="1"/>
  <c r="Z1662" i="1"/>
  <c r="Y1662" i="1"/>
  <c r="X1662" i="1"/>
  <c r="W1662" i="1"/>
  <c r="Z1661" i="1"/>
  <c r="Y1661" i="1"/>
  <c r="X1661" i="1"/>
  <c r="W1661" i="1"/>
  <c r="Z1660" i="1"/>
  <c r="Y1660" i="1"/>
  <c r="X1660" i="1"/>
  <c r="W1660" i="1"/>
  <c r="Z1659" i="1"/>
  <c r="Y1659" i="1"/>
  <c r="X1659" i="1"/>
  <c r="W1659" i="1"/>
  <c r="Z1658" i="1"/>
  <c r="Y1658" i="1"/>
  <c r="X1658" i="1"/>
  <c r="W1658" i="1"/>
  <c r="Z1657" i="1"/>
  <c r="Y1657" i="1"/>
  <c r="X1657" i="1"/>
  <c r="W1657" i="1"/>
  <c r="Z1656" i="1"/>
  <c r="Y1656" i="1"/>
  <c r="X1656" i="1"/>
  <c r="W1656" i="1"/>
  <c r="Z1655" i="1"/>
  <c r="Y1655" i="1"/>
  <c r="X1655" i="1"/>
  <c r="W1655" i="1"/>
  <c r="Z1654" i="1"/>
  <c r="Y1654" i="1"/>
  <c r="X1654" i="1"/>
  <c r="W1654" i="1"/>
  <c r="Z1653" i="1"/>
  <c r="Y1653" i="1"/>
  <c r="X1653" i="1"/>
  <c r="W1653" i="1"/>
  <c r="Z1652" i="1"/>
  <c r="Y1652" i="1"/>
  <c r="X1652" i="1"/>
  <c r="W1652" i="1"/>
  <c r="Z1651" i="1"/>
  <c r="Y1651" i="1"/>
  <c r="X1651" i="1"/>
  <c r="W1651" i="1"/>
  <c r="Z1650" i="1"/>
  <c r="Y1650" i="1"/>
  <c r="X1650" i="1"/>
  <c r="W1650" i="1"/>
  <c r="Z1649" i="1"/>
  <c r="Y1649" i="1"/>
  <c r="X1649" i="1"/>
  <c r="W1649" i="1"/>
  <c r="Z1648" i="1"/>
  <c r="Y1648" i="1"/>
  <c r="X1648" i="1"/>
  <c r="W1648" i="1"/>
  <c r="Z1647" i="1"/>
  <c r="Y1647" i="1"/>
  <c r="X1647" i="1"/>
  <c r="W1647" i="1"/>
  <c r="Z1646" i="1"/>
  <c r="Y1646" i="1"/>
  <c r="X1646" i="1"/>
  <c r="W1646" i="1"/>
  <c r="Z1645" i="1"/>
  <c r="Y1645" i="1"/>
  <c r="X1645" i="1"/>
  <c r="W1645" i="1"/>
  <c r="Z1644" i="1"/>
  <c r="Y1644" i="1"/>
  <c r="X1644" i="1"/>
  <c r="W1644" i="1"/>
  <c r="Z1643" i="1"/>
  <c r="Y1643" i="1"/>
  <c r="X1643" i="1"/>
  <c r="W1643" i="1"/>
  <c r="Z1642" i="1"/>
  <c r="Y1642" i="1"/>
  <c r="X1642" i="1"/>
  <c r="W1642" i="1"/>
  <c r="Z1641" i="1"/>
  <c r="Y1641" i="1"/>
  <c r="X1641" i="1"/>
  <c r="W1641" i="1"/>
  <c r="Z1640" i="1"/>
  <c r="Y1640" i="1"/>
  <c r="X1640" i="1"/>
  <c r="W1640" i="1"/>
  <c r="Z1639" i="1"/>
  <c r="Y1639" i="1"/>
  <c r="X1639" i="1"/>
  <c r="W1639" i="1"/>
  <c r="Z1638" i="1"/>
  <c r="Y1638" i="1"/>
  <c r="X1638" i="1"/>
  <c r="W1638" i="1"/>
  <c r="Z1637" i="1"/>
  <c r="Y1637" i="1"/>
  <c r="X1637" i="1"/>
  <c r="W1637" i="1"/>
  <c r="Z1636" i="1"/>
  <c r="Y1636" i="1"/>
  <c r="X1636" i="1"/>
  <c r="W1636" i="1"/>
  <c r="Z1635" i="1"/>
  <c r="Y1635" i="1"/>
  <c r="X1635" i="1"/>
  <c r="W1635" i="1"/>
  <c r="Z1634" i="1"/>
  <c r="Y1634" i="1"/>
  <c r="X1634" i="1"/>
  <c r="W1634" i="1"/>
  <c r="Z1633" i="1"/>
  <c r="Y1633" i="1"/>
  <c r="X1633" i="1"/>
  <c r="W1633" i="1"/>
  <c r="Z1632" i="1"/>
  <c r="Y1632" i="1"/>
  <c r="X1632" i="1"/>
  <c r="W1632" i="1"/>
  <c r="Z1631" i="1"/>
  <c r="Y1631" i="1"/>
  <c r="X1631" i="1"/>
  <c r="W1631" i="1"/>
  <c r="Z1630" i="1"/>
  <c r="Y1630" i="1"/>
  <c r="X1630" i="1"/>
  <c r="W1630" i="1"/>
  <c r="Z1629" i="1"/>
  <c r="Y1629" i="1"/>
  <c r="X1629" i="1"/>
  <c r="W1629" i="1"/>
  <c r="Z1628" i="1"/>
  <c r="Y1628" i="1"/>
  <c r="X1628" i="1"/>
  <c r="W1628" i="1"/>
  <c r="Z1627" i="1"/>
  <c r="Y1627" i="1"/>
  <c r="X1627" i="1"/>
  <c r="W1627" i="1"/>
  <c r="Z1626" i="1"/>
  <c r="Y1626" i="1"/>
  <c r="X1626" i="1"/>
  <c r="W1626" i="1"/>
  <c r="Z1625" i="1"/>
  <c r="Y1625" i="1"/>
  <c r="X1625" i="1"/>
  <c r="W1625" i="1"/>
  <c r="Z1624" i="1"/>
  <c r="Y1624" i="1"/>
  <c r="X1624" i="1"/>
  <c r="W1624" i="1"/>
  <c r="Z1623" i="1"/>
  <c r="Y1623" i="1"/>
  <c r="X1623" i="1"/>
  <c r="W1623" i="1"/>
  <c r="Z1622" i="1"/>
  <c r="Y1622" i="1"/>
  <c r="X1622" i="1"/>
  <c r="W1622" i="1"/>
  <c r="Z1621" i="1"/>
  <c r="Y1621" i="1"/>
  <c r="X1621" i="1"/>
  <c r="W1621" i="1"/>
  <c r="Z1620" i="1"/>
  <c r="Y1620" i="1"/>
  <c r="X1620" i="1"/>
  <c r="W1620" i="1"/>
  <c r="Z1619" i="1"/>
  <c r="Y1619" i="1"/>
  <c r="X1619" i="1"/>
  <c r="W1619" i="1"/>
  <c r="Z1618" i="1"/>
  <c r="Y1618" i="1"/>
  <c r="X1618" i="1"/>
  <c r="W1618" i="1"/>
  <c r="Z1617" i="1"/>
  <c r="Y1617" i="1"/>
  <c r="X1617" i="1"/>
  <c r="W1617" i="1"/>
  <c r="Z1616" i="1"/>
  <c r="Y1616" i="1"/>
  <c r="X1616" i="1"/>
  <c r="W1616" i="1"/>
  <c r="Z1615" i="1"/>
  <c r="Y1615" i="1"/>
  <c r="X1615" i="1"/>
  <c r="W1615" i="1"/>
  <c r="Z1614" i="1"/>
  <c r="Y1614" i="1"/>
  <c r="X1614" i="1"/>
  <c r="W1614" i="1"/>
  <c r="Z1613" i="1"/>
  <c r="Y1613" i="1"/>
  <c r="X1613" i="1"/>
  <c r="W1613" i="1"/>
  <c r="Z1612" i="1"/>
  <c r="Y1612" i="1"/>
  <c r="X1612" i="1"/>
  <c r="W1612" i="1"/>
  <c r="Z1611" i="1"/>
  <c r="Y1611" i="1"/>
  <c r="X1611" i="1"/>
  <c r="W1611" i="1"/>
  <c r="Z1610" i="1"/>
  <c r="Y1610" i="1"/>
  <c r="X1610" i="1"/>
  <c r="W1610" i="1"/>
  <c r="Z1609" i="1"/>
  <c r="Y1609" i="1"/>
  <c r="X1609" i="1"/>
  <c r="W1609" i="1"/>
  <c r="Z1608" i="1"/>
  <c r="Y1608" i="1"/>
  <c r="X1608" i="1"/>
  <c r="W1608" i="1"/>
  <c r="Z1607" i="1"/>
  <c r="Y1607" i="1"/>
  <c r="X1607" i="1"/>
  <c r="W1607" i="1"/>
  <c r="Z1606" i="1"/>
  <c r="Y1606" i="1"/>
  <c r="X1606" i="1"/>
  <c r="W1606" i="1"/>
  <c r="Z1605" i="1"/>
  <c r="Y1605" i="1"/>
  <c r="X1605" i="1"/>
  <c r="W1605" i="1"/>
  <c r="Z1604" i="1"/>
  <c r="Y1604" i="1"/>
  <c r="X1604" i="1"/>
  <c r="W1604" i="1"/>
  <c r="Z1603" i="1"/>
  <c r="Y1603" i="1"/>
  <c r="X1603" i="1"/>
  <c r="W1603" i="1"/>
  <c r="Z1602" i="1"/>
  <c r="Y1602" i="1"/>
  <c r="X1602" i="1"/>
  <c r="W1602" i="1"/>
  <c r="Z1601" i="1"/>
  <c r="Y1601" i="1"/>
  <c r="X1601" i="1"/>
  <c r="W1601" i="1"/>
  <c r="Z1600" i="1"/>
  <c r="Y1600" i="1"/>
  <c r="X1600" i="1"/>
  <c r="W1600" i="1"/>
  <c r="Z1599" i="1"/>
  <c r="Y1599" i="1"/>
  <c r="X1599" i="1"/>
  <c r="W1599" i="1"/>
  <c r="Z1598" i="1"/>
  <c r="Y1598" i="1"/>
  <c r="X1598" i="1"/>
  <c r="W1598" i="1"/>
  <c r="Z1597" i="1"/>
  <c r="Y1597" i="1"/>
  <c r="X1597" i="1"/>
  <c r="W1597" i="1"/>
  <c r="Z1596" i="1"/>
  <c r="Y1596" i="1"/>
  <c r="X1596" i="1"/>
  <c r="W1596" i="1"/>
  <c r="Z1595" i="1"/>
  <c r="Y1595" i="1"/>
  <c r="X1595" i="1"/>
  <c r="W1595" i="1"/>
  <c r="Z1594" i="1"/>
  <c r="Y1594" i="1"/>
  <c r="X1594" i="1"/>
  <c r="W1594" i="1"/>
  <c r="Z1593" i="1"/>
  <c r="Y1593" i="1"/>
  <c r="X1593" i="1"/>
  <c r="W1593" i="1"/>
  <c r="Z1592" i="1"/>
  <c r="Y1592" i="1"/>
  <c r="X1592" i="1"/>
  <c r="W1592" i="1"/>
  <c r="Z1591" i="1"/>
  <c r="Y1591" i="1"/>
  <c r="X1591" i="1"/>
  <c r="W1591" i="1"/>
  <c r="Z1590" i="1"/>
  <c r="Y1590" i="1"/>
  <c r="X1590" i="1"/>
  <c r="W1590" i="1"/>
  <c r="Z1589" i="1"/>
  <c r="Y1589" i="1"/>
  <c r="X1589" i="1"/>
  <c r="W1589" i="1"/>
  <c r="Z1588" i="1"/>
  <c r="Y1588" i="1"/>
  <c r="X1588" i="1"/>
  <c r="W1588" i="1"/>
  <c r="Z1587" i="1"/>
  <c r="Y1587" i="1"/>
  <c r="X1587" i="1"/>
  <c r="W1587" i="1"/>
  <c r="Z1586" i="1"/>
  <c r="Y1586" i="1"/>
  <c r="X1586" i="1"/>
  <c r="W1586" i="1"/>
  <c r="Z1585" i="1"/>
  <c r="Y1585" i="1"/>
  <c r="X1585" i="1"/>
  <c r="W1585" i="1"/>
  <c r="Z1584" i="1"/>
  <c r="Y1584" i="1"/>
  <c r="X1584" i="1"/>
  <c r="W1584" i="1"/>
  <c r="Z1583" i="1"/>
  <c r="Y1583" i="1"/>
  <c r="X1583" i="1"/>
  <c r="W1583" i="1"/>
  <c r="Z1582" i="1"/>
  <c r="Y1582" i="1"/>
  <c r="X1582" i="1"/>
  <c r="W1582" i="1"/>
  <c r="Z1581" i="1"/>
  <c r="Y1581" i="1"/>
  <c r="X1581" i="1"/>
  <c r="W1581" i="1"/>
  <c r="Z1580" i="1"/>
  <c r="Y1580" i="1"/>
  <c r="X1580" i="1"/>
  <c r="W1580" i="1"/>
  <c r="Z1579" i="1"/>
  <c r="Y1579" i="1"/>
  <c r="X1579" i="1"/>
  <c r="W1579" i="1"/>
  <c r="Z1578" i="1"/>
  <c r="Y1578" i="1"/>
  <c r="X1578" i="1"/>
  <c r="W1578" i="1"/>
  <c r="Z1577" i="1"/>
  <c r="Y1577" i="1"/>
  <c r="X1577" i="1"/>
  <c r="W1577" i="1"/>
  <c r="Z1576" i="1"/>
  <c r="Y1576" i="1"/>
  <c r="X1576" i="1"/>
  <c r="W1576" i="1"/>
  <c r="Z1575" i="1"/>
  <c r="Y1575" i="1"/>
  <c r="X1575" i="1"/>
  <c r="W1575" i="1"/>
  <c r="Z1574" i="1"/>
  <c r="Y1574" i="1"/>
  <c r="X1574" i="1"/>
  <c r="W1574" i="1"/>
  <c r="Z1573" i="1"/>
  <c r="Y1573" i="1"/>
  <c r="X1573" i="1"/>
  <c r="W1573" i="1"/>
  <c r="Z1572" i="1"/>
  <c r="Y1572" i="1"/>
  <c r="X1572" i="1"/>
  <c r="W1572" i="1"/>
  <c r="Z1571" i="1"/>
  <c r="Y1571" i="1"/>
  <c r="X1571" i="1"/>
  <c r="W1571" i="1"/>
  <c r="Z1570" i="1"/>
  <c r="Y1570" i="1"/>
  <c r="X1570" i="1"/>
  <c r="W1570" i="1"/>
  <c r="Z1569" i="1"/>
  <c r="Y1569" i="1"/>
  <c r="X1569" i="1"/>
  <c r="W1569" i="1"/>
  <c r="Z1568" i="1"/>
  <c r="Y1568" i="1"/>
  <c r="X1568" i="1"/>
  <c r="W1568" i="1"/>
  <c r="Z1567" i="1"/>
  <c r="Y1567" i="1"/>
  <c r="X1567" i="1"/>
  <c r="W1567" i="1"/>
  <c r="Z1566" i="1"/>
  <c r="Y1566" i="1"/>
  <c r="X1566" i="1"/>
  <c r="W1566" i="1"/>
  <c r="Z1565" i="1"/>
  <c r="Y1565" i="1"/>
  <c r="X1565" i="1"/>
  <c r="W1565" i="1"/>
  <c r="Z1564" i="1"/>
  <c r="Y1564" i="1"/>
  <c r="X1564" i="1"/>
  <c r="W1564" i="1"/>
  <c r="Z1563" i="1"/>
  <c r="Y1563" i="1"/>
  <c r="X1563" i="1"/>
  <c r="W1563" i="1"/>
  <c r="Z1562" i="1"/>
  <c r="Y1562" i="1"/>
  <c r="X1562" i="1"/>
  <c r="W1562" i="1"/>
  <c r="Z1561" i="1"/>
  <c r="Y1561" i="1"/>
  <c r="X1561" i="1"/>
  <c r="W1561" i="1"/>
  <c r="Z1560" i="1"/>
  <c r="Y1560" i="1"/>
  <c r="X1560" i="1"/>
  <c r="W1560" i="1"/>
  <c r="Z1559" i="1"/>
  <c r="Y1559" i="1"/>
  <c r="X1559" i="1"/>
  <c r="W1559" i="1"/>
  <c r="Z1558" i="1"/>
  <c r="Y1558" i="1"/>
  <c r="X1558" i="1"/>
  <c r="W1558" i="1"/>
  <c r="Z1557" i="1"/>
  <c r="Y1557" i="1"/>
  <c r="X1557" i="1"/>
  <c r="W1557" i="1"/>
  <c r="Z1556" i="1"/>
  <c r="Y1556" i="1"/>
  <c r="X1556" i="1"/>
  <c r="W1556" i="1"/>
  <c r="Z1555" i="1"/>
  <c r="Y1555" i="1"/>
  <c r="X1555" i="1"/>
  <c r="W1555" i="1"/>
  <c r="Z1554" i="1"/>
  <c r="Y1554" i="1"/>
  <c r="X1554" i="1"/>
  <c r="W1554" i="1"/>
  <c r="Z1553" i="1"/>
  <c r="Y1553" i="1"/>
  <c r="X1553" i="1"/>
  <c r="W1553" i="1"/>
  <c r="Z1552" i="1"/>
  <c r="Y1552" i="1"/>
  <c r="X1552" i="1"/>
  <c r="W1552" i="1"/>
  <c r="Z1551" i="1"/>
  <c r="Y1551" i="1"/>
  <c r="X1551" i="1"/>
  <c r="W1551" i="1"/>
  <c r="Z1550" i="1"/>
  <c r="Y1550" i="1"/>
  <c r="X1550" i="1"/>
  <c r="W1550" i="1"/>
  <c r="Z1549" i="1"/>
  <c r="Y1549" i="1"/>
  <c r="X1549" i="1"/>
  <c r="W1549" i="1"/>
  <c r="Z1548" i="1"/>
  <c r="Y1548" i="1"/>
  <c r="X1548" i="1"/>
  <c r="W1548" i="1"/>
  <c r="Z1547" i="1"/>
  <c r="Y1547" i="1"/>
  <c r="X1547" i="1"/>
  <c r="W1547" i="1"/>
  <c r="Z1546" i="1"/>
  <c r="Y1546" i="1"/>
  <c r="X1546" i="1"/>
  <c r="W1546" i="1"/>
  <c r="Z1545" i="1"/>
  <c r="Y1545" i="1"/>
  <c r="X1545" i="1"/>
  <c r="W1545" i="1"/>
  <c r="C23" i="2"/>
  <c r="C28" i="2"/>
  <c r="C22" i="2"/>
  <c r="C15" i="2"/>
  <c r="C25" i="2"/>
  <c r="C29" i="2"/>
  <c r="C12" i="2"/>
  <c r="C24" i="2"/>
  <c r="C26" i="2"/>
  <c r="C20" i="2"/>
  <c r="C11" i="2"/>
  <c r="C17" i="2"/>
  <c r="C21" i="2"/>
  <c r="C16" i="2"/>
  <c r="C19" i="2"/>
  <c r="C13" i="2"/>
  <c r="C27" i="2"/>
  <c r="C14" i="2"/>
  <c r="C18" i="2"/>
  <c r="E12" i="2" l="1"/>
  <c r="E20" i="2"/>
  <c r="E28" i="2"/>
  <c r="E15" i="2"/>
  <c r="E23" i="2"/>
  <c r="E18" i="2"/>
  <c r="E26" i="2"/>
  <c r="E16" i="2"/>
  <c r="E11" i="2"/>
  <c r="E19" i="2"/>
  <c r="E27" i="2"/>
  <c r="E13" i="2"/>
  <c r="E29" i="2"/>
  <c r="E14" i="2"/>
  <c r="E22" i="2"/>
  <c r="E21" i="2"/>
  <c r="E24" i="2"/>
  <c r="E17" i="2"/>
  <c r="E25" i="2"/>
  <c r="H11" i="2" l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32" i="2" s="1"/>
  <c r="H34" i="2" s="1"/>
</calcChain>
</file>

<file path=xl/sharedStrings.xml><?xml version="1.0" encoding="utf-8"?>
<sst xmlns="http://schemas.openxmlformats.org/spreadsheetml/2006/main" count="224" uniqueCount="199">
  <si>
    <t>LET(#ROCE0=EBIT(FA_ADJUSTED=Y,FPT=A,FPO=0)/(TOTAL_EQUITY(FPT=A,FPO=0)+NET_DEBT(FPT=A,FPO=0)-BS_GOODWILL(FPT=A,FPO=0));#ROCE1=EBIT(FA_ADJUSTED=Y,FPT=A,FPO=-1)/(TOTAL_EQUITY(FPT=A,FPO=-1)+NET_DEBT(FPT=A,FPO=-1)-BS_GOODWILL(FPT=A,FPO=-1));#ROCE2=EBIT(FA_ADJUSTED=Y,FPT=A,FPO=-2)/(TOTAL_EQUITY(FPT=A,FPO=-2)+NET_DEBT(FPT=A,FPO=-2)-BS_GOODWILL(FPT=A,FPO=-2));#ROCE3=EBIT(FA_ADJUSTED=Y,FPT=A,FPO=-3)/(TOTAL_EQUITY(FPT=A,FPO=-3)+NET_DEBT(FPT=A,FPO=-3)-BS_GOODWILL(FPT=A,FPO=-3));#ROCE4=EBIT(FA_ADJUSTED=Y,FPT=A,FPO=-4)/(TOTAL_EQUITY(FPT=A,FPO=-4)+NET_DEBT(FPT=A,FPO=-4)-BS_GOODWILL(FPT=A,FPO=-4));#ROCEG0=EBIT(FA_ADJUSTED=Y,FPT=A,FPO=0)/(TOTAL_EQUITY(FPT=A,FPO=0)+NET_DEBT(FPT=A,FPO=0));#ROCEG1=EBIT(FA_ADJUSTED=Y,FPT=A,FPO=-1)/(TOTAL_EQUITY(FPT=A,FPO=-1)+NET_DEBT(FPT=A,FPO=-1));#ROCEG2=EBIT(FA_ADJUSTED=Y,FPT=A,FPO=-2)/(TOTAL_EQUITY(FPT=A,FPO=-2)+NET_DEBT(FPT=A,FPO=-2));#ROCEG3=EBIT(FA_ADJUSTED=Y,FPT=A,FPO=-3)/(TOTAL_EQUITY(FPT=A,FPO=-3)+NET_DEBT(FPT=A,FPO=-3));#ROCEG4=EBIT(FA_ADJUSTED=Y,FPT=A,FPO=-4)/(TOTAL_EQUITY(FPT=A,FPO=-4)+NET_DEBT(FPT=A,FPO=-4));#EBITDA_MARGIN0=EBITDA_MARGIN(FA_ADJUSTED=Y,FPT=A,FPO=0);#EBITDA_MARGIN1=EBITDA_MARGIN(FA_ADJUSTED=Y,FPT=A,FPO=-1);#EBITDA_MARGIN2=EBITDA_MARGIN(FA_ADJUSTED=Y,FPT=A,FPO=-2);#EBITDA_MARGIN3=EBITDA_MARGIN(FA_ADJUSTED=Y,FPT=A,FPO=-3);#EBITDA_MARGIN4=EBITDA_MARGIN(FA_ADJUSTED=Y,FPT=A,FPO=-4);#CE=TOTAL_EQUITY(FPT=A,FPO=0)+NET_DEBT(FPT=A,FPO=0)-BS_GOODWILL(FPT=A,FPO=0);#CEG=TOTAL_EQUITY(FPT=A,FPO=0)+NET_DEBT(FPT=A,FPO=0);)</t>
  </si>
  <si>
    <t>GET((#ROCE0+#ROCE1+#ROCE2+#ROCE3+#ROCE4)/5,#ROCE0,(#ROCEG0+#ROCEG1+#ROCEG2+#ROCEG3+#ROCEG4)/5,#ROCEG0,RETURN_COM_EQY,(#EBITDA_MARGIN0+#EBITDA_MARGIN1+#EBITDA_MARGIN2+#EBITDA_MARGIN3+#EBITDA_MARGIN4)/5,#EBITDA_MARGIN0,NET_DEBT/(BS_TOT_ASSET-BS_GOODWILL),NET_DEBT/EBITDA,TOTAL_EQUITY/BS_TOT_ASSET,IS_INT_EXPENSE/SHORT_AND_LONG_TERM_DEBT,SALES_5YR_AVG_GR,#CE,#CEG,MARKET_CAP,CURRENT_EV_TO_T12M_EBITDA,CURRENT_EV_TO_T12M_EBIT,FREE_CASH_FLOW_YIELD,PE_RATIO,PX_TO_BOOK_RATIO)</t>
  </si>
  <si>
    <t>ROCE 5Y</t>
  </si>
  <si>
    <t>ROCE LY</t>
  </si>
  <si>
    <t>ROCE with Goodwill 5Y</t>
  </si>
  <si>
    <t>ROCE with Goodwill LY</t>
  </si>
  <si>
    <t>ROE</t>
  </si>
  <si>
    <t>EBITDA Margin 5Y</t>
  </si>
  <si>
    <t>EBITDA Margin LY</t>
  </si>
  <si>
    <t>Net Debt/Assets ex Goodwill</t>
  </si>
  <si>
    <t>Net Debt/EBITDA</t>
  </si>
  <si>
    <t>Equity/Assets</t>
  </si>
  <si>
    <t>Interest Expense</t>
  </si>
  <si>
    <t>Revenue Growth</t>
  </si>
  <si>
    <t>Capital Employed</t>
  </si>
  <si>
    <t>Capital Employed with GW</t>
  </si>
  <si>
    <t>Market Cap</t>
  </si>
  <si>
    <t>EV/EBITDA</t>
  </si>
  <si>
    <t>EV/EBIT</t>
  </si>
  <si>
    <t>FCF Yield</t>
  </si>
  <si>
    <t>PER</t>
  </si>
  <si>
    <t>P/B</t>
  </si>
  <si>
    <t>Sector</t>
  </si>
  <si>
    <t>Group</t>
  </si>
  <si>
    <t>Subgroup</t>
  </si>
  <si>
    <t>Country</t>
  </si>
  <si>
    <t>CNTRY_OF_DOMICILE</t>
  </si>
  <si>
    <r>
      <t xml:space="preserve">FOR(filter(equitiesuniv(['active','primary']),(CNTRY_OF_DOMICILE=='DE' OR CNTRY_OF_DOMICILE=='ES' OR CNTRY_OF_DOMICILE=='IT') </t>
    </r>
    <r>
      <rPr>
        <b/>
        <sz val="11"/>
        <color theme="1"/>
        <rFont val="Calibri"/>
        <family val="2"/>
        <scheme val="minor"/>
      </rPr>
      <t>AND CUR_MKT_CAP &gt;0.6B))with(mode=cached)</t>
    </r>
  </si>
  <si>
    <t>RBI AV Equity</t>
  </si>
  <si>
    <t>ECONB BB Equity</t>
  </si>
  <si>
    <t>PND CY Equity</t>
  </si>
  <si>
    <t>TAL1T ET Equity</t>
  </si>
  <si>
    <t>KESKOA FH Equity</t>
  </si>
  <si>
    <t>alums fp equity</t>
  </si>
  <si>
    <t>wdi gy equity</t>
  </si>
  <si>
    <t>HTO GA Equity</t>
  </si>
  <si>
    <t>GRN ID Equity</t>
  </si>
  <si>
    <t>LD IM Equity</t>
  </si>
  <si>
    <t>SAF1R LG Equity</t>
  </si>
  <si>
    <t>SAB1L LH Equity</t>
  </si>
  <si>
    <t>EQUAMVA LX equity</t>
  </si>
  <si>
    <t>BOV MV Equity</t>
  </si>
  <si>
    <t>ASML NA Equity</t>
  </si>
  <si>
    <t>GALP PL Equity</t>
  </si>
  <si>
    <t>SRA SK Equity</t>
  </si>
  <si>
    <t>KRKG SV Equity</t>
  </si>
  <si>
    <t>TEF SM EQUity</t>
  </si>
  <si>
    <t>FOR(filter(equitiesuniv(['active','primary']),(CNTRY_OF_DOMICILE=='KR') AND CUR_MKT_CAP &gt;100B))with(mode=cached)</t>
  </si>
  <si>
    <t>FOR(filter(equitiesuniv(['active','primary']),(CNTRY_OF_DOMICILE=='CA') AND CUR_MKT_CAP &gt;1.0B))with(mode=cached)</t>
  </si>
  <si>
    <t>BNS CN Equity</t>
  </si>
  <si>
    <t>COUNTRY</t>
  </si>
  <si>
    <t>MARKET CAP</t>
  </si>
  <si>
    <t>TICKER</t>
  </si>
  <si>
    <t>ES</t>
  </si>
  <si>
    <t>FOR(filter(equitiesuniv(['active','primary']),(CNTRY_OF_DOMICILE=='</t>
  </si>
  <si>
    <t>') AND CUR_MKT_CAP &gt;</t>
  </si>
  <si>
    <t>Si se introduce un ticker de una compañía, la fórmula devuelve el CNTRY_OF_DOMICILE</t>
  </si>
  <si>
    <t>Se introduce el CNTRY_OF_DOMICILE del país en el que queremos buscar</t>
  </si>
  <si>
    <t>B))with(mode=cached)</t>
  </si>
  <si>
    <t>(#ROCE0+#ROCE1+#ROCE2+#ROCE3+#ROCE4)/5</t>
  </si>
  <si>
    <t>#ROCE0</t>
  </si>
  <si>
    <t>(#ROCEG0+#ROCEG1+#ROCEG2+#ROCEG3+#ROCEG4)/5</t>
  </si>
  <si>
    <t>#ROCEG0</t>
  </si>
  <si>
    <t>RETURN_COM_EQY</t>
  </si>
  <si>
    <t>(#EBITDA_MARGIN0+#EBITDA_MARGIN1+#EBITDA_MARGIN2+#EBITDA_MARGIN3+#EBITDA_MARGIN4)/5</t>
  </si>
  <si>
    <t>#EBITDA_MARGIN0</t>
  </si>
  <si>
    <t>NET_DEBT/(BS_TOT_ASSET-BS_GOODWILL)</t>
  </si>
  <si>
    <t>NET_DEBT/EBITDA</t>
  </si>
  <si>
    <t>TOTAL_EQUITY/BS_TOT_ASSET</t>
  </si>
  <si>
    <t>IS_INT_EXPENSE/SHORT_AND_LONG_TERM_DEBT</t>
  </si>
  <si>
    <t>SALES_5YR_AVG_GR</t>
  </si>
  <si>
    <t>#CE</t>
  </si>
  <si>
    <t>#CEG</t>
  </si>
  <si>
    <t>MARKET_CAP</t>
  </si>
  <si>
    <t>CURRENT_EV_TO_T12M_EBITDA</t>
  </si>
  <si>
    <t>CURRENT_EV_TO_T12M_EBIT</t>
  </si>
  <si>
    <t>FREE_CASH_FLOW_YIELD</t>
  </si>
  <si>
    <t>PE_RATIO</t>
  </si>
  <si>
    <t>PX_TO_BOOK_RATIO</t>
  </si>
  <si>
    <t>REP SM Equity</t>
  </si>
  <si>
    <t>FCC SM Equity</t>
  </si>
  <si>
    <t>EAT PW Equity</t>
  </si>
  <si>
    <t>GCO SM Equity</t>
  </si>
  <si>
    <t>SCYR SM Equity</t>
  </si>
  <si>
    <t>ANA SM Equity</t>
  </si>
  <si>
    <t>ALB SM Equity</t>
  </si>
  <si>
    <t>CIE SM Equity</t>
  </si>
  <si>
    <t>NTGY SM Equity</t>
  </si>
  <si>
    <t>CMO SM Equity</t>
  </si>
  <si>
    <t>PSG SM Equity</t>
  </si>
  <si>
    <t>ALM SM Equity</t>
  </si>
  <si>
    <t>ENG SM Equity</t>
  </si>
  <si>
    <t>SAN SM Equity</t>
  </si>
  <si>
    <t>ITX SM Equity</t>
  </si>
  <si>
    <t>GRF SM Equity</t>
  </si>
  <si>
    <t>EBRO SM Equity</t>
  </si>
  <si>
    <t>ZOT SM Equity</t>
  </si>
  <si>
    <t>IBE SM Equity</t>
  </si>
  <si>
    <t>SGRE SM Equity</t>
  </si>
  <si>
    <t>BBVA SM Equity</t>
  </si>
  <si>
    <t>CAF SM Equity</t>
  </si>
  <si>
    <t>CABK SM Equity</t>
  </si>
  <si>
    <t>BKT SM Equity</t>
  </si>
  <si>
    <t>FAE SM Equity</t>
  </si>
  <si>
    <t>ROVI SM Equity</t>
  </si>
  <si>
    <t>TEF SM Equity</t>
  </si>
  <si>
    <t>VIS SM Equity</t>
  </si>
  <si>
    <t>MEL SM Equity</t>
  </si>
  <si>
    <t>NHH SM Equity</t>
  </si>
  <si>
    <t>ACX SM Equity</t>
  </si>
  <si>
    <t>VID SM Equity</t>
  </si>
  <si>
    <t>COL SM Equity</t>
  </si>
  <si>
    <t>FER SM Equity</t>
  </si>
  <si>
    <t>REE SM Equity</t>
  </si>
  <si>
    <t>ELE SM Equity</t>
  </si>
  <si>
    <t>MAP SM Equity</t>
  </si>
  <si>
    <t>FDR SM Equity</t>
  </si>
  <si>
    <t>SAB SM Equity</t>
  </si>
  <si>
    <t>ACS SM Equity</t>
  </si>
  <si>
    <t>IDR SM Equity</t>
  </si>
  <si>
    <t>SLR SM Equity</t>
  </si>
  <si>
    <t>EDPR PL Equity</t>
  </si>
  <si>
    <t>AMS SM Equity</t>
  </si>
  <si>
    <t>TL5 SM Equity</t>
  </si>
  <si>
    <t>PHM SM Equity</t>
  </si>
  <si>
    <t>YGGC SM Equity</t>
  </si>
  <si>
    <t>APPS SM Equity</t>
  </si>
  <si>
    <t>LOG SM Equity</t>
  </si>
  <si>
    <t>MRL SM Equity</t>
  </si>
  <si>
    <t>AENA SM Equity</t>
  </si>
  <si>
    <t>CLNX SM Equity</t>
  </si>
  <si>
    <t>UNI SM Equity</t>
  </si>
  <si>
    <t>GEST SM Equity</t>
  </si>
  <si>
    <t>YGMP SM Equity</t>
  </si>
  <si>
    <t>CASH SM Equity</t>
  </si>
  <si>
    <t>AEDAS SM Equity</t>
  </si>
  <si>
    <t>MVC SM Equity</t>
  </si>
  <si>
    <t>YVIV SM Equity</t>
  </si>
  <si>
    <t>LDA SM Equity</t>
  </si>
  <si>
    <t>ANE SM Equity</t>
  </si>
  <si>
    <t>WBX US Equity</t>
  </si>
  <si>
    <t>CHKP US</t>
  </si>
  <si>
    <t>Se introduce el market cap mínimo a partir del cual queremos filtrar en billions (utiliza divisa origen y hay que poner los decimales con un punto . )</t>
  </si>
  <si>
    <t>ADX SM Equity</t>
  </si>
  <si>
    <t>RLIA SM Equity</t>
  </si>
  <si>
    <t>A3M SM Equity</t>
  </si>
  <si>
    <t>DIA SM Equity</t>
  </si>
  <si>
    <t>MCM SM Equity</t>
  </si>
  <si>
    <t>ENC SM Equity</t>
  </si>
  <si>
    <t>ALNT SM Equity</t>
  </si>
  <si>
    <t>ENO SM Equity</t>
  </si>
  <si>
    <t>TRN1 SM Equity</t>
  </si>
  <si>
    <t>YTST SM Equity</t>
  </si>
  <si>
    <t>S2158 SM Equity</t>
  </si>
  <si>
    <t>EDR SM Equity</t>
  </si>
  <si>
    <t>TLGO SM Equity</t>
  </si>
  <si>
    <t>GRE SM Equity</t>
  </si>
  <si>
    <t>YZBL SM Equity</t>
  </si>
  <si>
    <t>DOM SM Equity</t>
  </si>
  <si>
    <t>ATRY SM Equity</t>
  </si>
  <si>
    <t>HOME SM Equity</t>
  </si>
  <si>
    <t>YCPS SM Equity</t>
  </si>
  <si>
    <t>SPK SM Equity</t>
  </si>
  <si>
    <t>PRO SM Equity</t>
  </si>
  <si>
    <t>SOL SM Equity</t>
  </si>
  <si>
    <t>YSIL SM Equity</t>
  </si>
  <si>
    <t>ISUR SM Equity</t>
  </si>
  <si>
    <t>R4 SM Equity</t>
  </si>
  <si>
    <t>BDL SM Equity</t>
  </si>
  <si>
    <t>GALQ SM Equity</t>
  </si>
  <si>
    <t>STCXH LX Equity</t>
  </si>
  <si>
    <t>TRE SM Equity</t>
  </si>
  <si>
    <t>CBAV SM Equity</t>
  </si>
  <si>
    <t>GSJ SM Equity</t>
  </si>
  <si>
    <t>SQRL SM Equity</t>
  </si>
  <si>
    <t>OHLA SM Equity</t>
  </si>
  <si>
    <t>PRS SM Equity</t>
  </si>
  <si>
    <t>ECR SM Equity</t>
  </si>
  <si>
    <t>RJF SM Equity</t>
  </si>
  <si>
    <t>BELL SM Equity</t>
  </si>
  <si>
    <t>S2702 SM Equity</t>
  </si>
  <si>
    <t>S0002 SM Equity</t>
  </si>
  <si>
    <t>S3485 SM Equity</t>
  </si>
  <si>
    <t>SOI SM Equity</t>
  </si>
  <si>
    <t>S0127 SM Equity</t>
  </si>
  <si>
    <t>HERPRIS SM Equity</t>
  </si>
  <si>
    <t>CHI SM Equity</t>
  </si>
  <si>
    <t>LRE SM Equity</t>
  </si>
  <si>
    <t>AGIL SM Equity</t>
  </si>
  <si>
    <t>YAPS SM Equity</t>
  </si>
  <si>
    <t>GRN SM Equity</t>
  </si>
  <si>
    <t>ARM SM Equity</t>
  </si>
  <si>
    <t>YATO SM Equity</t>
  </si>
  <si>
    <t>YMHRE SM Equity</t>
  </si>
  <si>
    <t>HLZ SM Equity</t>
  </si>
  <si>
    <t>IZER SM Equity</t>
  </si>
  <si>
    <t>ENER SM Equity</t>
  </si>
  <si>
    <t>0.25</t>
  </si>
  <si>
    <t>BQL.Query(B8&amp;B9&amp;B10)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</si>
</sst>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\ _€_-;\-* #,##0.00\ _€_-;_-* &quot;-&quot;??\ _€_-;_-@_-"/>
    <numFmt numFmtId="165" formatCode="0.0"/>
    <numFmt numFmtId="166" formatCode="0.0%"/>
    <numFmt numFmtId="167" formatCode="_-* #,##0\ _€_-;\-* #,##0\ _€_-;_-* &quot;-&quot;??\ _€_-;_-@_-"/>
    <numFmt numFmtId="169" formatCode="0.0000"/>
    <numFmt numFmtId="171" formatCode="0.00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8">
    <xf numFmtId="0" fontId="0" fillId="0" borderId="0" xfId="0"/>
    <xf numFmtId="0" fontId="4" fillId="0" borderId="0" xfId="0" applyFont="1"/>
    <xf numFmtId="9" fontId="3" fillId="0" borderId="0" xfId="2" applyFont="1"/>
    <xf numFmtId="1" fontId="3" fillId="0" borderId="0" xfId="2" applyNumberFormat="1" applyFont="1"/>
    <xf numFmtId="1" fontId="3" fillId="0" borderId="0" xfId="0" applyNumberFormat="1" applyFont="1"/>
    <xf numFmtId="165" fontId="3" fillId="0" borderId="0" xfId="0" applyNumberFormat="1" applyFont="1"/>
    <xf numFmtId="166" fontId="3" fillId="0" borderId="0" xfId="2" applyNumberFormat="1" applyFont="1"/>
    <xf numFmtId="167" fontId="3" fillId="0" borderId="0" xfId="1" applyNumberFormat="1" applyFont="1"/>
    <xf numFmtId="0" fontId="3" fillId="0" borderId="0" xfId="0" applyFont="1"/>
    <xf numFmtId="9" fontId="4" fillId="0" borderId="0" xfId="2" applyFont="1"/>
    <xf numFmtId="1" fontId="4" fillId="0" borderId="0" xfId="2" applyNumberFormat="1" applyFont="1"/>
    <xf numFmtId="1" fontId="4" fillId="0" borderId="0" xfId="0" applyNumberFormat="1" applyFont="1"/>
    <xf numFmtId="0" fontId="2" fillId="0" borderId="0" xfId="0" applyFont="1"/>
    <xf numFmtId="9" fontId="2" fillId="0" borderId="0" xfId="2" applyFont="1"/>
    <xf numFmtId="1" fontId="2" fillId="0" borderId="0" xfId="2" applyNumberFormat="1" applyFont="1"/>
    <xf numFmtId="1" fontId="2" fillId="0" borderId="0" xfId="0" applyNumberFormat="1" applyFont="1"/>
    <xf numFmtId="165" fontId="2" fillId="0" borderId="0" xfId="0" applyNumberFormat="1" applyFont="1"/>
    <xf numFmtId="166" fontId="2" fillId="0" borderId="0" xfId="2" applyNumberFormat="1" applyFont="1"/>
    <xf numFmtId="165" fontId="2" fillId="0" borderId="0" xfId="2" applyNumberFormat="1" applyFont="1"/>
    <xf numFmtId="167" fontId="2" fillId="0" borderId="0" xfId="1" applyNumberFormat="1" applyFont="1"/>
    <xf numFmtId="9" fontId="4" fillId="0" borderId="0" xfId="2" applyFont="1" applyFill="1"/>
    <xf numFmtId="1" fontId="4" fillId="0" borderId="0" xfId="2" applyNumberFormat="1" applyFont="1" applyFill="1"/>
    <xf numFmtId="1" fontId="4" fillId="0" borderId="0" xfId="0" applyNumberFormat="1" applyFont="1" applyFill="1"/>
    <xf numFmtId="165" fontId="4" fillId="0" borderId="0" xfId="0" applyNumberFormat="1" applyFont="1" applyFill="1"/>
    <xf numFmtId="166" fontId="4" fillId="0" borderId="0" xfId="2" applyNumberFormat="1" applyFont="1" applyFill="1"/>
    <xf numFmtId="0" fontId="4" fillId="0" borderId="0" xfId="0" applyFont="1" applyFill="1"/>
    <xf numFmtId="165" fontId="4" fillId="0" borderId="0" xfId="0" applyNumberFormat="1" applyFont="1"/>
    <xf numFmtId="166" fontId="4" fillId="0" borderId="0" xfId="2" applyNumberFormat="1" applyFont="1"/>
    <xf numFmtId="14" fontId="4" fillId="0" borderId="0" xfId="0" applyNumberFormat="1" applyFont="1"/>
    <xf numFmtId="9" fontId="0" fillId="0" borderId="0" xfId="2" applyFont="1"/>
    <xf numFmtId="1" fontId="0" fillId="0" borderId="0" xfId="2" applyNumberFormat="1" applyFont="1"/>
    <xf numFmtId="1" fontId="0" fillId="0" borderId="0" xfId="0" applyNumberFormat="1"/>
    <xf numFmtId="165" fontId="0" fillId="0" borderId="0" xfId="0" applyNumberFormat="1"/>
    <xf numFmtId="166" fontId="0" fillId="0" borderId="0" xfId="2" applyNumberFormat="1" applyFont="1"/>
    <xf numFmtId="167" fontId="0" fillId="0" borderId="0" xfId="1" applyNumberFormat="1" applyFont="1"/>
    <xf numFmtId="0" fontId="4" fillId="2" borderId="0" xfId="0" applyFont="1" applyFill="1" applyAlignment="1">
      <alignment horizontal="center"/>
    </xf>
    <xf numFmtId="0" fontId="0" fillId="2" borderId="0" xfId="0" applyFill="1"/>
    <xf numFmtId="10" fontId="0" fillId="0" borderId="0" xfId="0" applyNumberFormat="1"/>
    <xf numFmtId="0" fontId="0" fillId="3" borderId="0" xfId="0" applyFill="1"/>
    <xf numFmtId="9" fontId="2" fillId="0" borderId="0" xfId="2" applyFont="1" applyAlignment="1">
      <alignment horizontal="center" vertical="center"/>
    </xf>
    <xf numFmtId="9" fontId="2" fillId="4" borderId="1" xfId="2" applyFont="1" applyFill="1" applyBorder="1" applyAlignment="1">
      <alignment horizontal="center" vertical="center" wrapText="1"/>
    </xf>
    <xf numFmtId="9" fontId="2" fillId="4" borderId="2" xfId="2" applyFont="1" applyFill="1" applyBorder="1" applyAlignment="1">
      <alignment horizontal="center" vertical="center" wrapText="1"/>
    </xf>
    <xf numFmtId="1" fontId="2" fillId="4" borderId="2" xfId="2" applyNumberFormat="1" applyFont="1" applyFill="1" applyBorder="1" applyAlignment="1">
      <alignment horizontal="center" vertical="center" wrapText="1"/>
    </xf>
    <xf numFmtId="1" fontId="2" fillId="4" borderId="2" xfId="0" applyNumberFormat="1" applyFont="1" applyFill="1" applyBorder="1" applyAlignment="1">
      <alignment horizontal="center" vertical="center" wrapText="1"/>
    </xf>
    <xf numFmtId="165" fontId="2" fillId="4" borderId="2" xfId="0" applyNumberFormat="1" applyFont="1" applyFill="1" applyBorder="1" applyAlignment="1">
      <alignment horizontal="center" vertical="center" wrapText="1"/>
    </xf>
    <xf numFmtId="165" fontId="2" fillId="4" borderId="2" xfId="2" applyNumberFormat="1" applyFont="1" applyFill="1" applyBorder="1" applyAlignment="1">
      <alignment horizontal="center" vertical="center" wrapText="1"/>
    </xf>
    <xf numFmtId="167" fontId="2" fillId="5" borderId="2" xfId="1" applyNumberFormat="1" applyFont="1" applyFill="1" applyBorder="1" applyAlignment="1">
      <alignment horizontal="center" vertical="center" wrapText="1"/>
    </xf>
    <xf numFmtId="165" fontId="2" fillId="6" borderId="2" xfId="0" applyNumberFormat="1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0" fillId="0" borderId="0" xfId="0" applyNumberFormat="1"/>
    <xf numFmtId="0" fontId="0" fillId="9" borderId="0" xfId="0" applyFill="1"/>
    <xf numFmtId="171" fontId="0" fillId="0" borderId="0" xfId="0" applyNumberFormat="1"/>
    <xf numFmtId="9" fontId="0" fillId="10" borderId="4" xfId="2" applyFont="1" applyFill="1" applyBorder="1"/>
    <xf numFmtId="169" fontId="0" fillId="10" borderId="5" xfId="2" applyNumberFormat="1" applyFont="1" applyFill="1" applyBorder="1" applyAlignment="1">
      <alignment horizontal="left"/>
    </xf>
    <xf numFmtId="0" fontId="0" fillId="8" borderId="0" xfId="0" applyFill="1"/>
    <xf numFmtId="0" fontId="4" fillId="5" borderId="0" xfId="0" applyFont="1" applyFill="1"/>
  </cellXfs>
  <cellStyles count="3">
    <cellStyle name="Millares" xfId="1" builtinId="3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LU</v>
        <stp/>
        <stp>##V3_BDPV12</stp>
        <stp>EQUAMVA LX equity</stp>
        <stp>CNTRY_OF_DOMICILE</stp>
        <stp>[SCREENER.xlsm]Imput!R23C3</stp>
        <tr r="C23" s="2"/>
      </tp>
      <tp t="s">
        <v>Banks</v>
        <stp/>
        <stp>##V3_BDPV12</stp>
        <stp>BNS CN Equity</stp>
        <stp>INDUSTRY_GROUP</stp>
        <stp>[SCREENER.xlsm]Output!R3C25</stp>
        <tr r="Y3" s="3"/>
      </tp>
    </main>
    <main first="bloomberg.rtd">
      <tp t="s">
        <v>Diversified Banking Inst</v>
        <stp/>
        <stp>##V3_BDPV12</stp>
        <stp>BNS CN Equity</stp>
        <stp>INDUSTRY_SUBGROUP</stp>
        <stp>[SCREENER.xlsm]Output!R3C26</stp>
        <tr r="Z3" s="3"/>
      </tp>
      <tp t="s">
        <v>CANADA</v>
        <stp/>
        <stp>##V3_BDPV12</stp>
        <stp>BNS CN Equity</stp>
        <stp>COUNTRY_FULL_NAME</stp>
        <stp>[SCREENER.xlsm]Output!R3C27</stp>
        <tr r="AA3" s="3"/>
      </tp>
      <tp t="s">
        <v>BANK OF NOVA SCOTIA</v>
        <stp/>
        <stp>##V3_BDPV12</stp>
        <stp>BNS CN Equity</stp>
        <stp>NAME</stp>
        <stp>[SCREENER.xlsm]Output!R3C3</stp>
        <tr r="C3" s="3"/>
      </tp>
      <tp t="s">
        <v>FI</v>
        <stp/>
        <stp>##V3_BDPV12</stp>
        <stp>KESKOA FH Equity</stp>
        <stp>CNTRY_OF_DOMICILE</stp>
        <stp>[SCREENER.xlsm]Imput!R15C3</stp>
        <tr r="C15" s="2"/>
      </tp>
      <tp t="s">
        <v>DE</v>
        <stp/>
        <stp>##V3_BDPV12</stp>
        <stp>wdi gy equity</stp>
        <stp>CNTRY_OF_DOMICILE</stp>
        <stp>[SCREENER.xlsm]Imput!R17C3</stp>
        <tr r="C17" s="2"/>
      </tp>
      <tp t="s">
        <v>IL</v>
        <stp/>
        <stp>##V3_BDPV12</stp>
        <stp>CHKP US Equity</stp>
        <stp>CNTRY_OF_DOMICILE</stp>
        <stp>[SCREENER.xlsm]Generador!R3C3</stp>
        <tr r="C3" s="1"/>
      </tp>
      <tp t="s">
        <v>NL</v>
        <stp/>
        <stp>##V3_BDPV12</stp>
        <stp>ASML NA Equity</stp>
        <stp>CNTRY_OF_DOMICILE</stp>
        <stp>[SCREENER.xlsm]Imput!R25C3</stp>
        <tr r="C25" s="2"/>
      </tp>
      <tp t="s">
        <v>PT</v>
        <stp/>
        <stp>##V3_BDPV12</stp>
        <stp>GALP PL Equity</stp>
        <stp>CNTRY_OF_DOMICILE</stp>
        <stp>[SCREENER.xlsm]Imput!R26C3</stp>
        <tr r="C26" s="2"/>
      </tp>
      <tp t="s">
        <v>SI</v>
        <stp/>
        <stp>##V3_BDPV12</stp>
        <stp>KRKG SV Equity</stp>
        <stp>CNTRY_OF_DOMICILE</stp>
        <stp>[SCREENER.xlsm]Imput!R28C3</stp>
        <tr r="C28" s="2"/>
      </tp>
      <tp t="s">
        <v>IT</v>
        <stp/>
        <stp>##V3_BDPV12</stp>
        <stp>LD IM Equity</stp>
        <stp>CNTRY_OF_DOMICILE</stp>
        <stp>[SCREENER.xlsm]Imput!R20C3</stp>
        <tr r="C20" s="2"/>
      </tp>
      <tp t="s">
        <v>SK</v>
        <stp/>
        <stp>##V3_BDPV12</stp>
        <stp>SRA SK Equity</stp>
        <stp>CNTRY_OF_DOMICILE</stp>
        <stp>[SCREENER.xlsm]Imput!R27C3</stp>
        <tr r="C27" s="2"/>
      </tp>
      <tp t="s">
        <v>EE</v>
        <stp/>
        <stp>##V3_BDPV12</stp>
        <stp>TAL1T ET Equity</stp>
        <stp>CNTRY_OF_DOMICILE</stp>
        <stp>[SCREENER.xlsm]Imput!R14C3</stp>
        <tr r="C14" s="2"/>
      </tp>
      <tp t="s">
        <v>MT</v>
        <stp/>
        <stp>##V3_BDPV12</stp>
        <stp>BOV MV Equity</stp>
        <stp>CNTRY_OF_DOMICILE</stp>
        <stp>[SCREENER.xlsm]Imput!R24C3</stp>
        <tr r="C24" s="2"/>
      </tp>
      <tp t="s">
        <v>LT</v>
        <stp/>
        <stp>##V3_BDPV12</stp>
        <stp>SAB1L LH Equity</stp>
        <stp>CNTRY_OF_DOMICILE</stp>
        <stp>[SCREENER.xlsm]Imput!R22C3</stp>
        <tr r="C22" s="2"/>
      </tp>
      <tp t="s">
        <v>CY</v>
        <stp/>
        <stp>##V3_BDPV12</stp>
        <stp>PND CY Equity</stp>
        <stp>CNTRY_OF_DOMICILE</stp>
        <stp>[SCREENER.xlsm]Imput!R13C3</stp>
        <tr r="C13" s="2"/>
      </tp>
      <tp t="s">
        <v>BE</v>
        <stp/>
        <stp>##V3_BDPV12</stp>
        <stp>ECONB BB Equity</stp>
        <stp>CNTRY_OF_DOMICILE</stp>
        <stp>[SCREENER.xlsm]Imput!R12C3</stp>
        <tr r="C12" s="2"/>
      </tp>
      <tp t="s">
        <v>Financial</v>
        <stp/>
        <stp>##V3_BDPV12</stp>
        <stp>BNS CN Equity</stp>
        <stp>INDUSTRY_SECTOR</stp>
        <stp>[SCREENER.xlsm]Output!R3C24</stp>
        <tr r="X3" s="3"/>
      </tp>
      <tp t="s">
        <v>LV</v>
        <stp/>
        <stp>##V3_BDPV12</stp>
        <stp>SAF1R LG Equity</stp>
        <stp>CNTRY_OF_DOMICILE</stp>
        <stp>[SCREENER.xlsm]Imput!R21C3</stp>
        <tr r="C21" s="2"/>
      </tp>
      <tp t="s">
        <v>AT</v>
        <stp/>
        <stp>##V3_BDPV12</stp>
        <stp>RBI AV Equity</stp>
        <stp>CNTRY_OF_DOMICILE</stp>
        <stp>[SCREENER.xlsm]Imput!R11C3</stp>
        <tr r="C11" s="2"/>
      </tp>
      <tp t="s">
        <v>FR</v>
        <stp/>
        <stp>##V3_BDPV12</stp>
        <stp>alums fp equity</stp>
        <stp>CNTRY_OF_DOMICILE</stp>
        <stp>[SCREENER.xlsm]Imput!R16C3</stp>
        <tr r="C16" s="2"/>
      </tp>
      <tp t="s">
        <v>GR</v>
        <stp/>
        <stp>##V3_BDPV12</stp>
        <stp>HTO GA Equity</stp>
        <stp>CNTRY_OF_DOMICILE</stp>
        <stp>[SCREENER.xlsm]Imput!R18C3</stp>
        <tr r="C18" s="2"/>
      </tp>
      <tp t="s">
        <v>ES</v>
        <stp/>
        <stp>##V3_BDPV12</stp>
        <stp>TEF SM EQUity</stp>
        <stp>CNTRY_OF_DOMICILE</stp>
        <stp>[SCREENER.xlsm]Imput!R29C3</stp>
        <tr r="C29" s="2"/>
      </tp>
      <tp t="s">
        <v>IE</v>
        <stp/>
        <stp>##V3_BDPV12</stp>
        <stp>GRN ID Equity</stp>
        <stp>CNTRY_OF_DOMICILE</stp>
        <stp>[SCREENER.xlsm]Imput!R19C3</stp>
        <tr r="C19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Z3800"/>
  <sheetViews>
    <sheetView tabSelected="1" zoomScale="115" zoomScaleNormal="115" workbookViewId="0">
      <selection activeCell="E3" sqref="E3"/>
    </sheetView>
  </sheetViews>
  <sheetFormatPr baseColWidth="10" defaultColWidth="9.140625" defaultRowHeight="15" x14ac:dyDescent="0.25"/>
  <cols>
    <col min="1" max="1" width="13.28515625" customWidth="1"/>
    <col min="2" max="2" width="19.85546875" customWidth="1"/>
    <col min="3" max="3" width="11.42578125" style="29" customWidth="1"/>
    <col min="4" max="4" width="11.7109375" style="29" customWidth="1"/>
    <col min="5" max="6" width="24.140625" style="29" customWidth="1"/>
    <col min="7" max="7" width="17.85546875" style="30" bestFit="1" customWidth="1"/>
    <col min="8" max="9" width="18.85546875" style="31" bestFit="1" customWidth="1"/>
    <col min="10" max="10" width="16.5703125" style="29" customWidth="1"/>
    <col min="11" max="11" width="19.5703125" style="32" customWidth="1"/>
    <col min="12" max="12" width="16" style="29" customWidth="1"/>
    <col min="13" max="13" width="19.140625" style="33" customWidth="1"/>
    <col min="14" max="14" width="18.85546875" style="32" customWidth="1"/>
    <col min="15" max="15" width="25.5703125" style="34" customWidth="1"/>
    <col min="16" max="16" width="30.28515625" style="34" customWidth="1"/>
    <col min="17" max="17" width="25.5703125" style="34" customWidth="1"/>
    <col min="18" max="18" width="29.28515625" style="32" bestFit="1" customWidth="1"/>
    <col min="19" max="19" width="26.7109375" style="32" bestFit="1" customWidth="1"/>
    <col min="20" max="22" width="25.5703125" style="32" customWidth="1"/>
    <col min="23" max="23" width="22" bestFit="1" customWidth="1"/>
    <col min="24" max="24" width="25.42578125" bestFit="1" customWidth="1"/>
    <col min="25" max="25" width="26.7109375" bestFit="1" customWidth="1"/>
    <col min="26" max="26" width="14.7109375" bestFit="1" customWidth="1"/>
  </cols>
  <sheetData>
    <row r="2" spans="2:26" x14ac:dyDescent="0.25">
      <c r="B2" t="s">
        <v>52</v>
      </c>
      <c r="C2" s="8" t="s">
        <v>26</v>
      </c>
    </row>
    <row r="3" spans="2:26" x14ac:dyDescent="0.25">
      <c r="B3" s="56" t="s">
        <v>141</v>
      </c>
      <c r="C3" s="29" t="str">
        <f>_xll.BDP(B3&amp;" Equity",C2)</f>
        <v>IL</v>
      </c>
      <c r="E3" s="29" t="s">
        <v>56</v>
      </c>
    </row>
    <row r="4" spans="2:26" ht="15.75" thickBot="1" x14ac:dyDescent="0.3"/>
    <row r="5" spans="2:26" x14ac:dyDescent="0.25">
      <c r="B5" t="s">
        <v>50</v>
      </c>
      <c r="C5" s="54" t="s">
        <v>53</v>
      </c>
      <c r="E5" s="29" t="s">
        <v>57</v>
      </c>
    </row>
    <row r="6" spans="2:26" ht="15.75" thickBot="1" x14ac:dyDescent="0.3">
      <c r="B6" t="s">
        <v>51</v>
      </c>
      <c r="C6" s="55" t="s">
        <v>197</v>
      </c>
      <c r="E6" s="29" t="s">
        <v>142</v>
      </c>
    </row>
    <row r="8" spans="2:26" s="8" customFormat="1" x14ac:dyDescent="0.25">
      <c r="B8" s="1" t="s">
        <v>0</v>
      </c>
      <c r="C8" s="2"/>
      <c r="D8" s="2"/>
      <c r="E8" s="2"/>
      <c r="F8" s="2"/>
      <c r="G8" s="3"/>
      <c r="H8" s="4"/>
      <c r="I8" s="4"/>
      <c r="J8" s="2"/>
      <c r="K8" s="5"/>
      <c r="L8" s="2"/>
      <c r="M8" s="6"/>
      <c r="N8" s="5"/>
      <c r="O8" s="7"/>
      <c r="P8" s="7"/>
      <c r="Q8" s="7"/>
      <c r="R8" s="5"/>
      <c r="S8" s="5"/>
      <c r="T8" s="5"/>
      <c r="U8" s="5"/>
      <c r="V8" s="5"/>
    </row>
    <row r="9" spans="2:26" s="8" customFormat="1" x14ac:dyDescent="0.25">
      <c r="B9" s="1" t="s">
        <v>1</v>
      </c>
      <c r="C9" s="2"/>
      <c r="D9" s="2"/>
      <c r="E9" s="2"/>
      <c r="F9" s="2"/>
      <c r="G9" s="3"/>
      <c r="H9" s="4"/>
      <c r="I9" s="4"/>
      <c r="J9" s="2"/>
      <c r="K9" s="5"/>
      <c r="L9" s="2"/>
      <c r="M9" s="6"/>
      <c r="N9" s="5"/>
      <c r="O9" s="7"/>
      <c r="P9" s="7"/>
      <c r="Q9" s="7"/>
      <c r="R9" s="5"/>
      <c r="S9" s="5"/>
      <c r="T9" s="5"/>
      <c r="U9" s="5"/>
      <c r="V9" s="5"/>
    </row>
    <row r="10" spans="2:26" s="8" customFormat="1" x14ac:dyDescent="0.25">
      <c r="B10" s="57" t="str">
        <f>Imput!C49</f>
        <v>FOR(filter(equitiesuniv(['active','primary']),(CNTRY_OF_DOMICILE=='ES') AND CUR_MKT_CAP &gt;0.25B))with(mode=cached)</v>
      </c>
      <c r="C10" s="2"/>
      <c r="D10" s="2"/>
      <c r="E10" s="9"/>
      <c r="F10"/>
      <c r="G10" s="10"/>
      <c r="H10"/>
      <c r="I10" s="11"/>
      <c r="J10" s="2"/>
      <c r="K10" s="5"/>
      <c r="L10" s="2"/>
      <c r="M10" s="6"/>
      <c r="N10" s="5"/>
      <c r="O10" s="7"/>
      <c r="P10" s="7"/>
      <c r="Q10" s="7"/>
      <c r="R10" s="5"/>
      <c r="S10" s="5"/>
      <c r="T10" s="5"/>
      <c r="U10" s="5"/>
      <c r="V10" s="5"/>
    </row>
    <row r="11" spans="2:26" s="8" customFormat="1" x14ac:dyDescent="0.25">
      <c r="B11" s="1"/>
      <c r="C11" s="2"/>
      <c r="D11" s="2"/>
      <c r="E11" s="9"/>
      <c r="F11"/>
      <c r="G11" s="10"/>
      <c r="H11"/>
      <c r="I11" s="11"/>
      <c r="J11" s="2"/>
      <c r="K11" s="5"/>
      <c r="L11" s="2"/>
      <c r="M11" s="6"/>
      <c r="N11" s="5"/>
      <c r="O11" s="7"/>
      <c r="P11" s="7"/>
      <c r="Q11" s="7"/>
      <c r="R11" s="5"/>
      <c r="S11" s="5"/>
      <c r="T11" s="5"/>
      <c r="U11" s="5"/>
      <c r="V11" s="5"/>
    </row>
    <row r="12" spans="2:26" s="12" customFormat="1" x14ac:dyDescent="0.25">
      <c r="C12" s="13" t="s">
        <v>2</v>
      </c>
      <c r="D12" s="13" t="s">
        <v>3</v>
      </c>
      <c r="E12" s="13" t="s">
        <v>4</v>
      </c>
      <c r="F12" s="13" t="s">
        <v>5</v>
      </c>
      <c r="G12" s="14" t="s">
        <v>6</v>
      </c>
      <c r="H12" s="15" t="s">
        <v>7</v>
      </c>
      <c r="I12" s="15" t="s">
        <v>8</v>
      </c>
      <c r="J12" s="13" t="s">
        <v>9</v>
      </c>
      <c r="K12" s="16" t="s">
        <v>10</v>
      </c>
      <c r="L12" s="16" t="s">
        <v>11</v>
      </c>
      <c r="M12" s="17" t="s">
        <v>12</v>
      </c>
      <c r="N12" s="18" t="s">
        <v>13</v>
      </c>
      <c r="O12" s="19" t="s">
        <v>14</v>
      </c>
      <c r="P12" s="19" t="s">
        <v>15</v>
      </c>
      <c r="Q12" s="19" t="s">
        <v>16</v>
      </c>
      <c r="R12" s="16" t="s">
        <v>17</v>
      </c>
      <c r="S12" s="16" t="s">
        <v>18</v>
      </c>
      <c r="T12" s="16" t="s">
        <v>19</v>
      </c>
      <c r="U12" s="16" t="s">
        <v>20</v>
      </c>
      <c r="V12" s="16" t="s">
        <v>21</v>
      </c>
      <c r="W12" s="12" t="s">
        <v>22</v>
      </c>
      <c r="X12" s="12" t="s">
        <v>23</v>
      </c>
      <c r="Y12" s="12" t="s">
        <v>24</v>
      </c>
      <c r="Z12" s="12" t="s">
        <v>25</v>
      </c>
    </row>
    <row r="13" spans="2:26" s="25" customFormat="1" x14ac:dyDescent="0.25">
      <c r="B13" s="35" t="s">
        <v>198</v>
      </c>
      <c r="C13" s="20" t="s">
        <v>59</v>
      </c>
      <c r="D13" s="20" t="s">
        <v>60</v>
      </c>
      <c r="E13" s="20" t="s">
        <v>61</v>
      </c>
      <c r="F13" s="20" t="s">
        <v>62</v>
      </c>
      <c r="G13" s="21" t="s">
        <v>63</v>
      </c>
      <c r="H13" s="22" t="s">
        <v>64</v>
      </c>
      <c r="I13" s="22" t="s">
        <v>65</v>
      </c>
      <c r="J13" s="20" t="s">
        <v>66</v>
      </c>
      <c r="K13" s="23" t="s">
        <v>67</v>
      </c>
      <c r="L13" s="20" t="s">
        <v>68</v>
      </c>
      <c r="M13" s="24" t="s">
        <v>69</v>
      </c>
      <c r="N13" s="23" t="s">
        <v>70</v>
      </c>
      <c r="O13" s="25" t="s">
        <v>71</v>
      </c>
      <c r="P13" s="25" t="s">
        <v>72</v>
      </c>
      <c r="Q13" s="25" t="s">
        <v>73</v>
      </c>
      <c r="R13" s="23" t="s">
        <v>74</v>
      </c>
      <c r="S13" s="23" t="s">
        <v>75</v>
      </c>
      <c r="T13" s="23" t="s">
        <v>76</v>
      </c>
      <c r="U13" s="23" t="s">
        <v>77</v>
      </c>
      <c r="V13" s="23" t="s">
        <v>78</v>
      </c>
    </row>
    <row r="14" spans="2:26" s="1" customFormat="1" x14ac:dyDescent="0.25">
      <c r="B14" s="1" t="s">
        <v>79</v>
      </c>
      <c r="C14" s="9">
        <v>7.2302152064269265E-2</v>
      </c>
      <c r="D14" s="9">
        <v>7.8033487078127128E-2</v>
      </c>
      <c r="E14" s="9">
        <v>6.7467648115441856E-2</v>
      </c>
      <c r="F14" s="9">
        <v>7.4389122212652578E-2</v>
      </c>
      <c r="G14" s="10">
        <v>2.1930384712282551</v>
      </c>
      <c r="H14" s="11">
        <v>11.988081037448387</v>
      </c>
      <c r="I14" s="11">
        <v>13.43669214472459</v>
      </c>
      <c r="J14" s="9" t="e">
        <v>#N/A</v>
      </c>
      <c r="K14" s="26">
        <v>2.54144990079778</v>
      </c>
      <c r="L14" s="9">
        <v>0.41503154678958259</v>
      </c>
      <c r="M14" s="27" t="e">
        <v>#N/A</v>
      </c>
      <c r="N14" s="26">
        <v>2.2111984769797157</v>
      </c>
      <c r="O14" s="1">
        <v>29025999232</v>
      </c>
      <c r="P14" s="1">
        <v>30447999232</v>
      </c>
      <c r="Q14" s="1">
        <v>17604767744</v>
      </c>
      <c r="R14" s="26">
        <v>9.5243731557405482</v>
      </c>
      <c r="S14" s="26">
        <v>32.689009295238094</v>
      </c>
      <c r="T14" s="26">
        <v>10.582360568971104</v>
      </c>
      <c r="U14" s="26">
        <v>9.6156399730270543</v>
      </c>
      <c r="V14" s="26">
        <v>0.95943836890633638</v>
      </c>
      <c r="W14"/>
      <c r="X14"/>
      <c r="Y14"/>
      <c r="Z14"/>
    </row>
    <row r="15" spans="2:26" s="1" customFormat="1" x14ac:dyDescent="0.25">
      <c r="B15" s="28" t="s">
        <v>80</v>
      </c>
      <c r="C15" s="9">
        <v>0.11963370062044773</v>
      </c>
      <c r="D15" s="9">
        <v>0.109562835967388</v>
      </c>
      <c r="E15" s="9">
        <v>9.4765776960802975E-2</v>
      </c>
      <c r="F15" s="9">
        <v>9.1686176263388972E-2</v>
      </c>
      <c r="G15" s="10">
        <v>16.639320550719138</v>
      </c>
      <c r="H15" s="11">
        <v>15.248379554981108</v>
      </c>
      <c r="I15" s="11">
        <v>17.128500416840264</v>
      </c>
      <c r="J15" s="9" t="e">
        <v>#N/A</v>
      </c>
      <c r="K15" s="26">
        <v>2.7270537640588337</v>
      </c>
      <c r="L15" s="9">
        <v>0.27457581399442743</v>
      </c>
      <c r="M15" s="27" t="e">
        <v>#N/A</v>
      </c>
      <c r="N15" s="26">
        <v>1.0549844505333625</v>
      </c>
      <c r="O15" s="1">
        <v>5164798912</v>
      </c>
      <c r="P15" s="1">
        <v>6171813888</v>
      </c>
      <c r="Q15" s="1">
        <v>4727930880</v>
      </c>
      <c r="R15" s="26">
        <v>7.235553288012885</v>
      </c>
      <c r="S15" s="26">
        <v>11.926205886673069</v>
      </c>
      <c r="T15" s="26">
        <v>3.0091174260144853</v>
      </c>
      <c r="U15" s="26">
        <v>11.201603386924013</v>
      </c>
      <c r="V15" s="26">
        <v>1.7191042561529348</v>
      </c>
      <c r="W15"/>
      <c r="X15"/>
      <c r="Y15"/>
      <c r="Z15"/>
    </row>
    <row r="16" spans="2:26" x14ac:dyDescent="0.25">
      <c r="B16" t="s">
        <v>166</v>
      </c>
      <c r="C16" s="29">
        <v>5.5146845366102225E-2</v>
      </c>
      <c r="D16" s="29">
        <v>0.12492594007236069</v>
      </c>
      <c r="E16" s="29">
        <v>5.5146845366102225E-2</v>
      </c>
      <c r="F16" s="29">
        <v>0.12492594007236069</v>
      </c>
      <c r="G16" s="30">
        <v>18.618763784523352</v>
      </c>
      <c r="H16" s="31">
        <v>22.168322400171732</v>
      </c>
      <c r="I16" s="31">
        <v>51.31089560752995</v>
      </c>
      <c r="J16" s="29" t="e">
        <v>#N/A</v>
      </c>
      <c r="K16" s="32">
        <v>7.2737318277564835</v>
      </c>
      <c r="L16" s="29">
        <v>0.29036228103704864</v>
      </c>
      <c r="M16" s="33" t="e">
        <v>#N/A</v>
      </c>
      <c r="N16" s="32">
        <v>14.123229086461402</v>
      </c>
      <c r="O16">
        <v>332501000</v>
      </c>
      <c r="P16">
        <v>332501000</v>
      </c>
      <c r="Q16">
        <v>286552672</v>
      </c>
      <c r="R16" s="32">
        <v>17.280868538278256</v>
      </c>
      <c r="S16" s="32">
        <v>19.948842860559676</v>
      </c>
      <c r="T16" s="32">
        <v>5.8020746705862161</v>
      </c>
      <c r="U16" s="32">
        <v>6.4737450658240032</v>
      </c>
      <c r="V16" s="32">
        <v>1.1294349003206137</v>
      </c>
    </row>
    <row r="17" spans="2:22" x14ac:dyDescent="0.25">
      <c r="B17" t="s">
        <v>81</v>
      </c>
      <c r="C17" s="29">
        <v>9.9413326670023228E-2</v>
      </c>
      <c r="D17" s="29">
        <v>-5.4921877746093889E-2</v>
      </c>
      <c r="E17" s="29">
        <v>6.5668603241148496E-2</v>
      </c>
      <c r="F17" s="29">
        <v>-4.4155519644465333E-2</v>
      </c>
      <c r="G17" s="30">
        <v>-6.9571454186838801</v>
      </c>
      <c r="H17" s="31">
        <v>13.280093340891302</v>
      </c>
      <c r="I17" s="31">
        <v>12.023114048683203</v>
      </c>
      <c r="J17" s="29">
        <v>0.73183631783582404</v>
      </c>
      <c r="K17" s="32">
        <v>4.8685885436166227</v>
      </c>
      <c r="L17" s="29">
        <v>0.13117888498161936</v>
      </c>
      <c r="M17" s="33">
        <v>3.0194784614454549E-2</v>
      </c>
      <c r="N17" s="32">
        <v>15.884667948838654</v>
      </c>
      <c r="O17">
        <v>1279999936</v>
      </c>
      <c r="P17">
        <v>1592099936</v>
      </c>
      <c r="Q17">
        <v>6806179840</v>
      </c>
      <c r="R17" s="32">
        <v>10.471339872706851</v>
      </c>
      <c r="S17" s="32">
        <v>109.68215215686274</v>
      </c>
      <c r="T17" s="32">
        <v>8.1163007219788508</v>
      </c>
      <c r="U17" s="32" t="e">
        <v>#N/A</v>
      </c>
      <c r="V17" s="32">
        <v>5.7797109334340799</v>
      </c>
    </row>
    <row r="18" spans="2:22" x14ac:dyDescent="0.25">
      <c r="B18" t="s">
        <v>167</v>
      </c>
      <c r="C18" s="29">
        <v>-8.555246578136444E-2</v>
      </c>
      <c r="D18" s="29">
        <v>-5.7268468017008085E-2</v>
      </c>
      <c r="E18" s="29">
        <v>-9.0953247776396087E-2</v>
      </c>
      <c r="F18" s="29">
        <v>-5.9112519492116926E-2</v>
      </c>
      <c r="G18" s="30">
        <v>19.290879112207563</v>
      </c>
      <c r="H18" s="31">
        <v>19.606517948277236</v>
      </c>
      <c r="I18" s="31">
        <v>20.095752643448314</v>
      </c>
      <c r="J18" s="29">
        <v>-0.33685402309719692</v>
      </c>
      <c r="K18" s="32">
        <v>-15.063525529379412</v>
      </c>
      <c r="L18" s="29">
        <v>6.7656794742581697E-2</v>
      </c>
      <c r="M18" s="33" t="e">
        <v>#N/A</v>
      </c>
      <c r="N18" s="32">
        <v>7.6354579121993496</v>
      </c>
      <c r="O18">
        <v>-490165024</v>
      </c>
      <c r="P18">
        <v>-474874024</v>
      </c>
      <c r="Q18">
        <v>387399296</v>
      </c>
      <c r="R18" s="32" t="e">
        <v>#N/A</v>
      </c>
      <c r="S18" s="32" t="e">
        <v>#N/A</v>
      </c>
      <c r="T18" s="32">
        <v>41.381076748265436</v>
      </c>
      <c r="U18" s="32">
        <v>16.953672833477555</v>
      </c>
      <c r="V18" s="32">
        <v>2.9550283703219611</v>
      </c>
    </row>
    <row r="19" spans="2:22" x14ac:dyDescent="0.25">
      <c r="B19" t="s">
        <v>82</v>
      </c>
      <c r="C19" s="29">
        <v>0.32704910292275752</v>
      </c>
      <c r="D19" s="29">
        <v>0.20538690620850827</v>
      </c>
      <c r="E19" s="29">
        <v>0.21278488372868948</v>
      </c>
      <c r="F19" s="29">
        <v>0.14347224733798364</v>
      </c>
      <c r="G19" s="30">
        <v>9.2944733156946953</v>
      </c>
      <c r="H19" s="31" t="e">
        <v>#N/A</v>
      </c>
      <c r="I19" s="31" t="e">
        <v>#N/A</v>
      </c>
      <c r="J19" s="29">
        <v>-8.0817228259025167E-2</v>
      </c>
      <c r="K19" s="32" t="e">
        <v>#N/A</v>
      </c>
      <c r="L19" s="29">
        <v>0.23130126402652221</v>
      </c>
      <c r="M19" s="33" t="e">
        <v>#N/A</v>
      </c>
      <c r="N19" s="32">
        <v>0.52581898854086562</v>
      </c>
      <c r="O19">
        <v>1858376072</v>
      </c>
      <c r="P19">
        <v>2660348040</v>
      </c>
      <c r="Q19">
        <v>3636000000</v>
      </c>
      <c r="R19" s="32" t="e">
        <v>#N/A</v>
      </c>
      <c r="S19" s="32">
        <v>5.5431363581209103</v>
      </c>
      <c r="T19" s="32">
        <v>6.3093236523652365</v>
      </c>
      <c r="U19" s="32">
        <v>10.554618940236388</v>
      </c>
      <c r="V19" s="32">
        <v>0.93486854257232099</v>
      </c>
    </row>
    <row r="20" spans="2:22" x14ac:dyDescent="0.25">
      <c r="B20" t="s">
        <v>168</v>
      </c>
      <c r="C20" s="29">
        <v>0.12031936694303466</v>
      </c>
      <c r="D20" s="29">
        <v>0.10082821565244568</v>
      </c>
      <c r="E20" s="29">
        <v>0.12031936694303466</v>
      </c>
      <c r="F20" s="29">
        <v>0.10082821565244568</v>
      </c>
      <c r="G20" s="30">
        <v>7.4183412895513943</v>
      </c>
      <c r="H20" s="31">
        <v>32.038266782976223</v>
      </c>
      <c r="I20" s="31">
        <v>30.108627532901608</v>
      </c>
      <c r="J20" s="29" t="e">
        <v>#N/A</v>
      </c>
      <c r="K20" s="32">
        <v>-3.7206839832773628</v>
      </c>
      <c r="L20" s="29">
        <v>0.86143634767000576</v>
      </c>
      <c r="M20" s="33" t="e">
        <v>#N/A</v>
      </c>
      <c r="N20" s="32">
        <v>0.23515936790991754</v>
      </c>
      <c r="O20">
        <v>216248992</v>
      </c>
      <c r="P20">
        <v>216248992</v>
      </c>
      <c r="Q20">
        <v>457649984</v>
      </c>
      <c r="R20" s="32">
        <v>11.961928037831539</v>
      </c>
      <c r="S20" s="32">
        <v>15.575271461716937</v>
      </c>
      <c r="T20" s="32">
        <v>4.2984815225078208</v>
      </c>
      <c r="U20" s="32">
        <v>19.947042542837377</v>
      </c>
      <c r="V20" s="32">
        <v>1.4577579846727668</v>
      </c>
    </row>
    <row r="21" spans="2:22" x14ac:dyDescent="0.25">
      <c r="B21" t="s">
        <v>83</v>
      </c>
      <c r="C21" s="29">
        <v>6.483814350685424E-2</v>
      </c>
      <c r="D21" s="29">
        <v>7.543993523225076E-2</v>
      </c>
      <c r="E21" s="29">
        <v>6.3312536615014833E-2</v>
      </c>
      <c r="F21" s="29">
        <v>7.428208447281763E-2</v>
      </c>
      <c r="G21" s="30">
        <v>0.88811120224917794</v>
      </c>
      <c r="H21" s="31">
        <v>13.603703026984082</v>
      </c>
      <c r="I21" s="31">
        <v>14.188551933257184</v>
      </c>
      <c r="J21" s="29">
        <v>0.39743444725427451</v>
      </c>
      <c r="K21" s="32">
        <v>8.2220794734129932</v>
      </c>
      <c r="L21" s="29">
        <v>7.4626799315054018E-2</v>
      </c>
      <c r="M21" s="33">
        <v>4.8193067167319144E-2</v>
      </c>
      <c r="N21" s="32">
        <v>9.1234670365709345</v>
      </c>
      <c r="O21">
        <v>6194371808</v>
      </c>
      <c r="P21">
        <v>6290924808</v>
      </c>
      <c r="Q21">
        <v>1463184000</v>
      </c>
      <c r="R21" s="32">
        <v>11.00291838928762</v>
      </c>
      <c r="S21" s="32">
        <v>14.22434212286224</v>
      </c>
      <c r="T21" s="32">
        <v>9.9783075812748088</v>
      </c>
      <c r="U21" s="32">
        <v>3.8597495510926403</v>
      </c>
      <c r="V21" s="32">
        <v>2.4991295949078842</v>
      </c>
    </row>
    <row r="22" spans="2:22" x14ac:dyDescent="0.25">
      <c r="B22" t="s">
        <v>84</v>
      </c>
      <c r="C22" s="29">
        <v>7.9487058525543539E-2</v>
      </c>
      <c r="D22" s="29">
        <v>5.2603769274893096E-2</v>
      </c>
      <c r="E22" s="29">
        <v>7.7868657857769377E-2</v>
      </c>
      <c r="F22" s="29">
        <v>5.1182400952326769E-2</v>
      </c>
      <c r="G22" s="30">
        <v>15.155081945595143</v>
      </c>
      <c r="H22" s="31">
        <v>19.978017298092567</v>
      </c>
      <c r="I22" s="31">
        <v>15.303787970777121</v>
      </c>
      <c r="J22" s="29">
        <v>0.31454285396630755</v>
      </c>
      <c r="K22" s="32">
        <v>4.2132027873170053</v>
      </c>
      <c r="L22" s="29">
        <v>0.20693456127763707</v>
      </c>
      <c r="M22" s="33" t="e">
        <v>#N/A</v>
      </c>
      <c r="N22" s="32">
        <v>3.4318446258948021</v>
      </c>
      <c r="O22">
        <v>8298150304</v>
      </c>
      <c r="P22">
        <v>8528595296</v>
      </c>
      <c r="Q22">
        <v>8135241728</v>
      </c>
      <c r="R22" s="32">
        <v>10.406849830539707</v>
      </c>
      <c r="S22" s="32">
        <v>19.512063395316549</v>
      </c>
      <c r="T22" s="32">
        <v>-0.20863537393833173</v>
      </c>
      <c r="U22" s="32">
        <v>21.434126584186156</v>
      </c>
      <c r="V22" s="32">
        <v>2.3810267902196909</v>
      </c>
    </row>
    <row r="23" spans="2:22" x14ac:dyDescent="0.25">
      <c r="B23" t="s">
        <v>85</v>
      </c>
      <c r="C23" s="29">
        <v>3.7734850417606908E-2</v>
      </c>
      <c r="D23" s="29">
        <v>1.0899043403343439E-2</v>
      </c>
      <c r="E23" s="29">
        <v>3.7613776261630351E-2</v>
      </c>
      <c r="F23" s="29">
        <v>1.068418966334325E-2</v>
      </c>
      <c r="G23" s="30">
        <v>9.2317722873416468</v>
      </c>
      <c r="H23" s="31">
        <v>48.033891505443805</v>
      </c>
      <c r="I23" s="31">
        <v>30.327144120247567</v>
      </c>
      <c r="J23" s="29">
        <v>2.8832291744979137E-2</v>
      </c>
      <c r="K23" s="32">
        <v>0.93819806403574091</v>
      </c>
      <c r="L23" s="29">
        <v>0.91989690278435987</v>
      </c>
      <c r="M23" s="33" t="e">
        <v>#N/A</v>
      </c>
      <c r="N23" s="32">
        <v>54.273633587340008</v>
      </c>
      <c r="O23">
        <v>3908599904</v>
      </c>
      <c r="P23">
        <v>3987199904</v>
      </c>
      <c r="Q23">
        <v>2882880000</v>
      </c>
      <c r="R23" s="32">
        <v>23.606701414743114</v>
      </c>
      <c r="S23" s="32">
        <v>30.10807217473884</v>
      </c>
      <c r="T23" s="32">
        <v>18.027111777111777</v>
      </c>
      <c r="U23" s="32">
        <v>8.3246490295268458</v>
      </c>
      <c r="V23" s="32">
        <v>0.73169167502143662</v>
      </c>
    </row>
    <row r="24" spans="2:22" x14ac:dyDescent="0.25">
      <c r="B24" t="s">
        <v>86</v>
      </c>
      <c r="C24" s="29">
        <v>0.36142788324450237</v>
      </c>
      <c r="D24" s="29">
        <v>0.31665194956410719</v>
      </c>
      <c r="E24" s="29">
        <v>0.1467511177256407</v>
      </c>
      <c r="F24" s="29">
        <v>0.10765827829816167</v>
      </c>
      <c r="G24" s="30">
        <v>36.057454904946141</v>
      </c>
      <c r="H24" s="31">
        <v>16.126753368792471</v>
      </c>
      <c r="I24" s="31">
        <v>14.960447139907824</v>
      </c>
      <c r="J24" s="29">
        <v>0.46641321138024611</v>
      </c>
      <c r="K24" s="32">
        <v>2.7427075070057327</v>
      </c>
      <c r="L24" s="29">
        <v>0.23101131032873623</v>
      </c>
      <c r="M24" s="33" t="e">
        <v>#N/A</v>
      </c>
      <c r="N24" s="32">
        <v>5.2203530210333025</v>
      </c>
      <c r="O24">
        <v>895611072</v>
      </c>
      <c r="P24">
        <v>2634233024</v>
      </c>
      <c r="Q24">
        <v>2698551040</v>
      </c>
      <c r="R24" s="32">
        <v>8.0102918916009997</v>
      </c>
      <c r="S24" s="32">
        <v>11.232268892073728</v>
      </c>
      <c r="T24" s="32">
        <v>14.342400875990101</v>
      </c>
      <c r="U24" s="32">
        <v>10.260555851880795</v>
      </c>
      <c r="V24" s="32">
        <v>3.2745061270231748</v>
      </c>
    </row>
    <row r="25" spans="2:22" x14ac:dyDescent="0.25">
      <c r="B25" t="s">
        <v>87</v>
      </c>
      <c r="C25" s="29">
        <v>9.3713770449555103E-2</v>
      </c>
      <c r="D25" s="29">
        <v>9.5072245207105777E-2</v>
      </c>
      <c r="E25" s="29">
        <v>8.1878168394171225E-2</v>
      </c>
      <c r="F25" s="29">
        <v>8.3682008146333794E-2</v>
      </c>
      <c r="G25" s="30">
        <v>-2.2688011223313684</v>
      </c>
      <c r="H25" s="31">
        <v>24.864291695169054</v>
      </c>
      <c r="I25" s="31">
        <v>31.665035295800859</v>
      </c>
      <c r="J25" s="29" t="e">
        <v>#N/A</v>
      </c>
      <c r="K25" s="32">
        <v>4.119889450968337</v>
      </c>
      <c r="L25" s="29">
        <v>0.26969950211993043</v>
      </c>
      <c r="M25" s="33">
        <v>2.6774523739237943E-2</v>
      </c>
      <c r="N25" s="32">
        <v>-7.1817331131708002</v>
      </c>
      <c r="O25">
        <v>21247000064</v>
      </c>
      <c r="P25">
        <v>24139000064</v>
      </c>
      <c r="Q25">
        <v>23280427008</v>
      </c>
      <c r="R25" s="32">
        <v>12.252821208730403</v>
      </c>
      <c r="S25" s="32">
        <v>84.089509265822784</v>
      </c>
      <c r="T25" s="32">
        <v>5.7559081692940053</v>
      </c>
      <c r="U25" s="32">
        <v>24.153761336783777</v>
      </c>
      <c r="V25" s="32">
        <v>3.0006016737940939</v>
      </c>
    </row>
    <row r="26" spans="2:22" x14ac:dyDescent="0.25">
      <c r="B26" t="s">
        <v>88</v>
      </c>
      <c r="C26" s="29">
        <v>6.7922171250641983E-2</v>
      </c>
      <c r="D26" s="29">
        <v>7.5512866324308023E-2</v>
      </c>
      <c r="E26" s="29">
        <v>6.627458701480024E-2</v>
      </c>
      <c r="F26" s="29">
        <v>7.3645401397886667E-2</v>
      </c>
      <c r="G26" s="30">
        <v>14.363822651712987</v>
      </c>
      <c r="H26" s="31">
        <v>17.880926698953516</v>
      </c>
      <c r="I26" s="31">
        <v>21.298044687822788</v>
      </c>
      <c r="J26" s="29">
        <v>3.7176083930029101E-2</v>
      </c>
      <c r="K26" s="32">
        <v>0.32749906167896908</v>
      </c>
      <c r="L26" s="29">
        <v>0.67900690822730814</v>
      </c>
      <c r="M26" s="33" t="e">
        <v>#N/A</v>
      </c>
      <c r="N26" s="32">
        <v>3.1802301188351842</v>
      </c>
      <c r="O26">
        <v>982666976</v>
      </c>
      <c r="P26">
        <v>1007584976</v>
      </c>
      <c r="Q26">
        <v>1190082048</v>
      </c>
      <c r="R26" s="32">
        <v>8.4904419366946069</v>
      </c>
      <c r="S26" s="32">
        <v>12.199959084249414</v>
      </c>
      <c r="T26" s="32">
        <v>12.501154878356758</v>
      </c>
      <c r="U26" s="32">
        <v>10.361841194079547</v>
      </c>
      <c r="V26" s="32">
        <v>1.3861614519791157</v>
      </c>
    </row>
    <row r="27" spans="2:22" x14ac:dyDescent="0.25">
      <c r="B27" t="s">
        <v>89</v>
      </c>
      <c r="C27" s="29">
        <v>0.45339389513212475</v>
      </c>
      <c r="D27" s="29">
        <v>0.59135423573857804</v>
      </c>
      <c r="E27" s="29">
        <v>0.29491689510491093</v>
      </c>
      <c r="F27" s="29">
        <v>0.39769435802012781</v>
      </c>
      <c r="G27" s="30">
        <v>5.0560137757153587</v>
      </c>
      <c r="H27" s="31">
        <v>16.249235620793474</v>
      </c>
      <c r="I27" s="31">
        <v>25.26690768459385</v>
      </c>
      <c r="J27" s="29">
        <v>0.37949187459915956</v>
      </c>
      <c r="K27" s="32">
        <v>3.1812972251709115</v>
      </c>
      <c r="L27" s="29">
        <v>0.21525118674656524</v>
      </c>
      <c r="M27" s="33">
        <v>1.3224373660211928E-2</v>
      </c>
      <c r="N27" s="32">
        <v>-2.2995311319157685</v>
      </c>
      <c r="O27">
        <v>1212987040</v>
      </c>
      <c r="P27">
        <v>1803659040</v>
      </c>
      <c r="Q27">
        <v>1411010048</v>
      </c>
      <c r="R27" s="32">
        <v>7.0877505273876951</v>
      </c>
      <c r="S27" s="32">
        <v>14.06317736043078</v>
      </c>
      <c r="T27" s="32">
        <v>15.108822244191417</v>
      </c>
      <c r="U27" s="32">
        <v>6.6067741792447849</v>
      </c>
      <c r="V27" s="32">
        <v>1.7915708136730912</v>
      </c>
    </row>
    <row r="28" spans="2:22" x14ac:dyDescent="0.25">
      <c r="B28" t="s">
        <v>143</v>
      </c>
      <c r="C28" s="29">
        <v>0.42899605605151897</v>
      </c>
      <c r="D28" s="29">
        <v>0.81881990513031455</v>
      </c>
      <c r="E28" s="29">
        <v>0.13927077100518898</v>
      </c>
      <c r="F28" s="29">
        <v>0.23980766174714083</v>
      </c>
      <c r="G28" s="30">
        <v>15.446125156557263</v>
      </c>
      <c r="H28" s="31">
        <v>18.682564800688748</v>
      </c>
      <c r="I28" s="31">
        <v>6.8670032499529148</v>
      </c>
      <c r="J28" s="29">
        <v>0.10005722385907306</v>
      </c>
      <c r="K28" s="32">
        <v>1.8459116958592299</v>
      </c>
      <c r="L28" s="29">
        <v>0.11247108667142526</v>
      </c>
      <c r="M28" s="33" t="e">
        <v>#N/A</v>
      </c>
      <c r="N28" s="32">
        <v>620.95335026524288</v>
      </c>
      <c r="O28">
        <v>57131000</v>
      </c>
      <c r="P28">
        <v>195073000</v>
      </c>
      <c r="Q28">
        <v>641063744</v>
      </c>
      <c r="R28" s="32">
        <v>12.359459907982888</v>
      </c>
      <c r="S28" s="32">
        <v>18.0669894279781</v>
      </c>
      <c r="T28" s="32">
        <v>-32.940094019729806</v>
      </c>
      <c r="U28" s="32">
        <v>37.329920463262503</v>
      </c>
      <c r="V28" s="32">
        <v>4.8914633125350342</v>
      </c>
    </row>
    <row r="29" spans="2:22" x14ac:dyDescent="0.25">
      <c r="B29" t="s">
        <v>169</v>
      </c>
      <c r="C29" s="29" t="e">
        <v>#N/A</v>
      </c>
      <c r="D29" s="29" t="e">
        <v>#N/A</v>
      </c>
      <c r="E29" s="29" t="e">
        <v>#N/A</v>
      </c>
      <c r="F29" s="29" t="e">
        <v>#N/A</v>
      </c>
      <c r="G29" s="30" t="e">
        <v>#N/A</v>
      </c>
      <c r="H29" s="31" t="e">
        <v>#N/A</v>
      </c>
      <c r="I29" s="31" t="e">
        <v>#N/A</v>
      </c>
      <c r="J29" s="29" t="e">
        <v>#N/A</v>
      </c>
      <c r="K29" s="32" t="e">
        <v>#N/A</v>
      </c>
      <c r="L29" s="29" t="e">
        <v>#N/A</v>
      </c>
      <c r="M29" s="33" t="e">
        <v>#N/A</v>
      </c>
      <c r="N29" s="32">
        <v>5.1708906915325956</v>
      </c>
      <c r="O29" t="e">
        <v>#N/A</v>
      </c>
      <c r="P29" t="e">
        <v>#N/A</v>
      </c>
      <c r="Q29" s="34">
        <v>252288288</v>
      </c>
      <c r="R29" s="32" t="e">
        <v>#N/A</v>
      </c>
      <c r="S29" s="32" t="e">
        <v>#N/A</v>
      </c>
      <c r="T29" s="32" t="e">
        <v>#N/A</v>
      </c>
      <c r="U29" s="32">
        <v>130.06378915184757</v>
      </c>
      <c r="V29" s="32" t="e">
        <v>#N/A</v>
      </c>
    </row>
    <row r="30" spans="2:22" x14ac:dyDescent="0.25">
      <c r="B30" t="s">
        <v>90</v>
      </c>
      <c r="C30" s="29">
        <v>0.11218087095048448</v>
      </c>
      <c r="D30" s="29">
        <v>8.3993420245443234E-2</v>
      </c>
      <c r="E30" s="29">
        <v>8.4115876622802496E-2</v>
      </c>
      <c r="F30" s="29">
        <v>6.7708667037296305E-2</v>
      </c>
      <c r="G30" s="30">
        <v>-0.82392001688801997</v>
      </c>
      <c r="H30" s="31">
        <v>30.427183726004227</v>
      </c>
      <c r="I30" s="31">
        <v>28.910228378191679</v>
      </c>
      <c r="J30" s="29">
        <v>0.14059666432688275</v>
      </c>
      <c r="K30" s="32">
        <v>2.1181926869779422</v>
      </c>
      <c r="L30" s="29">
        <v>0.5760698440085199</v>
      </c>
      <c r="M30" s="33" t="e">
        <v>#N/A</v>
      </c>
      <c r="N30" s="32">
        <v>2.9089844022185778</v>
      </c>
      <c r="O30">
        <v>1313721952</v>
      </c>
      <c r="P30">
        <v>1629687968</v>
      </c>
      <c r="Q30">
        <v>2311929600</v>
      </c>
      <c r="R30" s="32">
        <v>20.668985051393356</v>
      </c>
      <c r="S30" s="32">
        <v>583.31376811594203</v>
      </c>
      <c r="T30" s="32">
        <v>5.3196689034129756</v>
      </c>
      <c r="U30" s="32">
        <v>48.469991054711706</v>
      </c>
      <c r="V30" s="32">
        <v>1.8395295621593937</v>
      </c>
    </row>
    <row r="31" spans="2:22" x14ac:dyDescent="0.25">
      <c r="B31" t="s">
        <v>144</v>
      </c>
      <c r="C31" s="29">
        <v>2.1187056804168804E-2</v>
      </c>
      <c r="D31" s="29">
        <v>2.114018672396455E-2</v>
      </c>
      <c r="E31" s="29">
        <v>2.1187056804168804E-2</v>
      </c>
      <c r="F31" s="29">
        <v>2.114018672396455E-2</v>
      </c>
      <c r="G31" s="30" t="e">
        <v>#N/A</v>
      </c>
      <c r="H31" s="31">
        <v>46.689909848725712</v>
      </c>
      <c r="I31" s="31">
        <v>43.844085082602774</v>
      </c>
      <c r="J31" s="29" t="e">
        <v>#N/A</v>
      </c>
      <c r="K31" s="32" t="e">
        <v>#N/A</v>
      </c>
      <c r="L31" s="29" t="e">
        <v>#N/A</v>
      </c>
      <c r="M31" s="33" t="e">
        <v>#N/A</v>
      </c>
      <c r="N31" s="32">
        <v>11.687235516096143</v>
      </c>
      <c r="O31">
        <v>1767061024</v>
      </c>
      <c r="P31">
        <v>1767061024</v>
      </c>
      <c r="Q31">
        <v>606996608</v>
      </c>
      <c r="R31" s="32" t="e">
        <v>#N/A</v>
      </c>
      <c r="S31" s="32" t="e">
        <v>#N/A</v>
      </c>
      <c r="T31" s="32" t="e">
        <v>#N/A</v>
      </c>
      <c r="U31" s="32">
        <v>23.603702965132786</v>
      </c>
      <c r="V31" s="32" t="e">
        <v>#N/A</v>
      </c>
    </row>
    <row r="32" spans="2:22" x14ac:dyDescent="0.25">
      <c r="B32" t="s">
        <v>91</v>
      </c>
      <c r="C32" s="29">
        <v>7.5915114441054171E-2</v>
      </c>
      <c r="D32" s="29">
        <v>6.8207371919844356E-2</v>
      </c>
      <c r="E32" s="29">
        <v>7.5006915911943334E-2</v>
      </c>
      <c r="F32" s="29">
        <v>6.7991469706889004E-2</v>
      </c>
      <c r="G32" s="30">
        <v>13.865655185103575</v>
      </c>
      <c r="H32" s="31">
        <v>77.171857479380094</v>
      </c>
      <c r="I32" s="31">
        <v>75.582004669350283</v>
      </c>
      <c r="J32" s="29">
        <v>0.45871956453079865</v>
      </c>
      <c r="K32" s="32">
        <v>5.9480143055828361</v>
      </c>
      <c r="L32" s="29">
        <v>0.31931291761918024</v>
      </c>
      <c r="M32" s="33" t="e">
        <v>#N/A</v>
      </c>
      <c r="N32" s="32">
        <v>-3.4589941363266332</v>
      </c>
      <c r="O32">
        <v>7307039840</v>
      </c>
      <c r="P32">
        <v>7330242840</v>
      </c>
      <c r="Q32">
        <v>5175613952</v>
      </c>
      <c r="R32" s="32">
        <v>13.097211215179962</v>
      </c>
      <c r="S32" s="32">
        <v>20.671564578533236</v>
      </c>
      <c r="T32" s="32">
        <v>9.782472431205008</v>
      </c>
      <c r="U32" s="32">
        <v>12.181292309736806</v>
      </c>
      <c r="V32" s="32">
        <v>1.71484351888225</v>
      </c>
    </row>
    <row r="33" spans="2:22" x14ac:dyDescent="0.25">
      <c r="B33" t="s">
        <v>170</v>
      </c>
      <c r="C33" s="29">
        <v>3.9885914233033323E-2</v>
      </c>
      <c r="D33" s="29">
        <v>3.1588329788785244E-2</v>
      </c>
      <c r="E33" s="29">
        <v>3.9885914233033323E-2</v>
      </c>
      <c r="F33" s="29">
        <v>3.1588329788785244E-2</v>
      </c>
      <c r="G33" s="30">
        <v>4.5796407814116264</v>
      </c>
      <c r="H33" s="31">
        <v>84.175787557292807</v>
      </c>
      <c r="I33" s="31">
        <v>75.66695402304596</v>
      </c>
      <c r="J33" s="29" t="e">
        <v>#N/A</v>
      </c>
      <c r="K33" s="32">
        <v>4.7378135846692695</v>
      </c>
      <c r="L33" s="29">
        <v>0.74349886387416864</v>
      </c>
      <c r="M33" s="33">
        <v>1.9119917777384834E-2</v>
      </c>
      <c r="N33" s="32">
        <v>20.125002193810776</v>
      </c>
      <c r="O33">
        <v>306331011</v>
      </c>
      <c r="P33">
        <v>306331011</v>
      </c>
      <c r="Q33">
        <v>325010368</v>
      </c>
      <c r="R33" s="32">
        <v>22.17516521766003</v>
      </c>
      <c r="S33" s="32">
        <v>31.474755871418697</v>
      </c>
      <c r="T33" s="32">
        <v>-3.1789862777546838</v>
      </c>
      <c r="U33" s="32">
        <v>27.08015463018269</v>
      </c>
      <c r="V33" s="32">
        <v>1.093616584032322</v>
      </c>
    </row>
    <row r="34" spans="2:22" x14ac:dyDescent="0.25">
      <c r="B34" t="s">
        <v>145</v>
      </c>
      <c r="C34" s="29">
        <v>0.31197269728140398</v>
      </c>
      <c r="D34" s="29">
        <v>0.13592748443122774</v>
      </c>
      <c r="E34" s="29">
        <v>0.23474015093898556</v>
      </c>
      <c r="F34" s="29">
        <v>9.7999696755655327E-2</v>
      </c>
      <c r="G34" s="30">
        <v>12.784296666309784</v>
      </c>
      <c r="H34" s="31">
        <v>17.799268431977893</v>
      </c>
      <c r="I34" s="31">
        <v>9.3052819643593381</v>
      </c>
      <c r="J34" s="29">
        <v>4.0799987191034157E-2</v>
      </c>
      <c r="K34" s="32">
        <v>0.45083536211414449</v>
      </c>
      <c r="L34" s="29">
        <v>0.3933828358606164</v>
      </c>
      <c r="M34" s="33" t="e">
        <v>#N/A</v>
      </c>
      <c r="N34" s="32">
        <v>-0.5911052995485826</v>
      </c>
      <c r="O34">
        <v>407069992</v>
      </c>
      <c r="P34">
        <v>564613992</v>
      </c>
      <c r="Q34">
        <v>819410048</v>
      </c>
      <c r="R34" s="32">
        <v>8.0741330260737048</v>
      </c>
      <c r="S34" s="32">
        <v>9.758344728448856</v>
      </c>
      <c r="T34" s="32">
        <v>9.7931432737324702</v>
      </c>
      <c r="U34" s="32">
        <v>10.612235970671804</v>
      </c>
      <c r="V34" s="32">
        <v>1.5385272723886243</v>
      </c>
    </row>
    <row r="35" spans="2:22" x14ac:dyDescent="0.25">
      <c r="B35" t="s">
        <v>92</v>
      </c>
      <c r="C35" s="29" t="e">
        <v>#N/A</v>
      </c>
      <c r="D35" s="29" t="e">
        <v>#N/A</v>
      </c>
      <c r="E35" s="29" t="e">
        <v>#N/A</v>
      </c>
      <c r="F35" s="29" t="e">
        <v>#N/A</v>
      </c>
      <c r="G35" s="30">
        <v>6.8029565166302302</v>
      </c>
      <c r="H35" s="31" t="e">
        <v>#N/A</v>
      </c>
      <c r="I35" s="31" t="e">
        <v>#N/A</v>
      </c>
      <c r="J35" s="29">
        <v>0.11754667061650811</v>
      </c>
      <c r="K35" s="32" t="e">
        <v>#N/A</v>
      </c>
      <c r="L35" s="29">
        <v>6.1037103419374898E-2</v>
      </c>
      <c r="M35" s="33" t="e">
        <v>#N/A</v>
      </c>
      <c r="N35" s="32">
        <v>6.2916644196313456</v>
      </c>
      <c r="O35">
        <v>280970005504</v>
      </c>
      <c r="P35">
        <v>293441005568</v>
      </c>
      <c r="Q35">
        <v>56894644224</v>
      </c>
      <c r="R35" s="32" t="e">
        <v>#N/A</v>
      </c>
      <c r="S35" s="32" t="e">
        <v>#N/A</v>
      </c>
      <c r="T35" s="32" t="e">
        <v>#N/A</v>
      </c>
      <c r="U35" s="32">
        <v>9.4422070613216409</v>
      </c>
      <c r="V35" s="32">
        <v>0.67818370291780461</v>
      </c>
    </row>
    <row r="36" spans="2:22" x14ac:dyDescent="0.25">
      <c r="B36" t="s">
        <v>93</v>
      </c>
      <c r="C36" s="29">
        <v>0.45675347855070852</v>
      </c>
      <c r="D36" s="29">
        <v>0.14095827241936995</v>
      </c>
      <c r="E36" s="29">
        <v>0.44518725269323794</v>
      </c>
      <c r="F36" s="29">
        <v>0.13880222543312626</v>
      </c>
      <c r="G36" s="30">
        <v>19.131533943044094</v>
      </c>
      <c r="H36" s="31">
        <v>22.88158960123906</v>
      </c>
      <c r="I36" s="31">
        <v>23.865308413624128</v>
      </c>
      <c r="J36" s="29" t="e">
        <v>#N/A</v>
      </c>
      <c r="K36" s="32">
        <v>-0.3343603152581775</v>
      </c>
      <c r="L36" s="29">
        <v>0.5030213824898111</v>
      </c>
      <c r="M36" s="33">
        <v>1.7264499197092841E-2</v>
      </c>
      <c r="N36" s="32">
        <v>2.405052003884883</v>
      </c>
      <c r="O36">
        <v>12939999680</v>
      </c>
      <c r="P36">
        <v>13140999680</v>
      </c>
      <c r="Q36">
        <v>94683889664</v>
      </c>
      <c r="R36" s="32">
        <v>15.023981279164003</v>
      </c>
      <c r="S36" s="32">
        <v>27.331235889085544</v>
      </c>
      <c r="T36" s="32">
        <v>4.0638065521541096</v>
      </c>
      <c r="U36" s="32">
        <v>37.716567407323282</v>
      </c>
      <c r="V36" s="32">
        <v>7.1231340781373635</v>
      </c>
    </row>
    <row r="37" spans="2:22" x14ac:dyDescent="0.25">
      <c r="B37" t="s">
        <v>171</v>
      </c>
      <c r="C37" s="29">
        <v>-1.4539185011313465</v>
      </c>
      <c r="D37" s="29">
        <v>0.40499309683288837</v>
      </c>
      <c r="E37" s="29">
        <v>-1.6349798375266069</v>
      </c>
      <c r="F37" s="29">
        <v>0.40499309683288837</v>
      </c>
      <c r="G37" s="30">
        <v>-78.516677240392795</v>
      </c>
      <c r="H37" s="31">
        <v>2.6329204020017523</v>
      </c>
      <c r="I37" s="31">
        <v>2.4052793056231101</v>
      </c>
      <c r="J37" s="29" t="e">
        <v>#N/A</v>
      </c>
      <c r="K37" s="32">
        <v>0.5726497357324124</v>
      </c>
      <c r="L37" s="29">
        <v>3.1536739212337052E-2</v>
      </c>
      <c r="M37" s="33" t="e">
        <v>#N/A</v>
      </c>
      <c r="N37" s="32">
        <v>-7.4587557745079449</v>
      </c>
      <c r="O37">
        <v>102381992</v>
      </c>
      <c r="P37">
        <v>102381992</v>
      </c>
      <c r="Q37">
        <v>477910816</v>
      </c>
      <c r="R37" s="32" t="e">
        <v>#N/A</v>
      </c>
      <c r="S37" s="32" t="e">
        <v>#N/A</v>
      </c>
      <c r="T37" s="32">
        <v>-0.82128293995338242</v>
      </c>
      <c r="U37" s="32" t="e">
        <v>#N/A</v>
      </c>
      <c r="V37" s="32">
        <v>4.1423200700232057</v>
      </c>
    </row>
    <row r="38" spans="2:22" x14ac:dyDescent="0.25">
      <c r="B38" t="s">
        <v>94</v>
      </c>
      <c r="C38" s="29">
        <v>0.18723002885205284</v>
      </c>
      <c r="D38" s="29">
        <v>0.10402109042670064</v>
      </c>
      <c r="E38" s="29">
        <v>9.8054232500465938E-2</v>
      </c>
      <c r="F38" s="29">
        <v>6.1860208065543772E-2</v>
      </c>
      <c r="G38" s="30">
        <v>12.666993766355136</v>
      </c>
      <c r="H38" s="31">
        <v>26.966332801285724</v>
      </c>
      <c r="I38" s="31">
        <v>21.261384008570857</v>
      </c>
      <c r="J38" s="29">
        <v>0.7089829115234606</v>
      </c>
      <c r="K38" s="32">
        <v>5.4021460171245526</v>
      </c>
      <c r="L38" s="29">
        <v>0.42787084186400909</v>
      </c>
      <c r="M38" s="33">
        <v>4.4776988274550494E-3</v>
      </c>
      <c r="N38" s="32">
        <v>5.6613739525399955</v>
      </c>
      <c r="O38">
        <v>7823730944</v>
      </c>
      <c r="P38">
        <v>13156002048</v>
      </c>
      <c r="Q38">
        <v>12011814912</v>
      </c>
      <c r="R38" s="32">
        <v>15.672139735862672</v>
      </c>
      <c r="S38" s="32">
        <v>20.784861428977436</v>
      </c>
      <c r="T38" s="32">
        <v>5.5023409271792811</v>
      </c>
      <c r="U38" s="32">
        <v>26.919809288397889</v>
      </c>
      <c r="V38" s="32">
        <v>2.7116029474438696</v>
      </c>
    </row>
    <row r="39" spans="2:22" x14ac:dyDescent="0.25">
      <c r="B39" t="s">
        <v>146</v>
      </c>
      <c r="C39" s="29">
        <v>0.15868069057922818</v>
      </c>
      <c r="D39" s="29">
        <v>-2.1241777228319637E-2</v>
      </c>
      <c r="E39" s="29">
        <v>8.5094203616700698E-2</v>
      </c>
      <c r="F39" s="29">
        <v>-1.3563808611103366E-2</v>
      </c>
      <c r="G39" s="30" t="e">
        <v>#N/A</v>
      </c>
      <c r="H39" s="31">
        <v>5.5098768670857101</v>
      </c>
      <c r="I39" s="31">
        <v>5.9341596405630508</v>
      </c>
      <c r="J39" s="29">
        <v>0.86147612204162072</v>
      </c>
      <c r="K39" s="32">
        <v>10.172184529241562</v>
      </c>
      <c r="L39" s="29">
        <v>-0.26529256779959365</v>
      </c>
      <c r="M39" s="33">
        <v>4.2888283710946294E-2</v>
      </c>
      <c r="N39" s="32">
        <v>-5.4727519560715336</v>
      </c>
      <c r="O39">
        <v>853035968</v>
      </c>
      <c r="P39">
        <v>1335907968</v>
      </c>
      <c r="Q39">
        <v>940661632</v>
      </c>
      <c r="R39" s="32">
        <v>14.656821948084287</v>
      </c>
      <c r="S39" s="32" t="e">
        <v>#N/A</v>
      </c>
      <c r="T39" s="32">
        <v>15.704265484488262</v>
      </c>
      <c r="U39" s="32" t="e">
        <v>#N/A</v>
      </c>
      <c r="V39" s="32" t="e">
        <v>#N/A</v>
      </c>
    </row>
    <row r="40" spans="2:22" x14ac:dyDescent="0.25">
      <c r="B40" t="s">
        <v>95</v>
      </c>
      <c r="C40" s="29">
        <v>0.14199047941401793</v>
      </c>
      <c r="D40" s="29">
        <v>0.13371268075960643</v>
      </c>
      <c r="E40" s="29">
        <v>8.6656920312630975E-2</v>
      </c>
      <c r="F40" s="29">
        <v>8.4865286404282328E-2</v>
      </c>
      <c r="G40" s="30">
        <v>9.2844319744336552</v>
      </c>
      <c r="H40" s="31">
        <v>12.886186961880298</v>
      </c>
      <c r="I40" s="31">
        <v>12.383364548618495</v>
      </c>
      <c r="J40" s="29">
        <v>0.30443087392620988</v>
      </c>
      <c r="K40" s="32">
        <v>3.1289910560362655</v>
      </c>
      <c r="L40" s="29">
        <v>0.48585582942216821</v>
      </c>
      <c r="M40" s="33" t="e">
        <v>#N/A</v>
      </c>
      <c r="N40" s="32">
        <v>2.4043369701082797</v>
      </c>
      <c r="O40">
        <v>1844379984</v>
      </c>
      <c r="P40">
        <v>2905981968</v>
      </c>
      <c r="Q40">
        <v>2554165504</v>
      </c>
      <c r="R40" s="32">
        <v>11.685192779974521</v>
      </c>
      <c r="S40" s="32">
        <v>18.096031442480143</v>
      </c>
      <c r="T40" s="32">
        <v>1.3842485909636653</v>
      </c>
      <c r="U40" s="32">
        <v>16.583781016357001</v>
      </c>
      <c r="V40" s="32">
        <v>1.3036446523414247</v>
      </c>
    </row>
    <row r="41" spans="2:22" x14ac:dyDescent="0.25">
      <c r="B41" t="s">
        <v>172</v>
      </c>
      <c r="C41" s="29" t="e">
        <v>#N/A</v>
      </c>
      <c r="D41" s="29" t="e">
        <v>#N/A</v>
      </c>
      <c r="E41" s="29" t="e">
        <v>#N/A</v>
      </c>
      <c r="F41" s="29" t="e">
        <v>#N/A</v>
      </c>
      <c r="G41" s="30">
        <v>63.297266180288773</v>
      </c>
      <c r="H41" s="31" t="e">
        <v>#N/A</v>
      </c>
      <c r="I41" s="31" t="e">
        <v>#N/A</v>
      </c>
      <c r="J41" s="29">
        <v>0.20571403299279112</v>
      </c>
      <c r="K41" s="32" t="e">
        <v>#N/A</v>
      </c>
      <c r="L41" s="29">
        <v>0.4070070728669784</v>
      </c>
      <c r="M41" s="33" t="e">
        <v>#N/A</v>
      </c>
      <c r="N41" s="32">
        <v>12.929180569607507</v>
      </c>
      <c r="O41" t="e">
        <v>#N/A</v>
      </c>
      <c r="P41" t="e">
        <v>#N/A</v>
      </c>
      <c r="Q41" s="34">
        <v>301690240</v>
      </c>
      <c r="R41" s="32" t="e">
        <v>#N/A</v>
      </c>
      <c r="S41" s="32" t="e">
        <v>#N/A</v>
      </c>
      <c r="T41" s="32" t="e">
        <v>#N/A</v>
      </c>
      <c r="U41" s="32">
        <v>11.531295945326564</v>
      </c>
      <c r="V41" s="32">
        <v>6.051462413438804</v>
      </c>
    </row>
    <row r="42" spans="2:22" x14ac:dyDescent="0.25">
      <c r="B42" t="s">
        <v>96</v>
      </c>
      <c r="C42" s="29">
        <v>0.85708190708027099</v>
      </c>
      <c r="D42" s="29">
        <v>0.81396636829924507</v>
      </c>
      <c r="E42" s="29">
        <v>0.51352132068226219</v>
      </c>
      <c r="F42" s="29">
        <v>0.48076584883053375</v>
      </c>
      <c r="G42" s="30">
        <v>36.309055086983612</v>
      </c>
      <c r="H42" s="31">
        <v>28.088491578638024</v>
      </c>
      <c r="I42" s="31">
        <v>28.585561289730311</v>
      </c>
      <c r="J42" s="29">
        <v>2.0694715161025449E-2</v>
      </c>
      <c r="K42" s="32">
        <v>5.1631754063239096E-2</v>
      </c>
      <c r="L42" s="29">
        <v>0.52721218096419709</v>
      </c>
      <c r="M42" s="33">
        <v>1.2909181949051761E-2</v>
      </c>
      <c r="N42" s="32">
        <v>1.5693302235416484</v>
      </c>
      <c r="O42">
        <v>232415008</v>
      </c>
      <c r="P42">
        <v>393493008</v>
      </c>
      <c r="Q42">
        <v>3250908416</v>
      </c>
      <c r="R42" s="32">
        <v>14.54332896536058</v>
      </c>
      <c r="S42" s="32">
        <v>17.317703550876448</v>
      </c>
      <c r="T42" s="32">
        <v>5.3943691288533673</v>
      </c>
      <c r="U42" s="32">
        <v>23.084750109342206</v>
      </c>
      <c r="V42" s="32">
        <v>8.6110455857931285</v>
      </c>
    </row>
    <row r="43" spans="2:22" x14ac:dyDescent="0.25">
      <c r="B43" t="s">
        <v>97</v>
      </c>
      <c r="C43" s="29">
        <v>6.3671895720207469E-2</v>
      </c>
      <c r="D43" s="29">
        <v>6.5296110023423018E-2</v>
      </c>
      <c r="E43" s="29">
        <v>5.7377192863309071E-2</v>
      </c>
      <c r="F43" s="29">
        <v>5.9916014510287226E-2</v>
      </c>
      <c r="G43" s="30">
        <v>8.9901302674828703</v>
      </c>
      <c r="H43" s="31">
        <v>26.9176940060084</v>
      </c>
      <c r="I43" s="31">
        <v>29.051138025622954</v>
      </c>
      <c r="J43" s="29">
        <v>0.37380521955297297</v>
      </c>
      <c r="K43" s="32">
        <v>4.4714164268118983</v>
      </c>
      <c r="L43" s="29">
        <v>0.3957514442256026</v>
      </c>
      <c r="M43" s="33" t="e">
        <v>#N/A</v>
      </c>
      <c r="N43" s="32">
        <v>3.5292614791747274</v>
      </c>
      <c r="O43" s="34">
        <v>84782998528</v>
      </c>
      <c r="P43" s="34">
        <v>92395998720</v>
      </c>
      <c r="Q43" s="34">
        <v>61063516160</v>
      </c>
      <c r="R43" s="32">
        <v>11.925206707797257</v>
      </c>
      <c r="S43" s="32">
        <v>19.8437525747247</v>
      </c>
      <c r="T43" s="32">
        <v>0.14247465175775426</v>
      </c>
      <c r="U43" s="32">
        <v>18.370279381744457</v>
      </c>
      <c r="V43" s="32">
        <v>1.6556650768663455</v>
      </c>
    </row>
    <row r="44" spans="2:22" x14ac:dyDescent="0.25">
      <c r="B44" t="s">
        <v>147</v>
      </c>
      <c r="C44" s="29">
        <v>0.17650472266189149</v>
      </c>
      <c r="D44" s="29">
        <v>0.20605582400616823</v>
      </c>
      <c r="E44" s="29">
        <v>0.17650472266189149</v>
      </c>
      <c r="F44" s="29">
        <v>0.20605582400616823</v>
      </c>
      <c r="G44" s="30">
        <v>16.976743251809403</v>
      </c>
      <c r="H44" s="31">
        <v>25.794192134996432</v>
      </c>
      <c r="I44" s="31">
        <v>27.697336381736534</v>
      </c>
      <c r="J44" s="29" t="e">
        <v>#N/A</v>
      </c>
      <c r="K44" s="32">
        <v>-0.21400769031162276</v>
      </c>
      <c r="L44" s="29">
        <v>0.70507855700716837</v>
      </c>
      <c r="M44" s="33" t="e">
        <v>#N/A</v>
      </c>
      <c r="N44" s="32">
        <v>5.6944512478167866</v>
      </c>
      <c r="O44">
        <v>282967008</v>
      </c>
      <c r="P44">
        <v>282967008</v>
      </c>
      <c r="Q44">
        <v>505706688</v>
      </c>
      <c r="R44" s="32">
        <v>5.7507806845792739</v>
      </c>
      <c r="S44" s="32">
        <v>7.339606015445062</v>
      </c>
      <c r="T44" s="32">
        <v>13.336386802936646</v>
      </c>
      <c r="U44" s="32">
        <v>10.187295898255353</v>
      </c>
      <c r="V44" s="32">
        <v>1.6438100787652898</v>
      </c>
    </row>
    <row r="45" spans="2:22" x14ac:dyDescent="0.25">
      <c r="B45" t="s">
        <v>98</v>
      </c>
      <c r="C45" s="29" t="e">
        <v>#N/A</v>
      </c>
      <c r="D45" s="29">
        <v>-0.86378226008339787</v>
      </c>
      <c r="E45" s="29" t="e">
        <v>#N/A</v>
      </c>
      <c r="F45" s="29">
        <v>-6.3849691463144995E-2</v>
      </c>
      <c r="G45" s="30">
        <v>-9.8595881821298477</v>
      </c>
      <c r="H45" s="31" t="e">
        <v>#N/A</v>
      </c>
      <c r="I45" s="31">
        <v>5.5939398631630075</v>
      </c>
      <c r="J45" s="29">
        <v>7.3359072202009212E-2</v>
      </c>
      <c r="K45" s="32">
        <v>2.3864435043573304</v>
      </c>
      <c r="L45" s="29">
        <v>0.27462810873522941</v>
      </c>
      <c r="M45" s="33">
        <v>2.1467602898545438E-2</v>
      </c>
      <c r="N45" s="32" t="e">
        <v>#N/A</v>
      </c>
      <c r="O45">
        <v>363184120</v>
      </c>
      <c r="P45">
        <v>4913289208</v>
      </c>
      <c r="Q45">
        <v>14058799104</v>
      </c>
      <c r="R45" s="32">
        <v>39.959697977268661</v>
      </c>
      <c r="S45" s="32" t="e">
        <v>#N/A</v>
      </c>
      <c r="T45" s="32">
        <v>-2.5897872877094352</v>
      </c>
      <c r="U45" s="32" t="e">
        <v>#N/A</v>
      </c>
      <c r="V45" s="32">
        <v>3.0841151968833294</v>
      </c>
    </row>
    <row r="46" spans="2:22" x14ac:dyDescent="0.25">
      <c r="B46" t="s">
        <v>99</v>
      </c>
      <c r="C46" s="29" t="e">
        <v>#N/A</v>
      </c>
      <c r="D46" s="29" t="e">
        <v>#N/A</v>
      </c>
      <c r="E46" s="29" t="e">
        <v>#N/A</v>
      </c>
      <c r="F46" s="29" t="e">
        <v>#N/A</v>
      </c>
      <c r="G46" s="30">
        <v>7.2067911758259369</v>
      </c>
      <c r="H46" s="31" t="e">
        <v>#N/A</v>
      </c>
      <c r="I46" s="31" t="e">
        <v>#N/A</v>
      </c>
      <c r="J46" s="29" t="e">
        <v>#N/A</v>
      </c>
      <c r="K46" s="32" t="e">
        <v>#N/A</v>
      </c>
      <c r="L46" s="29">
        <v>7.7053977789189668E-2</v>
      </c>
      <c r="M46" s="33" t="e">
        <v>#N/A</v>
      </c>
      <c r="N46" s="32">
        <v>-3.9109243755799303</v>
      </c>
      <c r="O46">
        <v>156232001664</v>
      </c>
      <c r="P46">
        <v>157142001664</v>
      </c>
      <c r="Q46">
        <v>37586878464</v>
      </c>
      <c r="R46" s="32" t="e">
        <v>#N/A</v>
      </c>
      <c r="S46" s="32" t="e">
        <v>#N/A</v>
      </c>
      <c r="T46" s="32" t="e">
        <v>#N/A</v>
      </c>
      <c r="U46" s="32">
        <v>9.7706464574454213</v>
      </c>
      <c r="V46" s="32">
        <v>0.86411717482229788</v>
      </c>
    </row>
    <row r="47" spans="2:22" x14ac:dyDescent="0.25">
      <c r="B47" t="s">
        <v>100</v>
      </c>
      <c r="C47" s="29">
        <v>0.12050391931030317</v>
      </c>
      <c r="D47" s="29">
        <v>0.11670019185543193</v>
      </c>
      <c r="E47" s="29">
        <v>0.1130683234014499</v>
      </c>
      <c r="F47" s="29">
        <v>0.10536359309849025</v>
      </c>
      <c r="G47" s="30">
        <v>13.189957842876222</v>
      </c>
      <c r="H47" s="31">
        <v>9.4880071517180777</v>
      </c>
      <c r="I47" s="31">
        <v>7.2970153062217387</v>
      </c>
      <c r="J47" s="29">
        <v>0.10026172057535038</v>
      </c>
      <c r="K47" s="32">
        <v>1.599582665472506</v>
      </c>
      <c r="L47" s="29">
        <v>0.16645598977371279</v>
      </c>
      <c r="M47" s="33" t="e">
        <v>#N/A</v>
      </c>
      <c r="N47" s="32">
        <v>20.169458709705907</v>
      </c>
      <c r="O47">
        <v>960444008</v>
      </c>
      <c r="P47">
        <v>1063783008</v>
      </c>
      <c r="Q47">
        <v>1235821056</v>
      </c>
      <c r="R47" s="32">
        <v>6.4478608186117974</v>
      </c>
      <c r="S47" s="32">
        <v>9.8903634142125743</v>
      </c>
      <c r="T47" s="32">
        <v>18.508423925089687</v>
      </c>
      <c r="U47" s="32">
        <v>15.883375746350557</v>
      </c>
      <c r="V47" s="32">
        <v>1.818827808844472</v>
      </c>
    </row>
    <row r="48" spans="2:22" x14ac:dyDescent="0.25">
      <c r="B48" t="s">
        <v>101</v>
      </c>
      <c r="C48" s="29" t="e">
        <v>#N/A</v>
      </c>
      <c r="D48" s="29" t="e">
        <v>#N/A</v>
      </c>
      <c r="E48" s="29" t="e">
        <v>#N/A</v>
      </c>
      <c r="F48" s="29" t="e">
        <v>#N/A</v>
      </c>
      <c r="G48" s="30">
        <v>18.190460182068978</v>
      </c>
      <c r="H48" s="31" t="e">
        <v>#N/A</v>
      </c>
      <c r="I48" s="31" t="e">
        <v>#N/A</v>
      </c>
      <c r="J48" s="29">
        <v>9.4200464025480435E-2</v>
      </c>
      <c r="K48" s="32" t="e">
        <v>#N/A</v>
      </c>
      <c r="L48" s="29">
        <v>5.1285585509356038E-2</v>
      </c>
      <c r="M48" s="33" t="e">
        <v>#N/A</v>
      </c>
      <c r="N48" s="32">
        <v>1.8892689677044838</v>
      </c>
      <c r="O48">
        <v>64330999616</v>
      </c>
      <c r="P48">
        <v>67381999680</v>
      </c>
      <c r="Q48">
        <v>21183379456</v>
      </c>
      <c r="R48" s="32" t="e">
        <v>#N/A</v>
      </c>
      <c r="S48" s="32" t="e">
        <v>#N/A</v>
      </c>
      <c r="T48" s="32">
        <v>-106.87624734771687</v>
      </c>
      <c r="U48" s="32">
        <v>4.0516035667659605</v>
      </c>
      <c r="V48" s="32">
        <v>0.62040323331062797</v>
      </c>
    </row>
    <row r="49" spans="2:22" x14ac:dyDescent="0.25">
      <c r="B49" t="s">
        <v>173</v>
      </c>
      <c r="C49" s="29">
        <v>0.1340449259202881</v>
      </c>
      <c r="D49" s="29">
        <v>-1.1885815605742196</v>
      </c>
      <c r="E49" s="29">
        <v>-2.8532764078440721E-2</v>
      </c>
      <c r="F49" s="29">
        <v>-1.6600852893104192</v>
      </c>
      <c r="G49" s="30">
        <v>15.314016575459474</v>
      </c>
      <c r="H49" s="31">
        <v>5.2041330116295992</v>
      </c>
      <c r="I49" s="31">
        <v>5.3575902672305604</v>
      </c>
      <c r="J49" s="29">
        <v>-0.2020857248240446</v>
      </c>
      <c r="K49" s="32">
        <v>-3.5449882071951038</v>
      </c>
      <c r="L49" s="29">
        <v>0.18917265803961056</v>
      </c>
      <c r="M49" s="33" t="e">
        <v>#N/A</v>
      </c>
      <c r="N49" s="32">
        <v>13.231249381295541</v>
      </c>
      <c r="O49">
        <v>-35151984</v>
      </c>
      <c r="P49">
        <v>-25167984</v>
      </c>
      <c r="Q49">
        <v>294243040</v>
      </c>
      <c r="R49" s="32">
        <v>2.509852813852814</v>
      </c>
      <c r="S49" s="32">
        <v>3.019802254052355</v>
      </c>
      <c r="T49" s="32">
        <v>28.696345714753356</v>
      </c>
      <c r="U49" s="32">
        <v>9.1376485376725967</v>
      </c>
      <c r="V49" s="32">
        <v>2.0619174702001537</v>
      </c>
    </row>
    <row r="50" spans="2:22" x14ac:dyDescent="0.25">
      <c r="B50" t="s">
        <v>102</v>
      </c>
      <c r="C50" s="29" t="e">
        <v>#N/A</v>
      </c>
      <c r="D50" s="29" t="e">
        <v>#N/A</v>
      </c>
      <c r="E50" s="29" t="e">
        <v>#N/A</v>
      </c>
      <c r="F50" s="29" t="e">
        <v>#N/A</v>
      </c>
      <c r="G50" s="30">
        <v>28.090005812367046</v>
      </c>
      <c r="H50" s="31" t="e">
        <v>#N/A</v>
      </c>
      <c r="I50" s="31" t="e">
        <v>#N/A</v>
      </c>
      <c r="J50" s="29" t="e">
        <v>#N/A</v>
      </c>
      <c r="K50" s="32" t="e">
        <v>#N/A</v>
      </c>
      <c r="L50" s="29">
        <v>4.7528572219462613E-2</v>
      </c>
      <c r="M50" s="33" t="e">
        <v>#N/A</v>
      </c>
      <c r="N50" s="32">
        <v>0.84432335832781646</v>
      </c>
      <c r="O50">
        <v>12618007008</v>
      </c>
      <c r="P50">
        <v>12620283008</v>
      </c>
      <c r="Q50">
        <v>4508712448</v>
      </c>
      <c r="R50" s="32" t="e">
        <v>#N/A</v>
      </c>
      <c r="S50" s="32" t="e">
        <v>#N/A</v>
      </c>
      <c r="T50" s="32" t="e">
        <v>#N/A</v>
      </c>
      <c r="U50" s="32">
        <v>10.498163538696668</v>
      </c>
      <c r="V50" s="32">
        <v>0.94887379620839962</v>
      </c>
    </row>
    <row r="51" spans="2:22" x14ac:dyDescent="0.25">
      <c r="B51" t="s">
        <v>103</v>
      </c>
      <c r="C51" s="29">
        <v>0.23360693699913301</v>
      </c>
      <c r="D51" s="29">
        <v>0.2675169325864169</v>
      </c>
      <c r="E51" s="29">
        <v>0.19795720112878476</v>
      </c>
      <c r="F51" s="29">
        <v>0.23210688755634118</v>
      </c>
      <c r="G51" s="30">
        <v>15.488268672373511</v>
      </c>
      <c r="H51" s="31">
        <v>24.079790656481816</v>
      </c>
      <c r="I51" s="31">
        <v>28.176151904060593</v>
      </c>
      <c r="J51" s="29">
        <v>-9.8325039187422136E-2</v>
      </c>
      <c r="K51" s="32">
        <v>-0.56845906980852468</v>
      </c>
      <c r="L51" s="29">
        <v>0.86640857597231957</v>
      </c>
      <c r="M51" s="33" t="e">
        <v>#N/A</v>
      </c>
      <c r="N51" s="32">
        <v>12.235121645294445</v>
      </c>
      <c r="O51">
        <v>345066008</v>
      </c>
      <c r="P51">
        <v>397709008</v>
      </c>
      <c r="Q51">
        <v>1036799872</v>
      </c>
      <c r="R51" s="32">
        <v>9.6212975572414194</v>
      </c>
      <c r="S51" s="32">
        <v>11.374602573473958</v>
      </c>
      <c r="T51" s="32">
        <v>2.9681716627372423</v>
      </c>
      <c r="U51" s="32">
        <v>13.244881486087021</v>
      </c>
      <c r="V51" s="32">
        <v>2.0302218709793736</v>
      </c>
    </row>
    <row r="52" spans="2:22" x14ac:dyDescent="0.25">
      <c r="B52" t="s">
        <v>104</v>
      </c>
      <c r="C52" s="29">
        <v>0.12990565353766126</v>
      </c>
      <c r="D52" s="29">
        <v>0.19735773595631079</v>
      </c>
      <c r="E52" s="29">
        <v>0.12990565353766126</v>
      </c>
      <c r="F52" s="29">
        <v>0.19735773595631079</v>
      </c>
      <c r="G52" s="30">
        <v>21.818926572824886</v>
      </c>
      <c r="H52" s="31">
        <v>14.771722269126817</v>
      </c>
      <c r="I52" s="31">
        <v>23.120122222460317</v>
      </c>
      <c r="J52" s="29" t="e">
        <v>#N/A</v>
      </c>
      <c r="K52" s="32">
        <v>-0.42827183540533026</v>
      </c>
      <c r="L52" s="29">
        <v>0.6268764538568582</v>
      </c>
      <c r="M52" s="33" t="e">
        <v>#N/A</v>
      </c>
      <c r="N52" s="32">
        <v>15.825379786563957</v>
      </c>
      <c r="O52">
        <v>394056000</v>
      </c>
      <c r="P52">
        <v>394056000</v>
      </c>
      <c r="Q52">
        <v>3184717312</v>
      </c>
      <c r="R52" s="32">
        <v>24.870352401000915</v>
      </c>
      <c r="S52" s="32">
        <v>29.771534237977956</v>
      </c>
      <c r="T52" s="32">
        <v>3.3169663003357956</v>
      </c>
      <c r="U52" s="32">
        <v>36.40690266956851</v>
      </c>
      <c r="V52" s="32">
        <v>7.8162408147979807</v>
      </c>
    </row>
    <row r="53" spans="2:22" x14ac:dyDescent="0.25">
      <c r="B53" t="s">
        <v>174</v>
      </c>
      <c r="C53" s="29">
        <v>0.13252144889049439</v>
      </c>
      <c r="D53" s="29">
        <v>2.9507755459102992E-2</v>
      </c>
      <c r="E53" s="29">
        <v>0.1356186754482136</v>
      </c>
      <c r="F53" s="29">
        <v>2.1844176546776926E-2</v>
      </c>
      <c r="G53" s="30">
        <v>27.671014953865736</v>
      </c>
      <c r="H53" s="31">
        <v>-3.1004118338811892</v>
      </c>
      <c r="I53" s="31">
        <v>10.237829803047195</v>
      </c>
      <c r="J53" s="29">
        <v>-0.25033645244541552</v>
      </c>
      <c r="K53" s="32">
        <v>-3.6889874008399439</v>
      </c>
      <c r="L53" s="29">
        <v>0.6385431004492309</v>
      </c>
      <c r="M53" s="33" t="e">
        <v>#N/A</v>
      </c>
      <c r="N53" s="32">
        <v>48.739599601152193</v>
      </c>
      <c r="O53">
        <v>29721000</v>
      </c>
      <c r="P53">
        <v>40148000</v>
      </c>
      <c r="Q53">
        <v>328596288</v>
      </c>
      <c r="R53" s="32">
        <v>73.353776948203446</v>
      </c>
      <c r="S53" s="32">
        <v>34.303795744680848</v>
      </c>
      <c r="T53" s="32">
        <v>-1.5449048529726543</v>
      </c>
      <c r="U53" s="32">
        <v>0.12689518615292134</v>
      </c>
      <c r="V53" s="32">
        <v>8.1449931623058629E-3</v>
      </c>
    </row>
    <row r="54" spans="2:22" x14ac:dyDescent="0.25">
      <c r="B54" t="s">
        <v>105</v>
      </c>
      <c r="C54" s="29">
        <v>0.1299104416456105</v>
      </c>
      <c r="D54" s="29">
        <v>0.10203555204081757</v>
      </c>
      <c r="E54" s="29">
        <v>8.5620175282623584E-2</v>
      </c>
      <c r="F54" s="29">
        <v>7.4656006692837576E-2</v>
      </c>
      <c r="G54" s="30">
        <v>52.040279326829854</v>
      </c>
      <c r="H54" s="31">
        <v>32.538174628001961</v>
      </c>
      <c r="I54" s="31">
        <v>32.735164837463657</v>
      </c>
      <c r="J54" s="29">
        <v>0.39474121240175392</v>
      </c>
      <c r="K54" s="32">
        <v>1.6340040579553519</v>
      </c>
      <c r="L54" s="29">
        <v>0.28693777432853146</v>
      </c>
      <c r="M54" s="33">
        <v>2.9100285752804347E-2</v>
      </c>
      <c r="N54" s="32">
        <v>-4.6454909774876239</v>
      </c>
      <c r="O54">
        <v>46473998848</v>
      </c>
      <c r="P54">
        <v>63517998592</v>
      </c>
      <c r="Q54">
        <v>22222387200</v>
      </c>
      <c r="R54" s="32">
        <v>2.9836710459811546</v>
      </c>
      <c r="S54" s="32">
        <v>4.7111764974935646</v>
      </c>
      <c r="T54" s="32">
        <v>26.741434367591253</v>
      </c>
      <c r="U54" s="32">
        <v>2.167625857704583</v>
      </c>
      <c r="V54" s="32">
        <v>0.88473158961421572</v>
      </c>
    </row>
    <row r="55" spans="2:22" x14ac:dyDescent="0.25">
      <c r="B55" t="s">
        <v>148</v>
      </c>
      <c r="C55" s="29">
        <v>8.6602415058136178E-2</v>
      </c>
      <c r="D55" s="29">
        <v>-3.6217409664508871E-2</v>
      </c>
      <c r="E55" s="29">
        <v>8.6193481470536432E-2</v>
      </c>
      <c r="F55" s="29">
        <v>-3.6157637316863014E-2</v>
      </c>
      <c r="G55" s="30">
        <v>-35.588791819228518</v>
      </c>
      <c r="H55" s="31">
        <v>20.840265572286036</v>
      </c>
      <c r="I55" s="31">
        <v>8.2742417319995862</v>
      </c>
      <c r="J55" s="29">
        <v>0.12711727682920454</v>
      </c>
      <c r="K55" s="32">
        <v>-1.9946985335754595</v>
      </c>
      <c r="L55" s="29">
        <v>0.37709191445509355</v>
      </c>
      <c r="M55" s="33" t="e">
        <v>#N/A</v>
      </c>
      <c r="N55" s="32">
        <v>3.0378244565623813</v>
      </c>
      <c r="O55">
        <v>1053774976</v>
      </c>
      <c r="P55">
        <v>1055516976</v>
      </c>
      <c r="Q55">
        <v>577262720</v>
      </c>
      <c r="R55" s="32" t="e">
        <v>#N/A</v>
      </c>
      <c r="S55" s="32" t="e">
        <v>#N/A</v>
      </c>
      <c r="T55" s="32">
        <v>-5.4510708746270673</v>
      </c>
      <c r="U55" s="32" t="e">
        <v>#N/A</v>
      </c>
      <c r="V55" s="32">
        <v>1.2416748107373308</v>
      </c>
    </row>
    <row r="56" spans="2:22" x14ac:dyDescent="0.25">
      <c r="B56" t="s">
        <v>106</v>
      </c>
      <c r="C56" s="29">
        <v>0.1824386992380862</v>
      </c>
      <c r="D56" s="29">
        <v>0.20059958086169202</v>
      </c>
      <c r="E56" s="29">
        <v>0.18157008659543744</v>
      </c>
      <c r="F56" s="29">
        <v>0.19995309570864045</v>
      </c>
      <c r="G56" s="30">
        <v>16.723685087051063</v>
      </c>
      <c r="H56" s="31">
        <v>25.887871235703102</v>
      </c>
      <c r="I56" s="31">
        <v>25.784730748991404</v>
      </c>
      <c r="J56" s="29">
        <v>3.8445139010027246E-2</v>
      </c>
      <c r="K56" s="32">
        <v>0.17658915170591277</v>
      </c>
      <c r="L56" s="29">
        <v>0.7165373789100058</v>
      </c>
      <c r="M56" s="33" t="e">
        <v>#N/A</v>
      </c>
      <c r="N56" s="32">
        <v>5.10718405509113</v>
      </c>
      <c r="O56">
        <v>815913968</v>
      </c>
      <c r="P56">
        <v>818551968</v>
      </c>
      <c r="Q56">
        <v>2571450112</v>
      </c>
      <c r="R56" s="32">
        <v>10.647217124684939</v>
      </c>
      <c r="S56" s="32">
        <v>14.993395061869975</v>
      </c>
      <c r="T56" s="32">
        <v>4.9007367248507601</v>
      </c>
      <c r="U56" s="32">
        <v>19.858912671811275</v>
      </c>
      <c r="V56" s="32">
        <v>3.1969886859509526</v>
      </c>
    </row>
    <row r="57" spans="2:22" x14ac:dyDescent="0.25">
      <c r="B57" t="s">
        <v>107</v>
      </c>
      <c r="C57" s="29">
        <v>4.4355688342644625E-2</v>
      </c>
      <c r="D57" s="29">
        <v>-0.13497318678126552</v>
      </c>
      <c r="E57" s="29">
        <v>4.2728008378279378E-2</v>
      </c>
      <c r="F57" s="29">
        <v>-0.13340915124701766</v>
      </c>
      <c r="G57" s="30">
        <v>-73.95466148511747</v>
      </c>
      <c r="H57" s="31">
        <v>17.538805110060689</v>
      </c>
      <c r="I57" s="31">
        <v>-0.18792651939101906</v>
      </c>
      <c r="J57" s="29">
        <v>0.66141433974353814</v>
      </c>
      <c r="K57" s="32">
        <v>-34.369320862139084</v>
      </c>
      <c r="L57" s="29">
        <v>8.7503485127510813E-2</v>
      </c>
      <c r="M57" s="33" t="e">
        <v>#N/A</v>
      </c>
      <c r="N57" s="32">
        <v>-17.030303528643035</v>
      </c>
      <c r="O57">
        <v>3014005920</v>
      </c>
      <c r="P57">
        <v>3049340920</v>
      </c>
      <c r="Q57">
        <v>1492108032</v>
      </c>
      <c r="R57" s="32" t="e">
        <v>#N/A</v>
      </c>
      <c r="S57" s="32" t="e">
        <v>#N/A</v>
      </c>
      <c r="T57" s="32">
        <v>-16.579161474549316</v>
      </c>
      <c r="U57" s="32" t="e">
        <v>#N/A</v>
      </c>
      <c r="V57" s="32">
        <v>4.6215246624920558</v>
      </c>
    </row>
    <row r="58" spans="2:22" x14ac:dyDescent="0.25">
      <c r="B58" t="s">
        <v>108</v>
      </c>
      <c r="C58" s="29">
        <v>4.0928744576514228E-2</v>
      </c>
      <c r="D58" s="29">
        <v>-8.776107376754802E-2</v>
      </c>
      <c r="E58" s="29">
        <v>3.8230000438242484E-2</v>
      </c>
      <c r="F58" s="29">
        <v>-8.5253053733688799E-2</v>
      </c>
      <c r="G58" s="30">
        <v>-46.005472274021223</v>
      </c>
      <c r="H58" s="31">
        <v>15.812829497199314</v>
      </c>
      <c r="I58" s="31">
        <v>0.18073299843005133</v>
      </c>
      <c r="J58" s="29">
        <v>0.63625177560088153</v>
      </c>
      <c r="K58" s="32">
        <v>66.992112664881489</v>
      </c>
      <c r="L58" s="29">
        <v>0.1511029491664039</v>
      </c>
      <c r="M58" s="33" t="e">
        <v>#N/A</v>
      </c>
      <c r="N58" s="32">
        <v>-15.89446731717246</v>
      </c>
      <c r="O58">
        <v>3435555048</v>
      </c>
      <c r="P58">
        <v>3536624048</v>
      </c>
      <c r="Q58">
        <v>1448854400</v>
      </c>
      <c r="R58" s="32">
        <v>104.13307765545969</v>
      </c>
      <c r="S58" s="32" t="e">
        <v>#N/A</v>
      </c>
      <c r="T58" s="32">
        <v>-7.1007825216943816</v>
      </c>
      <c r="U58" s="32" t="e">
        <v>#N/A</v>
      </c>
      <c r="V58" s="32">
        <v>2.1491066041062199</v>
      </c>
    </row>
    <row r="59" spans="2:22" x14ac:dyDescent="0.25">
      <c r="B59" t="s">
        <v>109</v>
      </c>
      <c r="C59" s="29">
        <v>9.3916550351771419E-2</v>
      </c>
      <c r="D59" s="29">
        <v>8.7600065004352745E-2</v>
      </c>
      <c r="E59" s="29">
        <v>9.1945933361862672E-2</v>
      </c>
      <c r="F59" s="29">
        <v>8.5723023466211051E-2</v>
      </c>
      <c r="G59" s="30">
        <v>14.031866709556203</v>
      </c>
      <c r="H59" s="31">
        <v>8.836220212551682</v>
      </c>
      <c r="I59" s="31">
        <v>8.2120371356398199</v>
      </c>
      <c r="J59" s="29">
        <v>0.16058887463212612</v>
      </c>
      <c r="K59" s="32">
        <v>1.4219028016200288</v>
      </c>
      <c r="L59" s="29">
        <v>0.32840391745045067</v>
      </c>
      <c r="M59" s="33" t="e">
        <v>#N/A</v>
      </c>
      <c r="N59" s="32">
        <v>7.5636205508642274</v>
      </c>
      <c r="O59">
        <v>2332053064</v>
      </c>
      <c r="P59">
        <v>2383117064</v>
      </c>
      <c r="Q59">
        <v>3223557888</v>
      </c>
      <c r="R59" s="32">
        <v>6.8944455346412354</v>
      </c>
      <c r="S59" s="32">
        <v>9.8403188273718207</v>
      </c>
      <c r="T59" s="32">
        <v>12.031457336124625</v>
      </c>
      <c r="U59" s="32">
        <v>13.910683609697985</v>
      </c>
      <c r="V59" s="32">
        <v>1.9260896282853475</v>
      </c>
    </row>
    <row r="60" spans="2:22" x14ac:dyDescent="0.25">
      <c r="B60" t="s">
        <v>110</v>
      </c>
      <c r="C60" s="29">
        <v>0.18245354728015686</v>
      </c>
      <c r="D60" s="29">
        <v>0.23308110870157397</v>
      </c>
      <c r="E60" s="29">
        <v>0.14887778697519177</v>
      </c>
      <c r="F60" s="29">
        <v>0.18646439762904787</v>
      </c>
      <c r="G60" s="30">
        <v>21.454623059722799</v>
      </c>
      <c r="H60" s="31">
        <v>25.265566121145135</v>
      </c>
      <c r="I60" s="31">
        <v>28.296107582103939</v>
      </c>
      <c r="J60" s="29">
        <v>0.12510046843347422</v>
      </c>
      <c r="K60" s="32">
        <v>0.56269198729629821</v>
      </c>
      <c r="L60" s="29">
        <v>0.5800264241608315</v>
      </c>
      <c r="M60" s="33" t="e">
        <v>#N/A</v>
      </c>
      <c r="N60" s="32">
        <v>5.4507019029826829</v>
      </c>
      <c r="O60">
        <v>839548984</v>
      </c>
      <c r="P60">
        <v>1049438984</v>
      </c>
      <c r="Q60">
        <v>2597624832</v>
      </c>
      <c r="R60" s="32">
        <v>9.015420263445618</v>
      </c>
      <c r="S60" s="32">
        <v>12.425314078645235</v>
      </c>
      <c r="T60" s="32">
        <v>6.1953904204131049</v>
      </c>
      <c r="U60" s="32">
        <v>14.463733455614181</v>
      </c>
      <c r="V60" s="32">
        <v>2.8035961532275615</v>
      </c>
    </row>
    <row r="61" spans="2:22" x14ac:dyDescent="0.25">
      <c r="B61" t="s">
        <v>111</v>
      </c>
      <c r="C61" s="29">
        <v>2.5918833014578362E-2</v>
      </c>
      <c r="D61" s="29">
        <v>2.2849571787907461E-2</v>
      </c>
      <c r="E61" s="29">
        <v>2.5889390839146091E-2</v>
      </c>
      <c r="F61" s="29">
        <v>2.2849571787907461E-2</v>
      </c>
      <c r="G61" s="30">
        <v>3.507339541137545</v>
      </c>
      <c r="H61" s="31">
        <v>82.257797347862592</v>
      </c>
      <c r="I61" s="31">
        <v>78.848824537170756</v>
      </c>
      <c r="J61" s="29">
        <v>0.3583531309921773</v>
      </c>
      <c r="K61" s="32">
        <v>10.689052861399118</v>
      </c>
      <c r="L61" s="29">
        <v>0.55191499288691681</v>
      </c>
      <c r="M61" s="33">
        <v>2.6625993552636092E-3</v>
      </c>
      <c r="N61" s="32">
        <v>4.8425780157757625</v>
      </c>
      <c r="O61">
        <v>11477676800</v>
      </c>
      <c r="P61">
        <v>11477676800</v>
      </c>
      <c r="Q61">
        <v>4559752192</v>
      </c>
      <c r="R61" s="32">
        <v>24.970409629364795</v>
      </c>
      <c r="S61" s="32">
        <v>25.470036370708936</v>
      </c>
      <c r="T61" s="32">
        <v>-2.7309819208701418</v>
      </c>
      <c r="U61" s="32">
        <v>52.23104688871549</v>
      </c>
      <c r="V61" s="32">
        <v>0.7879372730978812</v>
      </c>
    </row>
    <row r="62" spans="2:22" x14ac:dyDescent="0.25">
      <c r="B62" t="s">
        <v>112</v>
      </c>
      <c r="C62" s="29">
        <v>3.9771152694246095E-2</v>
      </c>
      <c r="D62" s="29">
        <v>3.9181791990780757E-2</v>
      </c>
      <c r="E62" s="29">
        <v>3.3816713679025459E-2</v>
      </c>
      <c r="F62" s="29">
        <v>3.8041958041958042E-2</v>
      </c>
      <c r="G62" s="30">
        <v>-6.1684459675592311</v>
      </c>
      <c r="H62" s="31">
        <v>6.5148142926134938</v>
      </c>
      <c r="I62" s="31">
        <v>7.4120798891153861</v>
      </c>
      <c r="J62" s="29">
        <v>0.17128859426301443</v>
      </c>
      <c r="K62" s="32">
        <v>6.5709217588652482</v>
      </c>
      <c r="L62" s="29">
        <v>0.16961909830099642</v>
      </c>
      <c r="M62" s="33" t="e">
        <v>#N/A</v>
      </c>
      <c r="N62" s="32">
        <v>22.121736694895748</v>
      </c>
      <c r="O62">
        <v>6942000000</v>
      </c>
      <c r="P62">
        <v>7150000000</v>
      </c>
      <c r="Q62">
        <v>19319633920</v>
      </c>
      <c r="R62" s="32">
        <v>41.962116652482273</v>
      </c>
      <c r="S62" s="32">
        <v>68.400675699421967</v>
      </c>
      <c r="T62" s="32">
        <v>4.3064998200545617</v>
      </c>
      <c r="U62" s="32" t="e">
        <v>#N/A</v>
      </c>
      <c r="V62" s="32">
        <v>6.4544796557639126</v>
      </c>
    </row>
    <row r="63" spans="2:22" x14ac:dyDescent="0.25">
      <c r="B63" t="s">
        <v>113</v>
      </c>
      <c r="C63" s="29">
        <v>0.11343818714359451</v>
      </c>
      <c r="D63" s="29">
        <v>0.10451342853099044</v>
      </c>
      <c r="E63" s="29">
        <v>0.11296780483174911</v>
      </c>
      <c r="F63" s="29">
        <v>0.10216151697176352</v>
      </c>
      <c r="G63" s="30">
        <v>19.142290623055676</v>
      </c>
      <c r="H63" s="31">
        <v>78.862505699820446</v>
      </c>
      <c r="I63" s="31">
        <v>79.820959512381449</v>
      </c>
      <c r="J63" s="29">
        <v>0.50294637472013115</v>
      </c>
      <c r="K63" s="32">
        <v>4.49891344734786</v>
      </c>
      <c r="L63" s="29">
        <v>0.26041985780801885</v>
      </c>
      <c r="M63" s="33" t="e">
        <v>#N/A</v>
      </c>
      <c r="N63" s="32">
        <v>0.61767943006369685</v>
      </c>
      <c r="O63">
        <v>10052124696</v>
      </c>
      <c r="P63">
        <v>10283539704</v>
      </c>
      <c r="Q63">
        <v>9712386048</v>
      </c>
      <c r="R63" s="32">
        <v>11.125811159822902</v>
      </c>
      <c r="S63" s="32">
        <v>17.455788414815895</v>
      </c>
      <c r="T63" s="32">
        <v>10.894428894925245</v>
      </c>
      <c r="U63" s="32">
        <v>12.87854903645688</v>
      </c>
      <c r="V63" s="32">
        <v>2.7683515777362335</v>
      </c>
    </row>
    <row r="64" spans="2:22" x14ac:dyDescent="0.25">
      <c r="B64" t="s">
        <v>175</v>
      </c>
      <c r="C64" s="29">
        <v>-0.26170030630004115</v>
      </c>
      <c r="D64" s="29">
        <v>-1.4844528731335835E-2</v>
      </c>
      <c r="E64" s="29">
        <v>-0.25821094923327897</v>
      </c>
      <c r="F64" s="29">
        <v>-1.4681198387513611E-2</v>
      </c>
      <c r="G64" s="30">
        <v>-5.9398268990195051</v>
      </c>
      <c r="H64" s="31">
        <v>-6.6526892304731522</v>
      </c>
      <c r="I64" s="31">
        <v>2.3331462925661408</v>
      </c>
      <c r="J64" s="29">
        <v>-2.3682258656270549E-2</v>
      </c>
      <c r="K64" s="32">
        <v>-0.9628224484792175</v>
      </c>
      <c r="L64" s="29">
        <v>0.21122091999285203</v>
      </c>
      <c r="M64" s="33" t="e">
        <v>#N/A</v>
      </c>
      <c r="N64" s="32">
        <v>-7.605745897090344</v>
      </c>
      <c r="O64">
        <v>575094040</v>
      </c>
      <c r="P64">
        <v>581492040</v>
      </c>
      <c r="Q64">
        <v>381866496</v>
      </c>
      <c r="R64" s="32">
        <v>3.9429818951389159</v>
      </c>
      <c r="S64" s="32">
        <v>181.2298315539739</v>
      </c>
      <c r="T64" s="32">
        <v>-6.5923604882058049</v>
      </c>
      <c r="U64" s="32" t="e">
        <v>#N/A</v>
      </c>
      <c r="V64" s="32">
        <v>0.5632538750398336</v>
      </c>
    </row>
    <row r="65" spans="2:22" x14ac:dyDescent="0.25">
      <c r="B65" t="s">
        <v>114</v>
      </c>
      <c r="C65" s="29">
        <v>0.17404436926433736</v>
      </c>
      <c r="D65" s="29">
        <v>0.22855797768482028</v>
      </c>
      <c r="E65" s="29">
        <v>0.16841700413286892</v>
      </c>
      <c r="F65" s="29">
        <v>0.22055481054619702</v>
      </c>
      <c r="G65" s="30">
        <v>14.672278888350926</v>
      </c>
      <c r="H65" s="31">
        <v>22.116518394892712</v>
      </c>
      <c r="I65" s="31">
        <v>27.345128371936095</v>
      </c>
      <c r="J65" s="29">
        <v>0.20726190495537755</v>
      </c>
      <c r="K65" s="32">
        <v>2.1216014914849119</v>
      </c>
      <c r="L65" s="29">
        <v>0.20231547364165103</v>
      </c>
      <c r="M65" s="33" t="e">
        <v>#N/A</v>
      </c>
      <c r="N65" s="32">
        <v>-0.19744698651964168</v>
      </c>
      <c r="O65">
        <v>12731999808</v>
      </c>
      <c r="P65">
        <v>13193999808</v>
      </c>
      <c r="Q65">
        <v>19952183296</v>
      </c>
      <c r="R65" s="32">
        <v>8.128229306244398</v>
      </c>
      <c r="S65" s="32">
        <v>19.091356833684209</v>
      </c>
      <c r="T65" s="32">
        <v>3.6186515996209101</v>
      </c>
      <c r="U65" s="32">
        <v>10.281716941120809</v>
      </c>
      <c r="V65" s="32">
        <v>2.8742571582729743</v>
      </c>
    </row>
    <row r="66" spans="2:22" x14ac:dyDescent="0.25">
      <c r="B66" t="s">
        <v>115</v>
      </c>
      <c r="C66" s="29">
        <v>0.15728176859084642</v>
      </c>
      <c r="D66" s="29">
        <v>0.13569764220024214</v>
      </c>
      <c r="E66" s="29">
        <v>0.1343500073447518</v>
      </c>
      <c r="F66" s="29">
        <v>0.11976751198403207</v>
      </c>
      <c r="G66" s="30">
        <v>7.3577681449922592</v>
      </c>
      <c r="H66" s="31" t="e">
        <v>#N/A</v>
      </c>
      <c r="I66" s="31" t="e">
        <v>#N/A</v>
      </c>
      <c r="J66" s="29">
        <v>3.694408143766359E-2</v>
      </c>
      <c r="K66" s="32" t="e">
        <v>#N/A</v>
      </c>
      <c r="L66" s="29">
        <v>0.13959125365408778</v>
      </c>
      <c r="M66" s="33" t="e">
        <v>#N/A</v>
      </c>
      <c r="N66" s="32">
        <v>0.19072471011924455</v>
      </c>
      <c r="O66">
        <v>10599300096</v>
      </c>
      <c r="P66">
        <v>12009100032</v>
      </c>
      <c r="Q66">
        <v>5530877440</v>
      </c>
      <c r="R66" s="32" t="e">
        <v>#N/A</v>
      </c>
      <c r="S66" s="32">
        <v>7.746285662010945</v>
      </c>
      <c r="T66" s="32">
        <v>0.38366425996957182</v>
      </c>
      <c r="U66" s="32">
        <v>6.1692509088016338</v>
      </c>
      <c r="V66" s="32">
        <v>0.64934265407818259</v>
      </c>
    </row>
    <row r="67" spans="2:22" x14ac:dyDescent="0.25">
      <c r="B67" t="s">
        <v>116</v>
      </c>
      <c r="C67" s="29">
        <v>0.13520117342674287</v>
      </c>
      <c r="D67" s="29">
        <v>0.20423802832472421</v>
      </c>
      <c r="E67" s="29">
        <v>7.3750073544855549E-2</v>
      </c>
      <c r="F67" s="29">
        <v>9.4235035338132239E-2</v>
      </c>
      <c r="G67" s="30">
        <v>14.543353581312582</v>
      </c>
      <c r="H67" s="31">
        <v>13.308152598304179</v>
      </c>
      <c r="I67" s="31">
        <v>20.461888616430773</v>
      </c>
      <c r="J67" s="29">
        <v>0.38775194444164579</v>
      </c>
      <c r="K67" s="32">
        <v>1.7474608136689807</v>
      </c>
      <c r="L67" s="29">
        <v>0.47372336538085985</v>
      </c>
      <c r="M67" s="33">
        <v>3.7282083714699793E-2</v>
      </c>
      <c r="N67" s="32">
        <v>24.945707435149799</v>
      </c>
      <c r="O67">
        <v>921322016</v>
      </c>
      <c r="P67">
        <v>1996805024</v>
      </c>
      <c r="Q67">
        <v>6719858688</v>
      </c>
      <c r="R67" s="32">
        <v>16.950017413897729</v>
      </c>
      <c r="S67" s="32">
        <v>22.939530329114543</v>
      </c>
      <c r="T67" s="32">
        <v>5.4305308629728142</v>
      </c>
      <c r="U67" s="32">
        <v>30.51011674966626</v>
      </c>
      <c r="V67" s="32">
        <v>4.6437696517136411</v>
      </c>
    </row>
    <row r="68" spans="2:22" x14ac:dyDescent="0.25">
      <c r="B68" t="s">
        <v>117</v>
      </c>
      <c r="C68" s="29" t="e">
        <v>#N/A</v>
      </c>
      <c r="D68" s="29" t="e">
        <v>#N/A</v>
      </c>
      <c r="E68" s="29" t="e">
        <v>#N/A</v>
      </c>
      <c r="F68" s="29" t="e">
        <v>#N/A</v>
      </c>
      <c r="G68" s="30">
        <v>0.60207360131001486</v>
      </c>
      <c r="H68" s="31" t="e">
        <v>#N/A</v>
      </c>
      <c r="I68" s="31" t="e">
        <v>#N/A</v>
      </c>
      <c r="J68" s="29">
        <v>9.8903829669983095E-2</v>
      </c>
      <c r="K68" s="32" t="e">
        <v>#N/A</v>
      </c>
      <c r="L68" s="29">
        <v>5.0666222797706384E-2</v>
      </c>
      <c r="M68" s="33" t="e">
        <v>#N/A</v>
      </c>
      <c r="N68" s="32">
        <v>-4.4876280787268517</v>
      </c>
      <c r="O68">
        <v>35404023696</v>
      </c>
      <c r="P68">
        <v>36430128720</v>
      </c>
      <c r="Q68">
        <v>3774567936</v>
      </c>
      <c r="R68" s="32" t="e">
        <v>#N/A</v>
      </c>
      <c r="S68" s="32" t="e">
        <v>#N/A</v>
      </c>
      <c r="T68" s="32">
        <v>466.06299365332183</v>
      </c>
      <c r="U68" s="32">
        <v>13.903124133717224</v>
      </c>
      <c r="V68" s="32">
        <v>0.30053947791484165</v>
      </c>
    </row>
    <row r="69" spans="2:22" x14ac:dyDescent="0.25">
      <c r="B69" t="s">
        <v>118</v>
      </c>
      <c r="C69" s="29">
        <v>0.37062429987985474</v>
      </c>
      <c r="D69" s="29">
        <v>3.0944220774432606E-2</v>
      </c>
      <c r="E69" s="29">
        <v>0.18266114241444611</v>
      </c>
      <c r="F69" s="29">
        <v>1.7840339689013142E-2</v>
      </c>
      <c r="G69" s="30">
        <v>15.995603648446414</v>
      </c>
      <c r="H69" s="31">
        <v>5.3682590755972397</v>
      </c>
      <c r="I69" s="31">
        <v>3.116815660073335</v>
      </c>
      <c r="J69" s="29">
        <v>9.9408419082888708E-2</v>
      </c>
      <c r="K69" s="32">
        <v>2.0930273633751844</v>
      </c>
      <c r="L69" s="29">
        <v>0.11620391689851191</v>
      </c>
      <c r="M69" s="33" t="e">
        <v>#N/A</v>
      </c>
      <c r="N69" s="32">
        <v>-1.6281188073759971</v>
      </c>
      <c r="O69">
        <v>3897916864</v>
      </c>
      <c r="P69">
        <v>6760969920</v>
      </c>
      <c r="Q69">
        <v>6924713984</v>
      </c>
      <c r="R69" s="32">
        <v>6.8210919090761948</v>
      </c>
      <c r="S69" s="32">
        <v>12.517270492905354</v>
      </c>
      <c r="T69" s="32">
        <v>7.6425829171112811</v>
      </c>
      <c r="U69" s="32" t="e">
        <v>#N/A</v>
      </c>
      <c r="V69" s="32">
        <v>2.0198232083977539</v>
      </c>
    </row>
    <row r="70" spans="2:22" x14ac:dyDescent="0.25">
      <c r="B70" t="s">
        <v>176</v>
      </c>
      <c r="C70" s="29">
        <v>0.14946036810615654</v>
      </c>
      <c r="D70" s="29">
        <v>-2.2878351951171823E-2</v>
      </c>
      <c r="E70" s="29">
        <v>8.7401951520618665E-2</v>
      </c>
      <c r="F70" s="29">
        <v>-1.6421530791318497E-2</v>
      </c>
      <c r="G70" s="30" t="e">
        <v>#N/A</v>
      </c>
      <c r="H70" s="31">
        <v>17.497044944379162</v>
      </c>
      <c r="I70" s="31">
        <v>14.206401945022257</v>
      </c>
      <c r="J70" s="29">
        <v>1.0707544076746607</v>
      </c>
      <c r="K70" s="32">
        <v>18.279948857838953</v>
      </c>
      <c r="L70" s="29">
        <v>-0.49386945911424462</v>
      </c>
      <c r="M70" s="33">
        <v>5.8752657927410606E-2</v>
      </c>
      <c r="N70" s="32">
        <v>-16.067603275970445</v>
      </c>
      <c r="O70">
        <v>286122008</v>
      </c>
      <c r="P70">
        <v>398623008</v>
      </c>
      <c r="Q70" s="34">
        <v>401804672</v>
      </c>
      <c r="R70" s="32">
        <v>27.549042250588261</v>
      </c>
      <c r="S70" s="32" t="e">
        <v>#N/A</v>
      </c>
      <c r="T70" s="32">
        <v>-2.9710953684480801</v>
      </c>
      <c r="U70" s="32" t="e">
        <v>#N/A</v>
      </c>
      <c r="V70" s="32" t="e">
        <v>#N/A</v>
      </c>
    </row>
    <row r="71" spans="2:22" x14ac:dyDescent="0.25">
      <c r="B71" t="s">
        <v>119</v>
      </c>
      <c r="C71" s="29">
        <v>0.39868793355512289</v>
      </c>
      <c r="D71" s="29">
        <v>0.20822944843278154</v>
      </c>
      <c r="E71" s="29">
        <v>0.14944048375348118</v>
      </c>
      <c r="F71" s="29">
        <v>6.8324166702138159E-2</v>
      </c>
      <c r="G71" s="30">
        <v>9.3251760790308609</v>
      </c>
      <c r="H71" s="31">
        <v>9.0257472465249933</v>
      </c>
      <c r="I71" s="31">
        <v>6.5956325422818649</v>
      </c>
      <c r="J71" s="29">
        <v>0.17567155517025884</v>
      </c>
      <c r="K71" s="32">
        <v>2.4948358852330346</v>
      </c>
      <c r="L71" s="29">
        <v>0.17220873343919829</v>
      </c>
      <c r="M71" s="33">
        <v>2.0717710585729274E-2</v>
      </c>
      <c r="N71" s="32">
        <v>2.8693782904027381</v>
      </c>
      <c r="O71">
        <v>434391008</v>
      </c>
      <c r="P71">
        <v>1323880032</v>
      </c>
      <c r="Q71">
        <v>1664084480</v>
      </c>
      <c r="R71" s="32">
        <v>9.4848586841416775</v>
      </c>
      <c r="S71" s="32">
        <v>15.671708518025499</v>
      </c>
      <c r="T71" s="32">
        <v>8.6186124396761397</v>
      </c>
      <c r="U71" s="32">
        <v>11.680542604789231</v>
      </c>
      <c r="V71" s="32">
        <v>2.3014346398764318</v>
      </c>
    </row>
    <row r="72" spans="2:22" x14ac:dyDescent="0.25">
      <c r="B72" t="s">
        <v>149</v>
      </c>
      <c r="C72" s="29">
        <v>0.69611203677284783</v>
      </c>
      <c r="D72" s="29">
        <v>0.23988355628925753</v>
      </c>
      <c r="E72" s="29">
        <v>0.34794461244363684</v>
      </c>
      <c r="F72" s="29">
        <v>0.17328526848294606</v>
      </c>
      <c r="G72" s="30" t="e">
        <v>#N/A</v>
      </c>
      <c r="H72" s="31">
        <v>29.255878712246432</v>
      </c>
      <c r="I72" s="31">
        <v>25.19398084103312</v>
      </c>
      <c r="J72" s="29" t="e">
        <v>#N/A</v>
      </c>
      <c r="K72" s="32" t="e">
        <v>#N/A</v>
      </c>
      <c r="L72" s="29" t="e">
        <v>#N/A</v>
      </c>
      <c r="M72" s="33" t="e">
        <v>#N/A</v>
      </c>
      <c r="N72" s="32">
        <v>17.543502537658664</v>
      </c>
      <c r="O72">
        <v>163495992</v>
      </c>
      <c r="P72">
        <v>226331992</v>
      </c>
      <c r="Q72">
        <v>608444608</v>
      </c>
      <c r="R72" s="32" t="e">
        <v>#N/A</v>
      </c>
      <c r="S72" s="32" t="e">
        <v>#N/A</v>
      </c>
      <c r="T72" s="32" t="e">
        <v>#N/A</v>
      </c>
      <c r="U72" s="32">
        <v>13.470464610849257</v>
      </c>
      <c r="V72" s="32" t="e">
        <v>#N/A</v>
      </c>
    </row>
    <row r="73" spans="2:22" x14ac:dyDescent="0.25">
      <c r="B73" t="s">
        <v>177</v>
      </c>
      <c r="C73" s="29">
        <v>0.10596852229730658</v>
      </c>
      <c r="D73" s="29">
        <v>4.7506746500998225E-2</v>
      </c>
      <c r="E73" s="29">
        <v>0.10596852229730658</v>
      </c>
      <c r="F73" s="29">
        <v>4.7506746500998225E-2</v>
      </c>
      <c r="G73" s="30">
        <v>7.5985673962668265</v>
      </c>
      <c r="H73" s="31">
        <v>9.7019372771514192</v>
      </c>
      <c r="I73" s="31">
        <v>8.2843404508766696</v>
      </c>
      <c r="J73" s="29" t="e">
        <v>#N/A</v>
      </c>
      <c r="K73" s="32">
        <v>1.2695073686804133</v>
      </c>
      <c r="L73" s="29">
        <v>0.47310032302354549</v>
      </c>
      <c r="M73" s="33" t="e">
        <v>#N/A</v>
      </c>
      <c r="N73" s="32">
        <v>1.8601433750500889</v>
      </c>
      <c r="O73">
        <v>375694008</v>
      </c>
      <c r="P73">
        <v>375694008</v>
      </c>
      <c r="Q73">
        <v>349360480</v>
      </c>
      <c r="R73" s="32">
        <v>6.6494984369465788</v>
      </c>
      <c r="S73" s="32">
        <v>12.288297333447167</v>
      </c>
      <c r="T73" s="32">
        <v>17.161929706531204</v>
      </c>
      <c r="U73" s="32">
        <v>15.019500933773321</v>
      </c>
      <c r="V73" s="32">
        <v>1.2326467988058782</v>
      </c>
    </row>
    <row r="74" spans="2:22" x14ac:dyDescent="0.25">
      <c r="B74" t="s">
        <v>120</v>
      </c>
      <c r="C74" s="29">
        <v>5.6181061421840581E-2</v>
      </c>
      <c r="D74" s="29">
        <v>5.9593232172994705E-2</v>
      </c>
      <c r="E74" s="29">
        <v>5.6181061421840581E-2</v>
      </c>
      <c r="F74" s="29">
        <v>5.9593232172994705E-2</v>
      </c>
      <c r="G74" s="30">
        <v>17.203715960606029</v>
      </c>
      <c r="H74" s="31">
        <v>87.13336908248327</v>
      </c>
      <c r="I74" s="31">
        <v>91.660721661097142</v>
      </c>
      <c r="J74" s="29">
        <v>0.4754184036966696</v>
      </c>
      <c r="K74" s="32">
        <v>6.7743757044824058</v>
      </c>
      <c r="L74" s="29">
        <v>0.25447316307089352</v>
      </c>
      <c r="M74" s="33" t="e">
        <v>#N/A</v>
      </c>
      <c r="N74" s="32">
        <v>44.361647549654322</v>
      </c>
      <c r="O74">
        <v>561255008</v>
      </c>
      <c r="P74">
        <v>561255008</v>
      </c>
      <c r="Q74">
        <v>1853021440</v>
      </c>
      <c r="R74" s="32">
        <v>33.829733274930646</v>
      </c>
      <c r="S74" s="32">
        <v>44.978033777225612</v>
      </c>
      <c r="T74" s="32">
        <v>-5.3874174278307327</v>
      </c>
      <c r="U74" s="32">
        <v>47.131529685358032</v>
      </c>
      <c r="V74" s="32">
        <v>7.5091581458397529</v>
      </c>
    </row>
    <row r="75" spans="2:22" x14ac:dyDescent="0.25">
      <c r="B75" t="s">
        <v>150</v>
      </c>
      <c r="C75" s="29">
        <v>9.5920129033711235E-2</v>
      </c>
      <c r="D75" s="29">
        <v>0.1105611158374363</v>
      </c>
      <c r="E75" s="29">
        <v>9.394751297905049E-2</v>
      </c>
      <c r="F75" s="29">
        <v>0.10821726950783576</v>
      </c>
      <c r="G75" s="30">
        <v>13.721754431983326</v>
      </c>
      <c r="H75" s="31">
        <v>8.9502324370157282</v>
      </c>
      <c r="I75" s="31">
        <v>8.101258427266119</v>
      </c>
      <c r="J75" s="29">
        <v>0.18152785105857688</v>
      </c>
      <c r="K75" s="32">
        <v>2.3948793974663927</v>
      </c>
      <c r="L75" s="29">
        <v>0.19907497541614111</v>
      </c>
      <c r="M75" s="33" t="e">
        <v>#N/A</v>
      </c>
      <c r="N75" s="32">
        <v>7.6044066964936601</v>
      </c>
      <c r="O75">
        <v>1147482992</v>
      </c>
      <c r="P75">
        <v>1172335992</v>
      </c>
      <c r="Q75">
        <v>835200000</v>
      </c>
      <c r="R75" s="32">
        <v>5.9682319487779782</v>
      </c>
      <c r="S75" s="32">
        <v>8.9076155907460262</v>
      </c>
      <c r="T75" s="32">
        <v>-0.9022988505747126</v>
      </c>
      <c r="U75" s="32">
        <v>10.346412549639119</v>
      </c>
      <c r="V75" s="32">
        <v>1.3770248754137615</v>
      </c>
    </row>
    <row r="76" spans="2:22" x14ac:dyDescent="0.25">
      <c r="B76" t="s">
        <v>178</v>
      </c>
      <c r="C76" s="29" t="e">
        <v>#N/A</v>
      </c>
      <c r="D76" s="29" t="e">
        <v>#N/A</v>
      </c>
      <c r="E76" s="29" t="e">
        <v>#N/A</v>
      </c>
      <c r="F76" s="29" t="e">
        <v>#N/A</v>
      </c>
      <c r="G76" s="30">
        <v>2.9113718704374629</v>
      </c>
      <c r="H76" s="31" t="e">
        <v>#N/A</v>
      </c>
      <c r="I76" s="31" t="e">
        <v>#N/A</v>
      </c>
      <c r="J76" s="29">
        <v>0.19524757404161608</v>
      </c>
      <c r="K76" s="32" t="e">
        <v>#N/A</v>
      </c>
      <c r="L76" s="29">
        <v>0.56064662194957815</v>
      </c>
      <c r="M76" s="33" t="e">
        <v>#N/A</v>
      </c>
      <c r="N76" s="32">
        <v>7.1534472088618868</v>
      </c>
      <c r="O76" t="e">
        <v>#N/A</v>
      </c>
      <c r="P76" t="e">
        <v>#N/A</v>
      </c>
      <c r="Q76">
        <v>323666112</v>
      </c>
      <c r="R76" s="32" t="e">
        <v>#N/A</v>
      </c>
      <c r="S76" s="32" t="e">
        <v>#N/A</v>
      </c>
      <c r="T76" s="32" t="e">
        <v>#N/A</v>
      </c>
      <c r="U76" s="32">
        <v>60.386119165268937</v>
      </c>
      <c r="V76" s="32">
        <v>1.7107696603698994</v>
      </c>
    </row>
    <row r="77" spans="2:22" x14ac:dyDescent="0.25">
      <c r="B77" t="s">
        <v>121</v>
      </c>
      <c r="C77" s="29">
        <v>6.5855066784588384E-2</v>
      </c>
      <c r="D77" s="29">
        <v>5.1811092817797756E-2</v>
      </c>
      <c r="E77" s="29">
        <v>5.8304497246794582E-2</v>
      </c>
      <c r="F77" s="29">
        <v>4.6856510709523132E-2</v>
      </c>
      <c r="G77" s="30">
        <v>5.5540574962502092</v>
      </c>
      <c r="H77" s="31">
        <v>69.664795445908538</v>
      </c>
      <c r="I77" s="31">
        <v>68.23095359189513</v>
      </c>
      <c r="J77" s="29">
        <v>0.2334730568642068</v>
      </c>
      <c r="K77" s="32">
        <v>2.851597587331677</v>
      </c>
      <c r="L77" s="29">
        <v>0.51090841886040883</v>
      </c>
      <c r="M77" s="33">
        <v>2.2649976351032851E-2</v>
      </c>
      <c r="N77" s="32">
        <v>-1.4590339981482234</v>
      </c>
      <c r="O77">
        <v>11563005824</v>
      </c>
      <c r="P77">
        <v>12785671808</v>
      </c>
      <c r="Q77">
        <v>21074647040</v>
      </c>
      <c r="R77" s="32">
        <v>17.653106378342908</v>
      </c>
      <c r="S77" s="32">
        <v>28.587921231895962</v>
      </c>
      <c r="T77" s="32">
        <v>-9.3008152035935598</v>
      </c>
      <c r="U77" s="32">
        <v>673.35958345426673</v>
      </c>
      <c r="V77" s="32">
        <v>2.4083014870108137</v>
      </c>
    </row>
    <row r="78" spans="2:22" x14ac:dyDescent="0.25">
      <c r="B78" t="s">
        <v>122</v>
      </c>
      <c r="C78" s="29">
        <v>0.44600162968568346</v>
      </c>
      <c r="D78" s="29">
        <v>-0.15213181665040693</v>
      </c>
      <c r="E78" s="29">
        <v>0.19155296919895076</v>
      </c>
      <c r="F78" s="29">
        <v>-7.481322999269098E-2</v>
      </c>
      <c r="G78" s="30">
        <v>-13.242890816991826</v>
      </c>
      <c r="H78" s="31">
        <v>36.394841132905206</v>
      </c>
      <c r="I78" s="31">
        <v>14.182765678291625</v>
      </c>
      <c r="J78" s="29">
        <v>0.42060435969126297</v>
      </c>
      <c r="K78" s="32">
        <v>24.320172749461594</v>
      </c>
      <c r="L78" s="29">
        <v>0.31415706404605354</v>
      </c>
      <c r="M78" s="33">
        <v>1.7153727009081028E-2</v>
      </c>
      <c r="N78" s="32">
        <v>-10.121514321104961</v>
      </c>
      <c r="O78">
        <v>3425099808</v>
      </c>
      <c r="P78">
        <v>6964899872</v>
      </c>
      <c r="Q78" s="34">
        <v>27029952512</v>
      </c>
      <c r="R78" s="32">
        <v>218.43182035893756</v>
      </c>
      <c r="S78" s="32" t="e">
        <v>#N/A</v>
      </c>
      <c r="T78" s="32">
        <v>-3.3215004710105203</v>
      </c>
      <c r="U78" s="32" t="e">
        <v>#N/A</v>
      </c>
      <c r="V78" s="32">
        <v>7.4687890687402492</v>
      </c>
    </row>
    <row r="79" spans="2:22" x14ac:dyDescent="0.25">
      <c r="B79" t="s">
        <v>123</v>
      </c>
      <c r="C79" s="29">
        <v>0.44760183213524718</v>
      </c>
      <c r="D79" s="29">
        <v>0.29168710659154856</v>
      </c>
      <c r="E79" s="29">
        <v>0.29116051183126179</v>
      </c>
      <c r="F79" s="29">
        <v>0.21249989731053298</v>
      </c>
      <c r="G79" s="30">
        <v>17.551063346883137</v>
      </c>
      <c r="H79" s="31">
        <v>45.536709981237045</v>
      </c>
      <c r="I79" s="31">
        <v>45.831956677653054</v>
      </c>
      <c r="J79" s="29">
        <v>-1.3066234924955076E-2</v>
      </c>
      <c r="K79" s="32">
        <v>-5.369077027730311E-2</v>
      </c>
      <c r="L79" s="29">
        <v>0.65472535243213847</v>
      </c>
      <c r="M79" s="33">
        <v>7.9628067832007536E-3</v>
      </c>
      <c r="N79" s="32">
        <v>-2.178241451659531</v>
      </c>
      <c r="O79">
        <v>790316016</v>
      </c>
      <c r="P79">
        <v>1084824016</v>
      </c>
      <c r="Q79">
        <v>1484407552</v>
      </c>
      <c r="R79" s="32">
        <v>3.792462433958256</v>
      </c>
      <c r="S79" s="32">
        <v>5.9702201649444211</v>
      </c>
      <c r="T79" s="32">
        <v>24.05794820424088</v>
      </c>
      <c r="U79" s="32">
        <v>7.5232837904784358</v>
      </c>
      <c r="V79" s="32">
        <v>1.1934325097670635</v>
      </c>
    </row>
    <row r="80" spans="2:22" x14ac:dyDescent="0.25">
      <c r="B80" t="s">
        <v>151</v>
      </c>
      <c r="C80" s="29" t="e">
        <v>#N/A</v>
      </c>
      <c r="D80" s="29" t="e">
        <v>#N/A</v>
      </c>
      <c r="E80" s="29" t="e">
        <v>#N/A</v>
      </c>
      <c r="F80" s="29" t="e">
        <v>#N/A</v>
      </c>
      <c r="G80" s="30" t="e">
        <v>#N/A</v>
      </c>
      <c r="H80" s="31" t="e">
        <v>#N/A</v>
      </c>
      <c r="I80" s="31" t="e">
        <v>#N/A</v>
      </c>
      <c r="J80" s="29" t="e">
        <v>#N/A</v>
      </c>
      <c r="K80" s="32" t="e">
        <v>#N/A</v>
      </c>
      <c r="L80" s="29" t="e">
        <v>#N/A</v>
      </c>
      <c r="M80" s="33" t="e">
        <v>#N/A</v>
      </c>
      <c r="N80" s="32" t="e">
        <v>#N/A</v>
      </c>
      <c r="O80" t="e">
        <v>#N/A</v>
      </c>
      <c r="P80" t="e">
        <v>#N/A</v>
      </c>
      <c r="Q80">
        <v>938818944</v>
      </c>
      <c r="R80" s="32" t="e">
        <v>#N/A</v>
      </c>
      <c r="S80" s="32" t="e">
        <v>#N/A</v>
      </c>
      <c r="T80" s="32" t="e">
        <v>#N/A</v>
      </c>
      <c r="U80" s="32" t="e">
        <v>#N/A</v>
      </c>
      <c r="V80" s="32" t="e">
        <v>#N/A</v>
      </c>
    </row>
    <row r="81" spans="2:22" x14ac:dyDescent="0.25">
      <c r="B81" t="s">
        <v>152</v>
      </c>
      <c r="C81" s="29">
        <v>5.1038851337186688E-3</v>
      </c>
      <c r="D81" s="29">
        <v>1.7290591670842528E-2</v>
      </c>
      <c r="E81" s="29">
        <v>5.1038851337186688E-3</v>
      </c>
      <c r="F81" s="29">
        <v>1.7290591670842528E-2</v>
      </c>
      <c r="G81" s="30">
        <v>-7.4133692718738127</v>
      </c>
      <c r="H81" s="31">
        <v>23.559710869899344</v>
      </c>
      <c r="I81" s="31">
        <v>56.023406691260654</v>
      </c>
      <c r="J81" s="29">
        <v>0.60920291385410397</v>
      </c>
      <c r="K81" s="32">
        <v>-127.57664268448741</v>
      </c>
      <c r="L81" s="29">
        <v>0.32920746186256183</v>
      </c>
      <c r="M81" s="33" t="e">
        <v>#N/A</v>
      </c>
      <c r="N81" s="32">
        <v>100.93445920485186</v>
      </c>
      <c r="O81">
        <v>2764220040</v>
      </c>
      <c r="P81">
        <v>2764220040</v>
      </c>
      <c r="Q81">
        <v>833302272</v>
      </c>
      <c r="R81" s="32" t="e">
        <v>#N/A</v>
      </c>
      <c r="S81" s="32" t="e">
        <v>#N/A</v>
      </c>
      <c r="T81" s="32">
        <v>-5.2859570266478286</v>
      </c>
      <c r="U81" s="32" t="e">
        <v>#N/A</v>
      </c>
      <c r="V81" s="32">
        <v>0.85557177355913971</v>
      </c>
    </row>
    <row r="82" spans="2:22" x14ac:dyDescent="0.25">
      <c r="B82" t="s">
        <v>124</v>
      </c>
      <c r="C82" s="29" t="e">
        <v>#N/A</v>
      </c>
      <c r="D82" s="29" t="e">
        <v>#N/A</v>
      </c>
      <c r="E82" s="29" t="e">
        <v>#N/A</v>
      </c>
      <c r="F82" s="29" t="e">
        <v>#N/A</v>
      </c>
      <c r="G82" s="30" t="e">
        <v>#N/A</v>
      </c>
      <c r="H82" s="31" t="e">
        <v>#N/A</v>
      </c>
      <c r="I82" s="31" t="e">
        <v>#N/A</v>
      </c>
      <c r="J82" s="29" t="e">
        <v>#N/A</v>
      </c>
      <c r="K82" s="32" t="e">
        <v>#N/A</v>
      </c>
      <c r="L82" s="29" t="e">
        <v>#N/A</v>
      </c>
      <c r="M82" s="33" t="e">
        <v>#N/A</v>
      </c>
      <c r="N82" s="32" t="e">
        <v>#N/A</v>
      </c>
      <c r="O82" t="e">
        <v>#N/A</v>
      </c>
      <c r="P82" t="e">
        <v>#N/A</v>
      </c>
      <c r="Q82">
        <v>1303198336</v>
      </c>
      <c r="R82" s="32" t="e">
        <v>#N/A</v>
      </c>
      <c r="S82" s="32" t="e">
        <v>#N/A</v>
      </c>
      <c r="T82" s="32" t="e">
        <v>#N/A</v>
      </c>
      <c r="U82" s="32" t="e">
        <v>#N/A</v>
      </c>
      <c r="V82" s="32">
        <v>7.6206378450089671</v>
      </c>
    </row>
    <row r="83" spans="2:22" x14ac:dyDescent="0.25">
      <c r="B83" t="s">
        <v>125</v>
      </c>
      <c r="C83" s="29">
        <v>0.22316020058640235</v>
      </c>
      <c r="D83" s="29">
        <v>0.11487859834317495</v>
      </c>
      <c r="E83" s="29">
        <v>0.22316020058640235</v>
      </c>
      <c r="F83" s="29">
        <v>0.11487859834317495</v>
      </c>
      <c r="G83" s="30">
        <v>12.975835134749897</v>
      </c>
      <c r="H83" s="31">
        <v>78.495701342194977</v>
      </c>
      <c r="I83" s="31">
        <v>70.232232260461103</v>
      </c>
      <c r="J83" s="29">
        <v>0.15140644318695165</v>
      </c>
      <c r="K83" s="32">
        <v>1.273557878563232</v>
      </c>
      <c r="L83" s="29">
        <v>0.75317837350531447</v>
      </c>
      <c r="M83" s="33" t="e">
        <v>#N/A</v>
      </c>
      <c r="N83" s="32">
        <v>12.215496306832179</v>
      </c>
      <c r="O83">
        <v>703441800</v>
      </c>
      <c r="P83">
        <v>703441800</v>
      </c>
      <c r="Q83">
        <v>3640000000</v>
      </c>
      <c r="R83" s="32">
        <v>40.646406379543706</v>
      </c>
      <c r="S83" s="32">
        <v>46.498352225824107</v>
      </c>
      <c r="T83" s="32">
        <v>0.96326604395604398</v>
      </c>
      <c r="U83" s="32">
        <v>45.78112336812876</v>
      </c>
      <c r="V83" s="32">
        <v>6.2147643869474933</v>
      </c>
    </row>
    <row r="84" spans="2:22" x14ac:dyDescent="0.25">
      <c r="B84" t="s">
        <v>179</v>
      </c>
      <c r="C84" s="29" t="e">
        <v>#N/A</v>
      </c>
      <c r="D84" s="29" t="e">
        <v>#N/A</v>
      </c>
      <c r="E84" s="29" t="e">
        <v>#N/A</v>
      </c>
      <c r="F84" s="29" t="e">
        <v>#N/A</v>
      </c>
      <c r="G84" s="30" t="e">
        <v>#N/A</v>
      </c>
      <c r="H84" s="31" t="e">
        <v>#N/A</v>
      </c>
      <c r="I84" s="31" t="e">
        <v>#N/A</v>
      </c>
      <c r="J84" s="29" t="e">
        <v>#N/A</v>
      </c>
      <c r="K84" s="32" t="e">
        <v>#N/A</v>
      </c>
      <c r="L84" s="29" t="e">
        <v>#N/A</v>
      </c>
      <c r="M84" s="33" t="e">
        <v>#N/A</v>
      </c>
      <c r="N84" s="32" t="e">
        <v>#N/A</v>
      </c>
      <c r="O84" t="e">
        <v>#N/A</v>
      </c>
      <c r="P84" t="e">
        <v>#N/A</v>
      </c>
      <c r="Q84">
        <v>359288224</v>
      </c>
      <c r="R84" s="32" t="e">
        <v>#N/A</v>
      </c>
      <c r="S84" s="32" t="e">
        <v>#N/A</v>
      </c>
      <c r="T84" s="32" t="e">
        <v>#N/A</v>
      </c>
      <c r="U84" s="32" t="e">
        <v>#N/A</v>
      </c>
      <c r="V84" s="32" t="e">
        <v>#N/A</v>
      </c>
    </row>
    <row r="85" spans="2:22" x14ac:dyDescent="0.25">
      <c r="B85" t="s">
        <v>180</v>
      </c>
      <c r="C85" s="29" t="e">
        <v>#N/A</v>
      </c>
      <c r="D85" s="29" t="e">
        <v>#N/A</v>
      </c>
      <c r="E85" s="29" t="e">
        <v>#N/A</v>
      </c>
      <c r="F85" s="29" t="e">
        <v>#N/A</v>
      </c>
      <c r="G85" s="30" t="e">
        <v>#N/A</v>
      </c>
      <c r="H85" s="31" t="e">
        <v>#N/A</v>
      </c>
      <c r="I85" s="31" t="e">
        <v>#N/A</v>
      </c>
      <c r="J85" s="29" t="e">
        <v>#N/A</v>
      </c>
      <c r="K85" s="32" t="e">
        <v>#N/A</v>
      </c>
      <c r="L85" s="29" t="e">
        <v>#N/A</v>
      </c>
      <c r="M85" s="33" t="e">
        <v>#N/A</v>
      </c>
      <c r="N85" s="32" t="e">
        <v>#N/A</v>
      </c>
      <c r="O85" t="e">
        <v>#N/A</v>
      </c>
      <c r="P85" t="e">
        <v>#N/A</v>
      </c>
      <c r="Q85">
        <v>252484272</v>
      </c>
      <c r="R85" s="32" t="e">
        <v>#N/A</v>
      </c>
      <c r="S85" s="32" t="e">
        <v>#N/A</v>
      </c>
      <c r="T85" s="32" t="e">
        <v>#N/A</v>
      </c>
      <c r="U85" s="32" t="e">
        <v>#N/A</v>
      </c>
      <c r="V85" s="32" t="e">
        <v>#N/A</v>
      </c>
    </row>
    <row r="86" spans="2:22" x14ac:dyDescent="0.25">
      <c r="B86" t="s">
        <v>181</v>
      </c>
      <c r="C86" s="29" t="e">
        <v>#N/A</v>
      </c>
      <c r="D86" s="29" t="e">
        <v>#N/A</v>
      </c>
      <c r="E86" s="29" t="e">
        <v>#N/A</v>
      </c>
      <c r="F86" s="29" t="e">
        <v>#N/A</v>
      </c>
      <c r="G86" s="30" t="e">
        <v>#N/A</v>
      </c>
      <c r="H86" s="31" t="e">
        <v>#N/A</v>
      </c>
      <c r="I86" s="31" t="e">
        <v>#N/A</v>
      </c>
      <c r="J86" s="29" t="e">
        <v>#N/A</v>
      </c>
      <c r="K86" s="32" t="e">
        <v>#N/A</v>
      </c>
      <c r="L86" s="29" t="e">
        <v>#N/A</v>
      </c>
      <c r="M86" s="33" t="e">
        <v>#N/A</v>
      </c>
      <c r="N86" s="32" t="e">
        <v>#N/A</v>
      </c>
      <c r="O86" t="e">
        <v>#N/A</v>
      </c>
      <c r="P86" t="e">
        <v>#N/A</v>
      </c>
      <c r="Q86">
        <v>489463520</v>
      </c>
      <c r="R86" s="32" t="e">
        <v>#N/A</v>
      </c>
      <c r="S86" s="32" t="e">
        <v>#N/A</v>
      </c>
      <c r="T86" s="32" t="e">
        <v>#N/A</v>
      </c>
      <c r="U86" s="32" t="e">
        <v>#N/A</v>
      </c>
      <c r="V86" s="32" t="e">
        <v>#N/A</v>
      </c>
    </row>
    <row r="87" spans="2:22" x14ac:dyDescent="0.25">
      <c r="B87" t="s">
        <v>153</v>
      </c>
      <c r="C87" s="29" t="e">
        <v>#N/A</v>
      </c>
      <c r="D87" s="29" t="e">
        <v>#N/A</v>
      </c>
      <c r="E87" s="29" t="e">
        <v>#N/A</v>
      </c>
      <c r="F87" s="29" t="e">
        <v>#N/A</v>
      </c>
      <c r="G87" s="30" t="e">
        <v>#N/A</v>
      </c>
      <c r="H87" s="31" t="e">
        <v>#N/A</v>
      </c>
      <c r="I87" s="31" t="e">
        <v>#N/A</v>
      </c>
      <c r="J87" s="29" t="e">
        <v>#N/A</v>
      </c>
      <c r="K87" s="32" t="e">
        <v>#N/A</v>
      </c>
      <c r="L87" s="29" t="e">
        <v>#N/A</v>
      </c>
      <c r="M87" s="33" t="e">
        <v>#N/A</v>
      </c>
      <c r="N87" s="32" t="e">
        <v>#N/A</v>
      </c>
      <c r="O87" t="e">
        <v>#N/A</v>
      </c>
      <c r="P87" t="e">
        <v>#N/A</v>
      </c>
      <c r="Q87">
        <v>570987328</v>
      </c>
      <c r="R87" s="32" t="e">
        <v>#N/A</v>
      </c>
      <c r="S87" s="32" t="e">
        <v>#N/A</v>
      </c>
      <c r="T87" s="32" t="e">
        <v>#N/A</v>
      </c>
      <c r="U87" s="32" t="e">
        <v>#N/A</v>
      </c>
      <c r="V87" s="32" t="e">
        <v>#N/A</v>
      </c>
    </row>
    <row r="88" spans="2:22" x14ac:dyDescent="0.25">
      <c r="B88" t="s">
        <v>182</v>
      </c>
      <c r="C88" s="29" t="e">
        <v>#N/A</v>
      </c>
      <c r="D88" s="29" t="e">
        <v>#N/A</v>
      </c>
      <c r="E88" s="29" t="e">
        <v>#N/A</v>
      </c>
      <c r="F88" s="29" t="e">
        <v>#N/A</v>
      </c>
      <c r="G88" s="30" t="e">
        <v>#N/A</v>
      </c>
      <c r="H88" s="31" t="e">
        <v>#N/A</v>
      </c>
      <c r="I88" s="31" t="e">
        <v>#N/A</v>
      </c>
      <c r="J88" s="29" t="e">
        <v>#N/A</v>
      </c>
      <c r="K88" s="32" t="e">
        <v>#N/A</v>
      </c>
      <c r="L88" s="29" t="e">
        <v>#N/A</v>
      </c>
      <c r="M88" s="33" t="e">
        <v>#N/A</v>
      </c>
      <c r="N88" s="32" t="e">
        <v>#N/A</v>
      </c>
      <c r="O88" t="e">
        <v>#N/A</v>
      </c>
      <c r="P88" t="e">
        <v>#N/A</v>
      </c>
      <c r="Q88">
        <v>371099840</v>
      </c>
      <c r="R88" s="32" t="e">
        <v>#N/A</v>
      </c>
      <c r="S88" s="32" t="e">
        <v>#N/A</v>
      </c>
      <c r="T88" s="32" t="e">
        <v>#N/A</v>
      </c>
      <c r="U88" s="32" t="e">
        <v>#N/A</v>
      </c>
      <c r="V88" s="32" t="e">
        <v>#N/A</v>
      </c>
    </row>
    <row r="89" spans="2:22" x14ac:dyDescent="0.25">
      <c r="B89" t="s">
        <v>183</v>
      </c>
      <c r="C89" s="29" t="e">
        <v>#N/A</v>
      </c>
      <c r="D89" s="29" t="e">
        <v>#N/A</v>
      </c>
      <c r="E89" s="29" t="e">
        <v>#N/A</v>
      </c>
      <c r="F89" s="29" t="e">
        <v>#N/A</v>
      </c>
      <c r="G89" s="30" t="e">
        <v>#N/A</v>
      </c>
      <c r="H89" s="31" t="e">
        <v>#N/A</v>
      </c>
      <c r="I89" s="31" t="e">
        <v>#N/A</v>
      </c>
      <c r="J89" s="29" t="e">
        <v>#N/A</v>
      </c>
      <c r="K89" s="32" t="e">
        <v>#N/A</v>
      </c>
      <c r="L89" s="29" t="e">
        <v>#N/A</v>
      </c>
      <c r="M89" s="33" t="e">
        <v>#N/A</v>
      </c>
      <c r="N89" s="32" t="e">
        <v>#N/A</v>
      </c>
      <c r="O89" t="e">
        <v>#N/A</v>
      </c>
      <c r="P89" t="e">
        <v>#N/A</v>
      </c>
      <c r="Q89">
        <v>383524128</v>
      </c>
      <c r="R89" s="32" t="e">
        <v>#N/A</v>
      </c>
      <c r="S89" s="32" t="e">
        <v>#N/A</v>
      </c>
      <c r="T89" s="32" t="e">
        <v>#N/A</v>
      </c>
      <c r="U89" s="32" t="e">
        <v>#N/A</v>
      </c>
      <c r="V89" s="32" t="e">
        <v>#N/A</v>
      </c>
    </row>
    <row r="90" spans="2:22" x14ac:dyDescent="0.25">
      <c r="B90" t="s">
        <v>184</v>
      </c>
      <c r="C90" s="29" t="e">
        <v>#N/A</v>
      </c>
      <c r="D90" s="29" t="e">
        <v>#N/A</v>
      </c>
      <c r="E90" s="29" t="e">
        <v>#N/A</v>
      </c>
      <c r="F90" s="29" t="e">
        <v>#N/A</v>
      </c>
      <c r="G90" s="30" t="e">
        <v>#N/A</v>
      </c>
      <c r="H90" s="31" t="e">
        <v>#N/A</v>
      </c>
      <c r="I90" s="31" t="e">
        <v>#N/A</v>
      </c>
      <c r="J90" s="29" t="e">
        <v>#N/A</v>
      </c>
      <c r="K90" s="32" t="e">
        <v>#N/A</v>
      </c>
      <c r="L90" s="29" t="e">
        <v>#N/A</v>
      </c>
      <c r="M90" s="33" t="e">
        <v>#N/A</v>
      </c>
      <c r="N90" s="32" t="e">
        <v>#N/A</v>
      </c>
      <c r="O90" t="e">
        <v>#N/A</v>
      </c>
      <c r="P90" t="e">
        <v>#N/A</v>
      </c>
      <c r="Q90">
        <v>448344864</v>
      </c>
      <c r="R90" s="32" t="e">
        <v>#N/A</v>
      </c>
      <c r="S90" s="32" t="e">
        <v>#N/A</v>
      </c>
      <c r="T90" s="32" t="e">
        <v>#N/A</v>
      </c>
      <c r="U90" s="32" t="e">
        <v>#N/A</v>
      </c>
      <c r="V90" s="32" t="e">
        <v>#N/A</v>
      </c>
    </row>
    <row r="91" spans="2:22" x14ac:dyDescent="0.25">
      <c r="B91" t="s">
        <v>185</v>
      </c>
      <c r="C91" s="29" t="e">
        <v>#N/A</v>
      </c>
      <c r="D91" s="29" t="e">
        <v>#N/A</v>
      </c>
      <c r="E91" s="29" t="e">
        <v>#N/A</v>
      </c>
      <c r="F91" s="29" t="e">
        <v>#N/A</v>
      </c>
      <c r="G91" s="30" t="e">
        <v>#N/A</v>
      </c>
      <c r="H91" s="31" t="e">
        <v>#N/A</v>
      </c>
      <c r="I91" s="31" t="e">
        <v>#N/A</v>
      </c>
      <c r="J91" s="29" t="e">
        <v>#N/A</v>
      </c>
      <c r="K91" s="32" t="e">
        <v>#N/A</v>
      </c>
      <c r="L91" s="29" t="e">
        <v>#N/A</v>
      </c>
      <c r="M91" s="33" t="e">
        <v>#N/A</v>
      </c>
      <c r="N91" s="32" t="e">
        <v>#N/A</v>
      </c>
      <c r="O91" s="34" t="e">
        <v>#N/A</v>
      </c>
      <c r="P91" s="34" t="e">
        <v>#N/A</v>
      </c>
      <c r="Q91" s="34">
        <v>453631744</v>
      </c>
      <c r="R91" s="32" t="e">
        <v>#N/A</v>
      </c>
      <c r="S91" s="32" t="e">
        <v>#N/A</v>
      </c>
      <c r="T91" s="32" t="e">
        <v>#N/A</v>
      </c>
      <c r="U91" s="32" t="e">
        <v>#N/A</v>
      </c>
      <c r="V91" s="32" t="e">
        <v>#N/A</v>
      </c>
    </row>
    <row r="92" spans="2:22" x14ac:dyDescent="0.25">
      <c r="B92" t="s">
        <v>186</v>
      </c>
      <c r="C92" s="29" t="e">
        <v>#N/A</v>
      </c>
      <c r="D92" s="29" t="e">
        <v>#N/A</v>
      </c>
      <c r="E92" s="29" t="e">
        <v>#N/A</v>
      </c>
      <c r="F92" s="29" t="e">
        <v>#N/A</v>
      </c>
      <c r="G92" s="30" t="e">
        <v>#N/A</v>
      </c>
      <c r="H92" s="31" t="e">
        <v>#N/A</v>
      </c>
      <c r="I92" s="31" t="e">
        <v>#N/A</v>
      </c>
      <c r="J92" s="29" t="e">
        <v>#N/A</v>
      </c>
      <c r="K92" s="32" t="e">
        <v>#N/A</v>
      </c>
      <c r="L92" s="29" t="e">
        <v>#N/A</v>
      </c>
      <c r="M92" s="33" t="e">
        <v>#N/A</v>
      </c>
      <c r="N92" s="32" t="e">
        <v>#N/A</v>
      </c>
      <c r="O92" t="e">
        <v>#N/A</v>
      </c>
      <c r="P92" t="e">
        <v>#N/A</v>
      </c>
      <c r="Q92">
        <v>399179424</v>
      </c>
      <c r="R92" s="32" t="e">
        <v>#N/A</v>
      </c>
      <c r="S92" s="32" t="e">
        <v>#N/A</v>
      </c>
      <c r="T92" s="32" t="e">
        <v>#N/A</v>
      </c>
      <c r="U92" s="32" t="e">
        <v>#N/A</v>
      </c>
      <c r="V92" s="32" t="e">
        <v>#N/A</v>
      </c>
    </row>
    <row r="93" spans="2:22" x14ac:dyDescent="0.25">
      <c r="B93" t="s">
        <v>187</v>
      </c>
      <c r="C93" s="29">
        <v>5.9258662133269566E-2</v>
      </c>
      <c r="D93" s="29">
        <v>4.7107333821876464E-2</v>
      </c>
      <c r="E93" s="29">
        <v>5.9258662133269566E-2</v>
      </c>
      <c r="F93" s="29">
        <v>4.7107333821876464E-2</v>
      </c>
      <c r="G93" s="30" t="e">
        <v>#N/A</v>
      </c>
      <c r="H93" s="31" t="e">
        <v>#N/A</v>
      </c>
      <c r="I93" s="31" t="e">
        <v>#N/A</v>
      </c>
      <c r="J93" s="29" t="e">
        <v>#N/A</v>
      </c>
      <c r="K93" s="32" t="e">
        <v>#N/A</v>
      </c>
      <c r="L93" s="29" t="e">
        <v>#N/A</v>
      </c>
      <c r="M93" s="33" t="e">
        <v>#N/A</v>
      </c>
      <c r="N93" s="32">
        <v>13.181185698724567</v>
      </c>
      <c r="O93">
        <v>1479620992</v>
      </c>
      <c r="P93">
        <v>1479620992</v>
      </c>
      <c r="Q93">
        <v>471469472</v>
      </c>
      <c r="R93" s="32" t="e">
        <v>#N/A</v>
      </c>
      <c r="S93" s="32" t="e">
        <v>#N/A</v>
      </c>
      <c r="T93" s="32">
        <v>4.2904156475268032</v>
      </c>
      <c r="U93" s="32">
        <v>14.088850585580728</v>
      </c>
      <c r="V93" s="32">
        <v>0.57608698919725398</v>
      </c>
    </row>
    <row r="94" spans="2:22" x14ac:dyDescent="0.25">
      <c r="B94" t="s">
        <v>154</v>
      </c>
      <c r="C94" s="29">
        <v>-1.973807274358921</v>
      </c>
      <c r="D94" s="29">
        <v>-0.57537766194518214</v>
      </c>
      <c r="E94" s="29">
        <v>7.4185890558262912E-2</v>
      </c>
      <c r="F94" s="29">
        <v>-9.6699870690138204E-2</v>
      </c>
      <c r="G94" s="30">
        <v>-39.298731629316322</v>
      </c>
      <c r="H94" s="31">
        <v>9.3130633367778834</v>
      </c>
      <c r="I94" s="31">
        <v>-35.548464151084239</v>
      </c>
      <c r="J94" s="29">
        <v>1.4142622381108578</v>
      </c>
      <c r="K94" s="32">
        <v>-6.6287503042489018</v>
      </c>
      <c r="L94" s="29">
        <v>0.26207512987293624</v>
      </c>
      <c r="M94" s="33">
        <v>4.9978081422760383E-2</v>
      </c>
      <c r="N94" s="32">
        <v>-13.156657866532445</v>
      </c>
      <c r="O94">
        <v>127657024</v>
      </c>
      <c r="P94">
        <v>759577024</v>
      </c>
      <c r="Q94">
        <v>861166080</v>
      </c>
      <c r="R94" s="32" t="e">
        <v>#N/A</v>
      </c>
      <c r="S94" s="32" t="e">
        <v>#N/A</v>
      </c>
      <c r="T94" s="32">
        <v>-5.456090421025408</v>
      </c>
      <c r="U94" s="32" t="e">
        <v>#N/A</v>
      </c>
      <c r="V94" s="32">
        <v>3.1714146648666599</v>
      </c>
    </row>
    <row r="95" spans="2:22" x14ac:dyDescent="0.25">
      <c r="B95" t="s">
        <v>126</v>
      </c>
      <c r="C95" s="29">
        <v>0.12497588491288567</v>
      </c>
      <c r="D95" s="29">
        <v>8.4080554138949451E-2</v>
      </c>
      <c r="E95" s="29">
        <v>7.0232156074946789E-2</v>
      </c>
      <c r="F95" s="29">
        <v>4.3512527443206703E-2</v>
      </c>
      <c r="G95" s="30">
        <v>4.4466838254468506</v>
      </c>
      <c r="H95" s="31">
        <v>13.185091078673949</v>
      </c>
      <c r="I95" s="31">
        <v>14.021959659488207</v>
      </c>
      <c r="J95" s="29">
        <v>0.53795453293758122</v>
      </c>
      <c r="K95" s="32">
        <v>3.2293367745265669</v>
      </c>
      <c r="L95" s="29">
        <v>0.28982124914088192</v>
      </c>
      <c r="M95" s="33">
        <v>7.6901461012438381E-3</v>
      </c>
      <c r="N95" s="32">
        <v>0.52328752901210018</v>
      </c>
      <c r="O95">
        <v>713756000</v>
      </c>
      <c r="P95">
        <v>1379212000</v>
      </c>
      <c r="Q95">
        <v>1242830208</v>
      </c>
      <c r="R95" s="32">
        <v>8.4279011839855471</v>
      </c>
      <c r="S95" s="32">
        <v>23.152616393587913</v>
      </c>
      <c r="T95" s="32">
        <v>13.728021647829145</v>
      </c>
      <c r="U95" s="32">
        <v>29.236575963575966</v>
      </c>
      <c r="V95" s="32">
        <v>2.0696143764552724</v>
      </c>
    </row>
    <row r="96" spans="2:22" x14ac:dyDescent="0.25">
      <c r="B96" t="s">
        <v>127</v>
      </c>
      <c r="C96" s="29">
        <v>-7.3733134271352876E-2</v>
      </c>
      <c r="D96" s="29">
        <v>-6.3743185909860223E-2</v>
      </c>
      <c r="E96" s="29">
        <v>-0.11637975218496069</v>
      </c>
      <c r="F96" s="29">
        <v>-9.1627315188343356E-2</v>
      </c>
      <c r="G96" s="30" t="e">
        <v>#N/A</v>
      </c>
      <c r="H96" s="31">
        <v>2.8712715371294872</v>
      </c>
      <c r="I96" s="31">
        <v>3.0074400660537517</v>
      </c>
      <c r="J96" s="29" t="e">
        <v>#N/A</v>
      </c>
      <c r="K96" s="32">
        <v>-8.3751080874160024</v>
      </c>
      <c r="L96" s="29" t="e">
        <v>#N/A</v>
      </c>
      <c r="M96" s="33" t="e">
        <v>#N/A</v>
      </c>
      <c r="N96" s="32">
        <v>-5.2497984110667915</v>
      </c>
      <c r="O96">
        <v>-3025750992</v>
      </c>
      <c r="P96">
        <v>-2104950992</v>
      </c>
      <c r="Q96" s="34">
        <v>2485080064</v>
      </c>
      <c r="R96" s="32" t="e">
        <v>#N/A</v>
      </c>
      <c r="S96" s="32" t="e">
        <v>#N/A</v>
      </c>
      <c r="T96" s="32">
        <v>14.325433339438677</v>
      </c>
      <c r="U96" s="32">
        <v>13.773893592086177</v>
      </c>
      <c r="V96" s="32">
        <v>4.6968187947775419</v>
      </c>
    </row>
    <row r="97" spans="2:22" x14ac:dyDescent="0.25">
      <c r="B97" t="s">
        <v>128</v>
      </c>
      <c r="C97" s="29">
        <v>3.3695565598074281E-2</v>
      </c>
      <c r="D97" s="29">
        <v>2.9202323314086259E-2</v>
      </c>
      <c r="E97" s="29">
        <v>3.3689894804121115E-2</v>
      </c>
      <c r="F97" s="29">
        <v>2.9202323314086259E-2</v>
      </c>
      <c r="G97" s="30">
        <v>2.6110680575330441</v>
      </c>
      <c r="H97" s="31">
        <v>72.1698094147022</v>
      </c>
      <c r="I97" s="31">
        <v>80.083427664827568</v>
      </c>
      <c r="J97" s="29">
        <v>0.40034628879429585</v>
      </c>
      <c r="K97" s="32">
        <v>21.769505002235746</v>
      </c>
      <c r="L97" s="29">
        <v>0.48333498448938422</v>
      </c>
      <c r="M97" s="33" t="e">
        <v>#N/A</v>
      </c>
      <c r="N97" s="32">
        <v>10.007563518551674</v>
      </c>
      <c r="O97">
        <v>12251695872</v>
      </c>
      <c r="P97">
        <v>12251695872</v>
      </c>
      <c r="Q97">
        <v>4421482496</v>
      </c>
      <c r="R97" s="32">
        <v>38.961341602348504</v>
      </c>
      <c r="S97" s="32">
        <v>39.212456229601862</v>
      </c>
      <c r="T97" s="32">
        <v>1.2617487471785753</v>
      </c>
      <c r="U97" s="32">
        <v>19.015164032032985</v>
      </c>
      <c r="V97" s="32">
        <v>0.66079776834148651</v>
      </c>
    </row>
    <row r="98" spans="2:22" x14ac:dyDescent="0.25">
      <c r="B98" t="s">
        <v>129</v>
      </c>
      <c r="C98" s="29">
        <v>0.11011214668037739</v>
      </c>
      <c r="D98" s="29">
        <v>1.6520499732750979E-3</v>
      </c>
      <c r="E98" s="29">
        <v>0.11009621308249236</v>
      </c>
      <c r="F98" s="29">
        <v>1.6518138202866466E-3</v>
      </c>
      <c r="G98" s="30">
        <v>-5.0846625409647519</v>
      </c>
      <c r="H98" s="31">
        <v>57.67962514544864</v>
      </c>
      <c r="I98" s="31">
        <v>37.363994056504765</v>
      </c>
      <c r="J98" s="29" t="e">
        <v>#N/A</v>
      </c>
      <c r="K98" s="32">
        <v>17.122561504432646</v>
      </c>
      <c r="L98" s="29">
        <v>0.37952090461378163</v>
      </c>
      <c r="M98" s="33" t="e">
        <v>#N/A</v>
      </c>
      <c r="N98" s="32">
        <v>-8.5980155744349158</v>
      </c>
      <c r="O98">
        <v>13094034896</v>
      </c>
      <c r="P98">
        <v>13095906896</v>
      </c>
      <c r="Q98">
        <v>21502500864</v>
      </c>
      <c r="R98" s="32">
        <v>65.256386941902548</v>
      </c>
      <c r="S98" s="32" t="e">
        <v>#N/A</v>
      </c>
      <c r="T98" s="32">
        <v>-4.0749074051519596</v>
      </c>
      <c r="U98" s="32" t="e">
        <v>#N/A</v>
      </c>
      <c r="V98" s="32">
        <v>3.7528369996589945</v>
      </c>
    </row>
    <row r="99" spans="2:22" x14ac:dyDescent="0.25">
      <c r="B99" t="s">
        <v>130</v>
      </c>
      <c r="C99" s="29">
        <v>4.2120492398512309E-2</v>
      </c>
      <c r="D99" s="29">
        <v>1.2422846380006309E-2</v>
      </c>
      <c r="E99" s="29">
        <v>3.5063115270707733E-2</v>
      </c>
      <c r="F99" s="29">
        <v>1.0269053668292928E-2</v>
      </c>
      <c r="G99" s="30">
        <v>-1.6826427030852953</v>
      </c>
      <c r="H99" s="31">
        <v>62.813003521193707</v>
      </c>
      <c r="I99" s="31">
        <v>72.49481613204631</v>
      </c>
      <c r="J99" s="29">
        <v>0.19846682925184073</v>
      </c>
      <c r="K99" s="32">
        <v>4.7086874203545133</v>
      </c>
      <c r="L99" s="29">
        <v>0.43423451589641554</v>
      </c>
      <c r="M99" s="33">
        <v>1.7678759433575945E-2</v>
      </c>
      <c r="N99" s="32">
        <v>24.208879036199143</v>
      </c>
      <c r="O99">
        <v>12758348864</v>
      </c>
      <c r="P99">
        <v>15434236992</v>
      </c>
      <c r="Q99">
        <v>36017954816</v>
      </c>
      <c r="R99" s="32">
        <v>31.708713762336217</v>
      </c>
      <c r="S99" s="32">
        <v>266.73143102553894</v>
      </c>
      <c r="T99" s="32">
        <v>-0.85969067811271027</v>
      </c>
      <c r="U99" s="32" t="e">
        <v>#N/A</v>
      </c>
      <c r="V99" s="32">
        <v>2.4996882881225049</v>
      </c>
    </row>
    <row r="100" spans="2:22" x14ac:dyDescent="0.25">
      <c r="B100" t="s">
        <v>155</v>
      </c>
      <c r="C100" s="29">
        <v>0.216509765071556</v>
      </c>
      <c r="D100" s="29">
        <v>-1.4544908599557784E-2</v>
      </c>
      <c r="E100" s="29">
        <v>0.13412940031905368</v>
      </c>
      <c r="F100" s="29">
        <v>-9.6225330407746189E-3</v>
      </c>
      <c r="G100" s="30">
        <v>-0.58863927095567647</v>
      </c>
      <c r="H100" s="31">
        <v>15.286951764870395</v>
      </c>
      <c r="I100" s="31">
        <v>2.7807431738862656</v>
      </c>
      <c r="J100" s="29">
        <v>0.11804543526663651</v>
      </c>
      <c r="K100" s="32">
        <v>3.0880641610316086</v>
      </c>
      <c r="L100" s="29">
        <v>0.28395828163497344</v>
      </c>
      <c r="M100" s="33">
        <v>2.5723665059010803E-2</v>
      </c>
      <c r="N100" s="32">
        <v>1.9470183421680538</v>
      </c>
      <c r="O100">
        <v>219802000</v>
      </c>
      <c r="P100">
        <v>332241000</v>
      </c>
      <c r="Q100">
        <v>549318784</v>
      </c>
      <c r="R100" s="32">
        <v>20.364956250982861</v>
      </c>
      <c r="S100" s="32">
        <v>46.056176399459424</v>
      </c>
      <c r="T100" s="32">
        <v>-13.927796068229846</v>
      </c>
      <c r="U100" s="32" t="e">
        <v>#N/A</v>
      </c>
      <c r="V100" s="32">
        <v>2.0401697400404739</v>
      </c>
    </row>
    <row r="101" spans="2:22" x14ac:dyDescent="0.25">
      <c r="B101" t="s">
        <v>156</v>
      </c>
      <c r="C101" s="29">
        <v>8.8809892177603933E-2</v>
      </c>
      <c r="D101" s="29">
        <v>0.13146011194817631</v>
      </c>
      <c r="E101" s="29">
        <v>8.8809892177603933E-2</v>
      </c>
      <c r="F101" s="29">
        <v>0.13146011194817631</v>
      </c>
      <c r="G101" s="30">
        <v>17.45765020684556</v>
      </c>
      <c r="H101" s="31">
        <v>-17.437237560651397</v>
      </c>
      <c r="I101" s="31">
        <v>32.281119753072019</v>
      </c>
      <c r="J101" s="29" t="e">
        <v>#N/A</v>
      </c>
      <c r="K101" s="32">
        <v>4.2928390510814545</v>
      </c>
      <c r="L101" s="29">
        <v>0.37720499166642274</v>
      </c>
      <c r="M101" s="33">
        <v>3.0127988307171939E-2</v>
      </c>
      <c r="N101" s="32">
        <v>214.5395243715846</v>
      </c>
      <c r="O101">
        <v>174124498</v>
      </c>
      <c r="P101">
        <v>174124498</v>
      </c>
      <c r="Q101">
        <v>833618304</v>
      </c>
      <c r="R101" s="32">
        <v>35.088377062217944</v>
      </c>
      <c r="S101" s="32">
        <v>39.568392480513523</v>
      </c>
      <c r="T101" s="32">
        <v>-13.427438368723728</v>
      </c>
      <c r="U101" s="32">
        <v>42.102587679172444</v>
      </c>
      <c r="V101" s="32">
        <v>5.2472278231871563</v>
      </c>
    </row>
    <row r="102" spans="2:22" x14ac:dyDescent="0.25">
      <c r="B102" t="s">
        <v>131</v>
      </c>
      <c r="C102" s="29" t="e">
        <v>#N/A</v>
      </c>
      <c r="D102" s="29" t="e">
        <v>#N/A</v>
      </c>
      <c r="E102" s="29" t="e">
        <v>#N/A</v>
      </c>
      <c r="F102" s="29" t="e">
        <v>#N/A</v>
      </c>
      <c r="G102" s="30">
        <v>2.1638695430065384</v>
      </c>
      <c r="H102" s="31" t="e">
        <v>#N/A</v>
      </c>
      <c r="I102" s="31" t="e">
        <v>#N/A</v>
      </c>
      <c r="J102" s="29">
        <v>-0.13289344978952172</v>
      </c>
      <c r="K102" s="32" t="e">
        <v>#N/A</v>
      </c>
      <c r="L102" s="29">
        <v>5.9804857301026734E-2</v>
      </c>
      <c r="M102" s="33" t="e">
        <v>#N/A</v>
      </c>
      <c r="N102" s="32">
        <v>-6.4400665569420381</v>
      </c>
      <c r="O102">
        <v>11332476216</v>
      </c>
      <c r="P102">
        <v>11376978216</v>
      </c>
      <c r="Q102">
        <v>2350855168</v>
      </c>
      <c r="R102" s="32" t="e">
        <v>#N/A</v>
      </c>
      <c r="S102" s="32" t="e">
        <v>#N/A</v>
      </c>
      <c r="T102" s="32">
        <v>60.919530028657213</v>
      </c>
      <c r="U102" s="32">
        <v>13.900770144322918</v>
      </c>
      <c r="V102" s="32">
        <v>0.36253941273774093</v>
      </c>
    </row>
    <row r="103" spans="2:22" x14ac:dyDescent="0.25">
      <c r="B103" t="s">
        <v>188</v>
      </c>
      <c r="C103" s="29" t="e">
        <v>#N/A</v>
      </c>
      <c r="D103" s="29">
        <v>-2.8073953462547803E-3</v>
      </c>
      <c r="E103" s="29" t="e">
        <v>#N/A</v>
      </c>
      <c r="F103" s="29">
        <v>-2.531529047478203E-3</v>
      </c>
      <c r="G103" s="30" t="e">
        <v>#N/A</v>
      </c>
      <c r="H103" s="31" t="e">
        <v>#N/A</v>
      </c>
      <c r="I103" s="31">
        <v>19.591817165386711</v>
      </c>
      <c r="J103" s="29">
        <v>0.18667575087008609</v>
      </c>
      <c r="K103" s="32">
        <v>3.4603758318739053</v>
      </c>
      <c r="L103" s="29">
        <v>0.40069817336345226</v>
      </c>
      <c r="M103" s="33" t="e">
        <v>#N/A</v>
      </c>
      <c r="N103" s="32" t="e">
        <v>#N/A</v>
      </c>
      <c r="O103">
        <v>12357665.125</v>
      </c>
      <c r="P103">
        <v>13704307.125</v>
      </c>
      <c r="Q103">
        <v>278301696</v>
      </c>
      <c r="R103" s="32">
        <v>100.93907845884414</v>
      </c>
      <c r="S103" s="32">
        <v>4207.0229051094893</v>
      </c>
      <c r="T103" s="32" t="e">
        <v>#N/A</v>
      </c>
      <c r="U103" s="32" t="e">
        <v>#N/A</v>
      </c>
      <c r="V103" s="32">
        <v>5.7373514450592689</v>
      </c>
    </row>
    <row r="104" spans="2:22" x14ac:dyDescent="0.25">
      <c r="B104" t="s">
        <v>157</v>
      </c>
      <c r="C104" s="29">
        <v>3.5743689125041028E-2</v>
      </c>
      <c r="D104" s="29">
        <v>3.9947561588988434E-2</v>
      </c>
      <c r="E104" s="29">
        <v>3.5743689125041028E-2</v>
      </c>
      <c r="F104" s="29">
        <v>3.9947561588988434E-2</v>
      </c>
      <c r="G104" s="30">
        <v>4.0918653375080636</v>
      </c>
      <c r="H104" s="31">
        <v>79.197694775396371</v>
      </c>
      <c r="I104" s="31">
        <v>79.543142043142041</v>
      </c>
      <c r="J104" s="29">
        <v>3.0938240756628738E-2</v>
      </c>
      <c r="K104" s="32">
        <v>0.55279820914614641</v>
      </c>
      <c r="L104" s="29">
        <v>0.92746591082906249</v>
      </c>
      <c r="M104" s="33">
        <v>1.0829752764668592E-2</v>
      </c>
      <c r="N104" s="32">
        <v>12.177590257793621</v>
      </c>
      <c r="O104">
        <v>803228000</v>
      </c>
      <c r="P104">
        <v>803228000</v>
      </c>
      <c r="Q104">
        <v>781667776</v>
      </c>
      <c r="R104" s="32">
        <v>17.217711885726469</v>
      </c>
      <c r="S104" s="32">
        <v>25.168971109795244</v>
      </c>
      <c r="T104" s="32" t="e">
        <v>#N/A</v>
      </c>
      <c r="U104" s="32">
        <v>24.358819213330349</v>
      </c>
      <c r="V104" s="32">
        <v>1.0049925463811531</v>
      </c>
    </row>
    <row r="105" spans="2:22" x14ac:dyDescent="0.25">
      <c r="B105" t="s">
        <v>132</v>
      </c>
      <c r="C105" s="29">
        <v>9.4677532434268713E-2</v>
      </c>
      <c r="D105" s="29">
        <v>1.4962800395025457E-2</v>
      </c>
      <c r="E105" s="29">
        <v>9.2427281418411639E-2</v>
      </c>
      <c r="F105" s="29">
        <v>1.4668475778536371E-2</v>
      </c>
      <c r="G105" s="30">
        <v>8.25814720188081</v>
      </c>
      <c r="H105" s="31">
        <v>10.808723187168722</v>
      </c>
      <c r="I105" s="31">
        <v>9.1294608337703096</v>
      </c>
      <c r="J105" s="29">
        <v>0.30631316280253201</v>
      </c>
      <c r="K105" s="32">
        <v>2.4855609632561695</v>
      </c>
      <c r="L105" s="29">
        <v>0.24013357300861704</v>
      </c>
      <c r="M105" s="33">
        <v>3.5787879282370344E-2</v>
      </c>
      <c r="N105" s="32">
        <v>3.44999210120515</v>
      </c>
      <c r="O105">
        <v>4570868968</v>
      </c>
      <c r="P105">
        <v>4662583968</v>
      </c>
      <c r="Q105">
        <v>2068398592</v>
      </c>
      <c r="R105" s="32">
        <v>4.8928635154068729</v>
      </c>
      <c r="S105" s="32">
        <v>11.22347503207882</v>
      </c>
      <c r="T105" s="32">
        <v>34.271973049186833</v>
      </c>
      <c r="U105" s="32">
        <v>33.057250556415148</v>
      </c>
      <c r="V105" s="32">
        <v>1.2986165259353435</v>
      </c>
    </row>
    <row r="106" spans="2:22" x14ac:dyDescent="0.25">
      <c r="B106" t="s">
        <v>158</v>
      </c>
      <c r="C106" s="29">
        <v>-0.56794491628781496</v>
      </c>
      <c r="D106" s="29">
        <v>-0.44810464823930868</v>
      </c>
      <c r="E106" s="29">
        <v>0.2111232883550424</v>
      </c>
      <c r="F106" s="29">
        <v>0.14071251541687135</v>
      </c>
      <c r="G106" s="30">
        <v>9.7203052896446902</v>
      </c>
      <c r="H106" s="31">
        <v>7.7247048372727933</v>
      </c>
      <c r="I106" s="31">
        <v>7.7131340576439156</v>
      </c>
      <c r="J106" s="29">
        <v>-7.9858755745257332E-2</v>
      </c>
      <c r="K106" s="32">
        <v>-0.81336955145992151</v>
      </c>
      <c r="L106" s="29">
        <v>0.24498611721133415</v>
      </c>
      <c r="M106" s="33" t="e">
        <v>#N/A</v>
      </c>
      <c r="N106" s="32">
        <v>16.282754204788549</v>
      </c>
      <c r="O106">
        <v>-72038976</v>
      </c>
      <c r="P106">
        <v>229411008</v>
      </c>
      <c r="Q106">
        <v>757651456</v>
      </c>
      <c r="R106" s="32">
        <v>6.7258663239575123</v>
      </c>
      <c r="S106" s="32">
        <v>13.027711467742847</v>
      </c>
      <c r="T106" s="32">
        <v>9.5311636278304732</v>
      </c>
      <c r="U106" s="32">
        <v>27.18031391748649</v>
      </c>
      <c r="V106" s="32">
        <v>2.4330098106107529</v>
      </c>
    </row>
    <row r="107" spans="2:22" x14ac:dyDescent="0.25">
      <c r="B107" t="s">
        <v>159</v>
      </c>
      <c r="C107" s="29">
        <v>-2.6160457023821431E-4</v>
      </c>
      <c r="D107" s="29">
        <v>-0.10280743416471018</v>
      </c>
      <c r="E107" s="29">
        <v>2.6934376128788424E-2</v>
      </c>
      <c r="F107" s="29">
        <v>3.5579474534528331E-2</v>
      </c>
      <c r="G107" s="30">
        <v>-3.4960166833306281</v>
      </c>
      <c r="H107" s="31">
        <v>26.848422116946171</v>
      </c>
      <c r="I107" s="31">
        <v>20.184337471658409</v>
      </c>
      <c r="J107" s="29">
        <v>-5.8403159477128201E-2</v>
      </c>
      <c r="K107" s="32">
        <v>-0.82086567663643928</v>
      </c>
      <c r="L107" s="29">
        <v>0.42854320146262675</v>
      </c>
      <c r="M107" s="33">
        <v>0.18209240704116395</v>
      </c>
      <c r="N107" s="32">
        <v>97.120070947706466</v>
      </c>
      <c r="O107">
        <v>-24437634.5</v>
      </c>
      <c r="P107">
        <v>70612917.5</v>
      </c>
      <c r="Q107">
        <v>613896704</v>
      </c>
      <c r="R107" s="32">
        <v>106.06533133941365</v>
      </c>
      <c r="S107" s="32">
        <v>317.50252531899076</v>
      </c>
      <c r="T107" s="32">
        <v>-0.74787484117197667</v>
      </c>
      <c r="U107" s="32" t="e">
        <v>#N/A</v>
      </c>
      <c r="V107" s="32">
        <v>4.5983651003903612</v>
      </c>
    </row>
    <row r="108" spans="2:22" x14ac:dyDescent="0.25">
      <c r="B108" t="s">
        <v>133</v>
      </c>
      <c r="C108" s="29">
        <v>3.0118768797187757E-2</v>
      </c>
      <c r="D108" s="29">
        <v>2.6103872195919579E-2</v>
      </c>
      <c r="E108" s="29">
        <v>3.0118768797187757E-2</v>
      </c>
      <c r="F108" s="29">
        <v>2.6103872195919579E-2</v>
      </c>
      <c r="G108" s="30">
        <v>1.1085462897785234</v>
      </c>
      <c r="H108" s="31">
        <v>55.285945117642072</v>
      </c>
      <c r="I108" s="31">
        <v>50.958313575031255</v>
      </c>
      <c r="J108" s="29">
        <v>0.33798467464924142</v>
      </c>
      <c r="K108" s="32">
        <v>15.635285224167006</v>
      </c>
      <c r="L108" s="29">
        <v>0.58797116263671034</v>
      </c>
      <c r="M108" s="33">
        <v>1.4881048550206727E-2</v>
      </c>
      <c r="N108" s="32">
        <v>6.6711756095035977</v>
      </c>
      <c r="O108">
        <v>2209902024</v>
      </c>
      <c r="P108">
        <v>2209902024</v>
      </c>
      <c r="Q108">
        <v>1090083328</v>
      </c>
      <c r="R108" s="32">
        <v>36.76461646411196</v>
      </c>
      <c r="S108" s="32">
        <v>37.802912424761828</v>
      </c>
      <c r="T108" s="32">
        <v>-4.456173097255185</v>
      </c>
      <c r="U108" s="32">
        <v>32.413141407668633</v>
      </c>
      <c r="V108" s="32">
        <v>0.77682100696061862</v>
      </c>
    </row>
    <row r="109" spans="2:22" x14ac:dyDescent="0.25">
      <c r="B109" t="s">
        <v>134</v>
      </c>
      <c r="C109" s="29">
        <v>0.77255634351403391</v>
      </c>
      <c r="D109" s="29">
        <v>0.51278775891463624</v>
      </c>
      <c r="E109" s="29">
        <v>0.42541846680361906</v>
      </c>
      <c r="F109" s="29">
        <v>0.25130236025493569</v>
      </c>
      <c r="G109" s="30">
        <v>17.496034683303375</v>
      </c>
      <c r="H109" s="31">
        <v>23.429195056035137</v>
      </c>
      <c r="I109" s="31">
        <v>20.211909562633831</v>
      </c>
      <c r="J109" s="29">
        <v>0.55464222539540131</v>
      </c>
      <c r="K109" s="32">
        <v>2.6765900443688082</v>
      </c>
      <c r="L109" s="29">
        <v>7.8100243875074096E-2</v>
      </c>
      <c r="M109" s="33">
        <v>2.6929949642934003E-2</v>
      </c>
      <c r="N109" s="32">
        <v>-3.5702705382228075</v>
      </c>
      <c r="O109">
        <v>377704024</v>
      </c>
      <c r="P109">
        <v>770713016</v>
      </c>
      <c r="Q109">
        <v>1000576000</v>
      </c>
      <c r="R109" s="32">
        <v>6.4780320306327113</v>
      </c>
      <c r="S109" s="32">
        <v>11.33696517796599</v>
      </c>
      <c r="T109" s="32">
        <v>14.899317992836126</v>
      </c>
      <c r="U109" s="32">
        <v>15.004575353920893</v>
      </c>
      <c r="V109" s="32">
        <v>7.5501230444220466</v>
      </c>
    </row>
    <row r="110" spans="2:22" x14ac:dyDescent="0.25">
      <c r="B110" t="s">
        <v>160</v>
      </c>
      <c r="C110" s="29">
        <v>4.981397448741625E-2</v>
      </c>
      <c r="D110" s="29">
        <v>0.10509724880829514</v>
      </c>
      <c r="E110" s="29">
        <v>4.971212999935936E-2</v>
      </c>
      <c r="F110" s="29">
        <v>0.10458802636801069</v>
      </c>
      <c r="G110" s="30">
        <v>13.422431694398728</v>
      </c>
      <c r="H110" s="31">
        <v>9.4963274637668622</v>
      </c>
      <c r="I110" s="31">
        <v>17.559849893005779</v>
      </c>
      <c r="J110" s="29">
        <v>3.8100840785102688E-2</v>
      </c>
      <c r="K110" s="32">
        <v>0.4945712210632961</v>
      </c>
      <c r="L110" s="29">
        <v>0.42966258030156057</v>
      </c>
      <c r="M110" s="33" t="e">
        <v>#N/A</v>
      </c>
      <c r="N110" s="32">
        <v>43.523701903626474</v>
      </c>
      <c r="O110">
        <v>918083024</v>
      </c>
      <c r="P110">
        <v>922553024</v>
      </c>
      <c r="Q110">
        <v>857478272</v>
      </c>
      <c r="R110" s="32">
        <v>5.7355447515700435</v>
      </c>
      <c r="S110" s="32">
        <v>5.9150366132291019</v>
      </c>
      <c r="T110" s="32">
        <v>29.896734223021806</v>
      </c>
      <c r="U110" s="32">
        <v>6.8069864219336331</v>
      </c>
      <c r="V110" s="32">
        <v>0.94289400037536741</v>
      </c>
    </row>
    <row r="111" spans="2:22" x14ac:dyDescent="0.25">
      <c r="B111" t="s">
        <v>189</v>
      </c>
      <c r="C111" s="29" t="e">
        <v>#N/A</v>
      </c>
      <c r="D111" s="29">
        <v>-0.74618201997172107</v>
      </c>
      <c r="E111" s="29" t="e">
        <v>#N/A</v>
      </c>
      <c r="F111" s="29">
        <v>-0.74618201997172107</v>
      </c>
      <c r="G111" s="30">
        <v>-20.256172481393847</v>
      </c>
      <c r="H111" s="31" t="e">
        <v>#N/A</v>
      </c>
      <c r="I111" s="31">
        <v>-187.56697689106534</v>
      </c>
      <c r="J111" s="29">
        <v>-4.8809425104877572E-3</v>
      </c>
      <c r="K111" s="32">
        <v>0.115031619009532</v>
      </c>
      <c r="L111" s="29">
        <v>0.13713770443167342</v>
      </c>
      <c r="M111" s="33" t="e">
        <v>#N/A</v>
      </c>
      <c r="N111" s="32" t="e">
        <v>#N/A</v>
      </c>
      <c r="O111">
        <v>114978273</v>
      </c>
      <c r="P111">
        <v>114978273</v>
      </c>
      <c r="Q111">
        <v>270224352</v>
      </c>
      <c r="R111" s="32" t="e">
        <v>#N/A</v>
      </c>
      <c r="S111" s="32" t="e">
        <v>#N/A</v>
      </c>
      <c r="T111" s="32">
        <v>-20.914745685096509</v>
      </c>
      <c r="U111" s="32" t="e">
        <v>#N/A</v>
      </c>
      <c r="V111" s="32">
        <v>2.266572988234175</v>
      </c>
    </row>
    <row r="112" spans="2:22" x14ac:dyDescent="0.25">
      <c r="B112" t="s">
        <v>135</v>
      </c>
      <c r="C112" s="29" t="e">
        <v>#N/A</v>
      </c>
      <c r="D112" s="29">
        <v>0</v>
      </c>
      <c r="E112" s="29" t="e">
        <v>#N/A</v>
      </c>
      <c r="F112" s="29">
        <v>0</v>
      </c>
      <c r="G112" s="30" t="e">
        <v>#N/A</v>
      </c>
      <c r="H112" s="31" t="e">
        <v>#N/A</v>
      </c>
      <c r="I112" s="31" t="e">
        <v>#N/A</v>
      </c>
      <c r="J112" s="29" t="e">
        <v>#N/A</v>
      </c>
      <c r="K112" s="32" t="e">
        <v>#N/A</v>
      </c>
      <c r="L112" s="29">
        <v>0.51702595453414724</v>
      </c>
      <c r="M112" s="33" t="e">
        <v>#N/A</v>
      </c>
      <c r="N112" s="32" t="e">
        <v>#N/A</v>
      </c>
      <c r="O112">
        <v>1113609113</v>
      </c>
      <c r="P112">
        <v>1113609113</v>
      </c>
      <c r="Q112">
        <v>1095272960</v>
      </c>
      <c r="R112" s="32" t="e">
        <v>#N/A</v>
      </c>
      <c r="S112" s="32" t="e">
        <v>#N/A</v>
      </c>
      <c r="T112" s="32" t="e">
        <v>#N/A</v>
      </c>
      <c r="U112" s="32" t="e">
        <v>#N/A</v>
      </c>
      <c r="V112" s="32">
        <v>1.2377562686332699</v>
      </c>
    </row>
    <row r="113" spans="2:22" x14ac:dyDescent="0.25">
      <c r="B113" t="s">
        <v>190</v>
      </c>
      <c r="C113" s="29">
        <v>3.1974645294462978E-2</v>
      </c>
      <c r="D113" s="29">
        <v>2.4312252015166895E-2</v>
      </c>
      <c r="E113" s="29">
        <v>3.1840800605291653E-2</v>
      </c>
      <c r="F113" s="29">
        <v>2.4304130397378294E-2</v>
      </c>
      <c r="G113" s="30" t="e">
        <v>#N/A</v>
      </c>
      <c r="H113" s="31">
        <v>9.6992888595983349</v>
      </c>
      <c r="I113" s="31">
        <v>25.252674310859071</v>
      </c>
      <c r="J113" s="29">
        <v>0.8240048430426542</v>
      </c>
      <c r="K113" s="32">
        <v>22.664646971509885</v>
      </c>
      <c r="L113" s="29">
        <v>-2.3403320069238995E-2</v>
      </c>
      <c r="M113" s="33" t="e">
        <v>#N/A</v>
      </c>
      <c r="N113" s="32">
        <v>7.8771671786782402</v>
      </c>
      <c r="O113">
        <v>241544510</v>
      </c>
      <c r="P113">
        <v>241625226</v>
      </c>
      <c r="Q113">
        <v>329118816</v>
      </c>
      <c r="R113" s="32">
        <v>52.659832803726879</v>
      </c>
      <c r="S113" s="32">
        <v>96.536762649424858</v>
      </c>
      <c r="T113" s="32">
        <v>-14.889133534072995</v>
      </c>
      <c r="U113" s="32" t="e">
        <v>#N/A</v>
      </c>
      <c r="V113" s="32" t="e">
        <v>#N/A</v>
      </c>
    </row>
    <row r="114" spans="2:22" x14ac:dyDescent="0.25">
      <c r="B114" t="s">
        <v>136</v>
      </c>
      <c r="C114" s="29">
        <v>-2.4543212858881801E-2</v>
      </c>
      <c r="D114" s="29">
        <v>-5.799699389269182E-2</v>
      </c>
      <c r="E114" s="29">
        <v>-2.4543212858881801E-2</v>
      </c>
      <c r="F114" s="29">
        <v>-5.799699389269182E-2</v>
      </c>
      <c r="G114" s="30" t="e">
        <v>#N/A</v>
      </c>
      <c r="H114" s="31">
        <v>-98.371290055538026</v>
      </c>
      <c r="I114" s="31">
        <v>-88.674583188071594</v>
      </c>
      <c r="J114" s="29" t="e">
        <v>#N/A</v>
      </c>
      <c r="K114" s="32">
        <v>-4.0363277717453769</v>
      </c>
      <c r="L114" s="29" t="e">
        <v>#N/A</v>
      </c>
      <c r="M114" s="33" t="e">
        <v>#N/A</v>
      </c>
      <c r="N114" s="32">
        <v>79.700923542470406</v>
      </c>
      <c r="O114">
        <v>2269427968</v>
      </c>
      <c r="P114">
        <v>2269427968</v>
      </c>
      <c r="Q114">
        <v>1054150592</v>
      </c>
      <c r="R114" s="32" t="e">
        <v>#N/A</v>
      </c>
      <c r="S114" s="32" t="e">
        <v>#N/A</v>
      </c>
      <c r="T114" s="32">
        <v>-0.44902047543506951</v>
      </c>
      <c r="U114" s="32" t="e">
        <v>#N/A</v>
      </c>
      <c r="V114" s="32">
        <v>0.48249299687150743</v>
      </c>
    </row>
    <row r="115" spans="2:22" x14ac:dyDescent="0.25">
      <c r="B115" t="s">
        <v>161</v>
      </c>
      <c r="C115" s="29" t="e">
        <v>#N/A</v>
      </c>
      <c r="D115" s="29">
        <v>5.0516865854867199E-2</v>
      </c>
      <c r="E115" s="29" t="e">
        <v>#N/A</v>
      </c>
      <c r="F115" s="29">
        <v>5.0516865854867199E-2</v>
      </c>
      <c r="G115" s="30">
        <v>-6.0432508115192709</v>
      </c>
      <c r="H115" s="31" t="e">
        <v>#N/A</v>
      </c>
      <c r="I115" s="31">
        <v>47.873742754473717</v>
      </c>
      <c r="J115" s="29">
        <v>2.4908578119713094E-2</v>
      </c>
      <c r="K115" s="32">
        <v>-1.364288729421697</v>
      </c>
      <c r="L115" s="29">
        <v>0.47991305056589328</v>
      </c>
      <c r="M115" s="33">
        <v>0.18768511814651484</v>
      </c>
      <c r="N115" s="32" t="e">
        <v>#N/A</v>
      </c>
      <c r="O115">
        <v>524023008</v>
      </c>
      <c r="P115">
        <v>524023008</v>
      </c>
      <c r="Q115">
        <v>543507584</v>
      </c>
      <c r="R115" s="32" t="e">
        <v>#N/A</v>
      </c>
      <c r="S115" s="32" t="e">
        <v>#N/A</v>
      </c>
      <c r="T115" s="32">
        <v>-2.6297701119107106</v>
      </c>
      <c r="U115" s="32">
        <v>242.27974258921077</v>
      </c>
      <c r="V115" s="32">
        <v>1.0903824756526048</v>
      </c>
    </row>
    <row r="116" spans="2:22" x14ac:dyDescent="0.25">
      <c r="B116" t="s">
        <v>191</v>
      </c>
      <c r="C116" s="29" t="e">
        <v>#N/A</v>
      </c>
      <c r="D116" s="29" t="e">
        <v>#N/A</v>
      </c>
      <c r="E116" s="29" t="e">
        <v>#N/A</v>
      </c>
      <c r="F116" s="29" t="e">
        <v>#N/A</v>
      </c>
      <c r="G116" s="30" t="e">
        <v>#N/A</v>
      </c>
      <c r="H116" s="31" t="e">
        <v>#N/A</v>
      </c>
      <c r="I116" s="31" t="e">
        <v>#N/A</v>
      </c>
      <c r="J116" s="29" t="e">
        <v>#N/A</v>
      </c>
      <c r="K116" s="32" t="e">
        <v>#N/A</v>
      </c>
      <c r="L116" s="29" t="e">
        <v>#N/A</v>
      </c>
      <c r="M116" s="33" t="e">
        <v>#N/A</v>
      </c>
      <c r="N116" s="32" t="e">
        <v>#N/A</v>
      </c>
      <c r="O116" t="e">
        <v>#N/A</v>
      </c>
      <c r="P116" t="e">
        <v>#N/A</v>
      </c>
      <c r="Q116">
        <v>264393200</v>
      </c>
      <c r="R116" s="32" t="e">
        <v>#N/A</v>
      </c>
      <c r="S116" s="32" t="e">
        <v>#N/A</v>
      </c>
      <c r="T116" s="32" t="e">
        <v>#N/A</v>
      </c>
      <c r="U116" s="32">
        <v>20.127659706683005</v>
      </c>
      <c r="V116" s="32" t="e">
        <v>#N/A</v>
      </c>
    </row>
    <row r="117" spans="2:22" x14ac:dyDescent="0.25">
      <c r="B117" t="s">
        <v>192</v>
      </c>
      <c r="C117" s="29" t="e">
        <v>#N/A</v>
      </c>
      <c r="D117" s="29">
        <v>2.7604235023367566E-2</v>
      </c>
      <c r="E117" s="29" t="e">
        <v>#N/A</v>
      </c>
      <c r="F117" s="29">
        <v>2.7604235023367566E-2</v>
      </c>
      <c r="G117" s="30">
        <v>0.67408981138741275</v>
      </c>
      <c r="H117" s="31" t="e">
        <v>#N/A</v>
      </c>
      <c r="I117" s="31">
        <v>72.335726443123093</v>
      </c>
      <c r="J117" s="29" t="e">
        <v>#N/A</v>
      </c>
      <c r="K117" s="32">
        <v>14.973143328123633</v>
      </c>
      <c r="L117" s="29">
        <v>0.47297893490808213</v>
      </c>
      <c r="M117" s="33" t="e">
        <v>#N/A</v>
      </c>
      <c r="N117" s="32" t="e">
        <v>#N/A</v>
      </c>
      <c r="O117">
        <v>627049291</v>
      </c>
      <c r="P117">
        <v>627049291</v>
      </c>
      <c r="Q117">
        <v>305128672</v>
      </c>
      <c r="R117" s="32">
        <v>29.495882724443888</v>
      </c>
      <c r="S117" s="32">
        <v>54.623634488700148</v>
      </c>
      <c r="T117" s="32">
        <v>2.5349282810105764</v>
      </c>
      <c r="U117" s="32">
        <v>24.002687780293407</v>
      </c>
      <c r="V117" s="32">
        <v>1.008713551684171</v>
      </c>
    </row>
    <row r="118" spans="2:22" x14ac:dyDescent="0.25">
      <c r="B118" t="s">
        <v>162</v>
      </c>
      <c r="C118" s="29" t="e">
        <v>#N/A</v>
      </c>
      <c r="D118" s="29">
        <v>6.7366546091257876E-2</v>
      </c>
      <c r="E118" s="29" t="e">
        <v>#N/A</v>
      </c>
      <c r="F118" s="29">
        <v>6.6907677283653849E-2</v>
      </c>
      <c r="G118" s="30">
        <v>3.451464843306868</v>
      </c>
      <c r="H118" s="31" t="e">
        <v>#N/A</v>
      </c>
      <c r="I118" s="31">
        <v>41.685275725624528</v>
      </c>
      <c r="J118" s="29">
        <v>0.55729903733789721</v>
      </c>
      <c r="K118" s="32">
        <v>7.2236839936787813</v>
      </c>
      <c r="L118" s="29">
        <v>0.26194053103052395</v>
      </c>
      <c r="M118" s="33" t="e">
        <v>#N/A</v>
      </c>
      <c r="N118" s="32" t="e">
        <v>#N/A</v>
      </c>
      <c r="O118">
        <v>528853000</v>
      </c>
      <c r="P118">
        <v>532480000</v>
      </c>
      <c r="Q118">
        <v>877879488</v>
      </c>
      <c r="R118" s="32">
        <v>23.499788259368589</v>
      </c>
      <c r="S118" s="32">
        <v>45.480450751721229</v>
      </c>
      <c r="T118" s="32">
        <v>-5.3924050677898965</v>
      </c>
      <c r="U118" s="32">
        <v>244.05407177758823</v>
      </c>
      <c r="V118" s="32">
        <v>5.1710208452108164</v>
      </c>
    </row>
    <row r="119" spans="2:22" x14ac:dyDescent="0.25">
      <c r="B119" t="s">
        <v>137</v>
      </c>
      <c r="C119" s="29" t="e">
        <v>#N/A</v>
      </c>
      <c r="D119" s="29">
        <v>1.0489390361929044E-2</v>
      </c>
      <c r="E119" s="29" t="e">
        <v>#N/A</v>
      </c>
      <c r="F119" s="29">
        <v>1.0489390361929044E-2</v>
      </c>
      <c r="G119" s="30">
        <v>2.8660265161162339</v>
      </c>
      <c r="H119" s="31" t="e">
        <v>#N/A</v>
      </c>
      <c r="I119" s="31">
        <v>44.257679619201824</v>
      </c>
      <c r="J119" s="29">
        <v>0.28165262946456454</v>
      </c>
      <c r="K119" s="32">
        <v>10.702336739604553</v>
      </c>
      <c r="L119" s="29">
        <v>0.700446315790066</v>
      </c>
      <c r="M119" s="33" t="e">
        <v>#N/A</v>
      </c>
      <c r="N119" s="32" t="e">
        <v>#N/A</v>
      </c>
      <c r="O119">
        <v>1117110680</v>
      </c>
      <c r="P119">
        <v>1117110680</v>
      </c>
      <c r="Q119" s="34">
        <v>1599818368</v>
      </c>
      <c r="R119" s="32">
        <v>64.145791053926359</v>
      </c>
      <c r="S119" s="32">
        <v>64.217850282644207</v>
      </c>
      <c r="T119" s="32">
        <v>-13.225827395925986</v>
      </c>
      <c r="U119" s="32">
        <v>100.95722173360832</v>
      </c>
      <c r="V119" s="32">
        <v>1.0503017040498486</v>
      </c>
    </row>
    <row r="120" spans="2:22" x14ac:dyDescent="0.25">
      <c r="B120" t="s">
        <v>163</v>
      </c>
      <c r="C120" s="29" t="e">
        <v>#N/A</v>
      </c>
      <c r="D120" s="29">
        <v>-0.87257211436234261</v>
      </c>
      <c r="E120" s="29" t="e">
        <v>#N/A</v>
      </c>
      <c r="F120" s="29">
        <v>-0.94659927728009552</v>
      </c>
      <c r="G120" s="30">
        <v>88.299835076233151</v>
      </c>
      <c r="H120" s="31" t="e">
        <v>#N/A</v>
      </c>
      <c r="I120" s="31">
        <v>19.096931151007599</v>
      </c>
      <c r="J120" s="29">
        <v>-0.45707638255168775</v>
      </c>
      <c r="K120" s="32">
        <v>-2.478416662668864</v>
      </c>
      <c r="L120" s="29">
        <v>0.14003122865557169</v>
      </c>
      <c r="M120" s="33" t="e">
        <v>#N/A</v>
      </c>
      <c r="N120" s="32" t="e">
        <v>#N/A</v>
      </c>
      <c r="O120">
        <v>-32503594.296875</v>
      </c>
      <c r="P120">
        <v>-29961706.796875</v>
      </c>
      <c r="Q120">
        <v>768042432</v>
      </c>
      <c r="R120" s="32">
        <v>22.403970785475853</v>
      </c>
      <c r="S120" s="32">
        <v>24.86368993303498</v>
      </c>
      <c r="T120" s="32">
        <v>5.3186264909384589</v>
      </c>
      <c r="U120" s="32">
        <v>37.861911426391217</v>
      </c>
      <c r="V120" s="32">
        <v>32.251127480708298</v>
      </c>
    </row>
    <row r="121" spans="2:22" x14ac:dyDescent="0.25">
      <c r="B121" t="s">
        <v>193</v>
      </c>
      <c r="C121" s="29" t="e">
        <v>#N/A</v>
      </c>
      <c r="D121" s="29">
        <v>-3.5895140223395815E-2</v>
      </c>
      <c r="E121" s="29" t="e">
        <v>#N/A</v>
      </c>
      <c r="F121" s="29">
        <v>-3.5895140223395815E-2</v>
      </c>
      <c r="G121" s="30" t="e">
        <v>#N/A</v>
      </c>
      <c r="H121" s="31" t="e">
        <v>#N/A</v>
      </c>
      <c r="I121" s="31">
        <v>-145.62254368168624</v>
      </c>
      <c r="J121" s="29" t="e">
        <v>#N/A</v>
      </c>
      <c r="K121" s="32" t="e">
        <v>#N/A</v>
      </c>
      <c r="L121" s="29" t="e">
        <v>#N/A</v>
      </c>
      <c r="M121" s="33" t="e">
        <v>#N/A</v>
      </c>
      <c r="N121" s="32" t="e">
        <v>#N/A</v>
      </c>
      <c r="O121">
        <v>348561948</v>
      </c>
      <c r="P121">
        <v>348561948</v>
      </c>
      <c r="Q121">
        <v>324628160</v>
      </c>
      <c r="R121" s="32" t="e">
        <v>#N/A</v>
      </c>
      <c r="S121" s="32" t="e">
        <v>#N/A</v>
      </c>
      <c r="T121" s="32" t="e">
        <v>#N/A</v>
      </c>
      <c r="U121" s="32" t="e">
        <v>#N/A</v>
      </c>
      <c r="V121" s="32" t="e">
        <v>#N/A</v>
      </c>
    </row>
    <row r="122" spans="2:22" x14ac:dyDescent="0.25">
      <c r="B122" t="s">
        <v>194</v>
      </c>
      <c r="C122" s="29" t="e">
        <v>#N/A</v>
      </c>
      <c r="D122" s="29">
        <v>-1.1470149961140094E-2</v>
      </c>
      <c r="E122" s="29">
        <v>0.25699756102331273</v>
      </c>
      <c r="F122" s="29">
        <v>-1.1470149961140094E-2</v>
      </c>
      <c r="G122" s="30">
        <v>-2.4976075438880025</v>
      </c>
      <c r="H122" s="31" t="e">
        <v>#N/A</v>
      </c>
      <c r="I122" s="31">
        <v>1.4673192121544603</v>
      </c>
      <c r="J122" s="29">
        <v>-0.10751937053405254</v>
      </c>
      <c r="K122" s="32">
        <v>-4.1128064003859528</v>
      </c>
      <c r="L122" s="29">
        <v>0.43526789862066478</v>
      </c>
      <c r="M122" s="33">
        <v>2.4749269034375725E-2</v>
      </c>
      <c r="N122" s="32">
        <v>28.872820482465151</v>
      </c>
      <c r="O122">
        <v>31183812</v>
      </c>
      <c r="P122">
        <v>31183812</v>
      </c>
      <c r="Q122">
        <v>261359440</v>
      </c>
      <c r="R122" s="32">
        <v>100.9626514161658</v>
      </c>
      <c r="S122" s="32" t="e">
        <v>#N/A</v>
      </c>
      <c r="T122" s="32">
        <v>-1.6235461018741086</v>
      </c>
      <c r="U122" s="32">
        <v>15247.776419861992</v>
      </c>
      <c r="V122" s="32">
        <v>0.17889254009336428</v>
      </c>
    </row>
    <row r="123" spans="2:22" x14ac:dyDescent="0.25">
      <c r="B123" t="s">
        <v>195</v>
      </c>
      <c r="C123" s="29" t="e">
        <v>#N/A</v>
      </c>
      <c r="D123" s="29">
        <v>0.17390663756288488</v>
      </c>
      <c r="E123" s="29" t="e">
        <v>#N/A</v>
      </c>
      <c r="F123" s="29">
        <v>0.11331617999746312</v>
      </c>
      <c r="G123" s="30">
        <v>5.9128465555406811</v>
      </c>
      <c r="H123" s="31" t="e">
        <v>#N/A</v>
      </c>
      <c r="I123" s="31">
        <v>15.088577563950459</v>
      </c>
      <c r="J123" s="29">
        <v>0.26138784897821055</v>
      </c>
      <c r="K123" s="32">
        <v>1.8304450907522258</v>
      </c>
      <c r="L123" s="29">
        <v>0.33611088884473528</v>
      </c>
      <c r="M123" s="33">
        <v>1.9213094989138993E-2</v>
      </c>
      <c r="N123" s="32" t="e">
        <v>#N/A</v>
      </c>
      <c r="O123">
        <v>21719056</v>
      </c>
      <c r="P123">
        <v>33332292</v>
      </c>
      <c r="Q123">
        <v>356815840</v>
      </c>
      <c r="R123" s="32">
        <v>42.578494270247567</v>
      </c>
      <c r="S123" s="32">
        <v>87.688525060220073</v>
      </c>
      <c r="T123" s="32">
        <v>1.6399555019754728</v>
      </c>
      <c r="U123" s="32">
        <v>104.28384535297447</v>
      </c>
      <c r="V123" s="32">
        <v>6.734956617034463</v>
      </c>
    </row>
    <row r="124" spans="2:22" x14ac:dyDescent="0.25">
      <c r="B124" t="s">
        <v>164</v>
      </c>
      <c r="C124" s="29" t="e">
        <v>#N/A</v>
      </c>
      <c r="D124" s="29">
        <v>-0.1321706745979199</v>
      </c>
      <c r="E124" s="29" t="e">
        <v>#N/A</v>
      </c>
      <c r="F124" s="29">
        <v>-0.1321706745979199</v>
      </c>
      <c r="G124" s="30" t="e">
        <v>#N/A</v>
      </c>
      <c r="H124" s="31" t="e">
        <v>#N/A</v>
      </c>
      <c r="I124" s="31">
        <v>-5.8829770078847083</v>
      </c>
      <c r="J124" s="29" t="e">
        <v>#N/A</v>
      </c>
      <c r="K124" s="32">
        <v>1.0607231576041953</v>
      </c>
      <c r="L124" s="29">
        <v>0.34474237201587521</v>
      </c>
      <c r="M124" s="33" t="e">
        <v>#N/A</v>
      </c>
      <c r="N124" s="32" t="e">
        <v>#N/A</v>
      </c>
      <c r="O124">
        <v>132972008</v>
      </c>
      <c r="P124">
        <v>132972008</v>
      </c>
      <c r="Q124">
        <v>616860352</v>
      </c>
      <c r="R124" s="32" t="e">
        <v>#N/A</v>
      </c>
      <c r="S124" s="32" t="e">
        <v>#N/A</v>
      </c>
      <c r="T124" s="32">
        <v>0.16373235801674607</v>
      </c>
      <c r="U124" s="32" t="e">
        <v>#N/A</v>
      </c>
      <c r="V124" s="32">
        <v>4.832914403094315</v>
      </c>
    </row>
    <row r="125" spans="2:22" x14ac:dyDescent="0.25">
      <c r="B125" t="s">
        <v>196</v>
      </c>
      <c r="C125" s="29" t="e">
        <v>#N/A</v>
      </c>
      <c r="D125" s="29" t="e">
        <v>#N/A</v>
      </c>
      <c r="E125" s="29" t="e">
        <v>#N/A</v>
      </c>
      <c r="F125" s="29" t="e">
        <v>#N/A</v>
      </c>
      <c r="G125" s="30" t="e">
        <v>#N/A</v>
      </c>
      <c r="H125" s="31" t="e">
        <v>#N/A</v>
      </c>
      <c r="I125" s="31" t="e">
        <v>#N/A</v>
      </c>
      <c r="J125" s="29" t="e">
        <v>#N/A</v>
      </c>
      <c r="K125" s="32" t="e">
        <v>#N/A</v>
      </c>
      <c r="L125" s="29" t="e">
        <v>#N/A</v>
      </c>
      <c r="M125" s="33" t="e">
        <v>#N/A</v>
      </c>
      <c r="N125" s="32" t="e">
        <v>#N/A</v>
      </c>
      <c r="O125" t="e">
        <v>#N/A</v>
      </c>
      <c r="P125" t="e">
        <v>#N/A</v>
      </c>
      <c r="Q125">
        <v>296705056</v>
      </c>
      <c r="R125" s="32" t="e">
        <v>#N/A</v>
      </c>
      <c r="S125" s="32" t="e">
        <v>#N/A</v>
      </c>
      <c r="T125" s="32" t="e">
        <v>#N/A</v>
      </c>
      <c r="U125" s="32" t="e">
        <v>#N/A</v>
      </c>
      <c r="V125" s="32" t="e">
        <v>#N/A</v>
      </c>
    </row>
    <row r="126" spans="2:22" x14ac:dyDescent="0.25">
      <c r="B126" t="s">
        <v>138</v>
      </c>
      <c r="C126" s="29" t="e">
        <v>#N/A</v>
      </c>
      <c r="D126" s="29" t="e">
        <v>#N/A</v>
      </c>
      <c r="E126" s="29" t="e">
        <v>#N/A</v>
      </c>
      <c r="F126" s="29">
        <v>0.3765355703013441</v>
      </c>
      <c r="G126" s="30">
        <v>29.859605405066112</v>
      </c>
      <c r="H126" s="31" t="e">
        <v>#N/A</v>
      </c>
      <c r="I126" s="31" t="e">
        <v>#N/A</v>
      </c>
      <c r="J126" s="29" t="e">
        <v>#N/A</v>
      </c>
      <c r="K126" s="32" t="e">
        <v>#N/A</v>
      </c>
      <c r="L126" s="29">
        <v>0.27630523559543785</v>
      </c>
      <c r="M126" s="33" t="e">
        <v>#N/A</v>
      </c>
      <c r="N126" s="32" t="e">
        <v>#N/A</v>
      </c>
      <c r="O126" t="e">
        <v>#N/A</v>
      </c>
      <c r="P126">
        <v>479304008</v>
      </c>
      <c r="Q126">
        <v>1845954944</v>
      </c>
      <c r="R126" s="32" t="e">
        <v>#N/A</v>
      </c>
      <c r="S126" s="32">
        <v>11.491966966110557</v>
      </c>
      <c r="T126" s="32" t="e">
        <v>#N/A</v>
      </c>
      <c r="U126" s="32">
        <v>5.9334859741083955E-2</v>
      </c>
      <c r="V126" s="32">
        <v>4.7575437383589625</v>
      </c>
    </row>
    <row r="127" spans="2:22" x14ac:dyDescent="0.25">
      <c r="B127" t="s">
        <v>139</v>
      </c>
      <c r="C127" s="29" t="e">
        <v>#N/A</v>
      </c>
      <c r="D127" s="29">
        <v>0.10497195561102772</v>
      </c>
      <c r="E127" s="29" t="e">
        <v>#N/A</v>
      </c>
      <c r="F127" s="29">
        <v>0.10497195561102772</v>
      </c>
      <c r="G127" s="30">
        <v>7.4558925404949141</v>
      </c>
      <c r="H127" s="31" t="e">
        <v>#N/A</v>
      </c>
      <c r="I127" s="31">
        <v>40.785634496255341</v>
      </c>
      <c r="J127" s="29" t="e">
        <v>#N/A</v>
      </c>
      <c r="K127" s="32">
        <v>0.74387775103331388</v>
      </c>
      <c r="L127" s="29">
        <v>0.51068334549537164</v>
      </c>
      <c r="M127" s="33" t="e">
        <v>#N/A</v>
      </c>
      <c r="N127" s="32">
        <v>175.15159448787625</v>
      </c>
      <c r="O127">
        <v>3741885056</v>
      </c>
      <c r="P127">
        <v>3741885056</v>
      </c>
      <c r="Q127">
        <v>9521927168</v>
      </c>
      <c r="R127" s="32">
        <v>11.559014297247115</v>
      </c>
      <c r="S127" s="32">
        <v>19.037881839039983</v>
      </c>
      <c r="T127" s="32">
        <v>-0.64179234856336176</v>
      </c>
      <c r="U127" s="32">
        <v>41.069291762127207</v>
      </c>
      <c r="V127" s="32">
        <v>2.0763920472334272</v>
      </c>
    </row>
    <row r="128" spans="2:22" x14ac:dyDescent="0.25">
      <c r="B128" t="s">
        <v>140</v>
      </c>
      <c r="C128" s="29" t="e">
        <v>#N/A</v>
      </c>
      <c r="D128" s="29">
        <v>1.0151716593426146</v>
      </c>
      <c r="E128" s="29" t="e">
        <v>#N/A</v>
      </c>
      <c r="F128" s="29">
        <v>1.0151716593426146</v>
      </c>
      <c r="G128" s="30">
        <v>-102.13366977172882</v>
      </c>
      <c r="H128" s="31" t="e">
        <v>#N/A</v>
      </c>
      <c r="I128" s="31">
        <v>-43.731261009483816</v>
      </c>
      <c r="J128" s="29">
        <v>-0.27307065841495726</v>
      </c>
      <c r="K128" s="32">
        <v>2.7795732814852672</v>
      </c>
      <c r="L128" s="29">
        <v>0.14954218708164244</v>
      </c>
      <c r="M128" s="33" t="e">
        <v>#N/A</v>
      </c>
      <c r="N128" s="32" t="e">
        <v>#N/A</v>
      </c>
      <c r="O128">
        <v>-12353362</v>
      </c>
      <c r="P128">
        <v>-12353362</v>
      </c>
      <c r="Q128">
        <v>1787500032</v>
      </c>
      <c r="R128" s="32" t="e">
        <v>#N/A</v>
      </c>
      <c r="S128" s="32" t="e">
        <v>#N/A</v>
      </c>
      <c r="T128" s="32">
        <v>-0.74016160912717677</v>
      </c>
      <c r="U128" s="32" t="e">
        <v>#N/A</v>
      </c>
      <c r="V128" s="32" t="e">
        <v>#N/A</v>
      </c>
    </row>
    <row r="129" spans="2:22" x14ac:dyDescent="0.25">
      <c r="B129" t="s">
        <v>165</v>
      </c>
      <c r="C129" s="29" t="e">
        <v>#N/A</v>
      </c>
      <c r="D129" s="29">
        <v>1.6698555871936867E-2</v>
      </c>
      <c r="E129" s="29" t="e">
        <v>#N/A</v>
      </c>
      <c r="F129" s="29">
        <v>1.6567453948350033E-2</v>
      </c>
      <c r="G129" s="30">
        <v>-4.3798626837289056</v>
      </c>
      <c r="H129" s="31" t="e">
        <v>#N/A</v>
      </c>
      <c r="I129" s="31" t="e">
        <v>#N/A</v>
      </c>
      <c r="J129" s="29">
        <v>0.41997953445550718</v>
      </c>
      <c r="K129" s="32" t="e">
        <v>#N/A</v>
      </c>
      <c r="L129" s="29">
        <v>0.4810175696389325</v>
      </c>
      <c r="M129" s="33" t="e">
        <v>#N/A</v>
      </c>
      <c r="N129" s="32" t="e">
        <v>#N/A</v>
      </c>
      <c r="O129">
        <v>638677984</v>
      </c>
      <c r="P129">
        <v>643731984</v>
      </c>
      <c r="Q129">
        <v>599462976</v>
      </c>
      <c r="R129" s="32" t="e">
        <v>#N/A</v>
      </c>
      <c r="S129" s="32" t="e">
        <v>#N/A</v>
      </c>
      <c r="T129" s="32">
        <v>-5.8051958825226935</v>
      </c>
      <c r="U129" s="32">
        <v>89.327015263404576</v>
      </c>
      <c r="V129" s="32">
        <v>1.8188031385369439</v>
      </c>
    </row>
    <row r="130" spans="2:22" x14ac:dyDescent="0.25">
      <c r="O130"/>
      <c r="P130"/>
      <c r="Q130"/>
    </row>
    <row r="131" spans="2:22" x14ac:dyDescent="0.25">
      <c r="O131"/>
      <c r="P131"/>
      <c r="Q131"/>
    </row>
    <row r="132" spans="2:22" x14ac:dyDescent="0.25">
      <c r="O132"/>
      <c r="P132"/>
      <c r="Q132"/>
    </row>
    <row r="133" spans="2:22" x14ac:dyDescent="0.25">
      <c r="O133"/>
      <c r="P133"/>
      <c r="Q133"/>
    </row>
    <row r="134" spans="2:22" x14ac:dyDescent="0.25">
      <c r="O134"/>
      <c r="P134"/>
      <c r="Q134"/>
    </row>
    <row r="135" spans="2:22" x14ac:dyDescent="0.25">
      <c r="O135"/>
      <c r="P135"/>
      <c r="Q135"/>
    </row>
    <row r="136" spans="2:22" x14ac:dyDescent="0.25">
      <c r="O136"/>
      <c r="P136"/>
      <c r="Q136"/>
    </row>
    <row r="137" spans="2:22" x14ac:dyDescent="0.25">
      <c r="O137"/>
      <c r="P137"/>
      <c r="Q137"/>
    </row>
    <row r="138" spans="2:22" x14ac:dyDescent="0.25">
      <c r="O138"/>
      <c r="P138"/>
    </row>
    <row r="139" spans="2:22" x14ac:dyDescent="0.25">
      <c r="O139"/>
      <c r="P139"/>
      <c r="Q139"/>
    </row>
    <row r="140" spans="2:22" x14ac:dyDescent="0.25">
      <c r="O140"/>
      <c r="P140"/>
      <c r="Q140"/>
    </row>
    <row r="141" spans="2:22" x14ac:dyDescent="0.25">
      <c r="O141"/>
      <c r="P141"/>
      <c r="Q141"/>
    </row>
    <row r="142" spans="2:22" x14ac:dyDescent="0.25">
      <c r="O142"/>
      <c r="P142"/>
      <c r="Q142"/>
    </row>
    <row r="143" spans="2:22" x14ac:dyDescent="0.25">
      <c r="O143"/>
      <c r="P143"/>
      <c r="Q143"/>
    </row>
    <row r="144" spans="2:22" x14ac:dyDescent="0.25">
      <c r="O144"/>
      <c r="P144"/>
      <c r="Q144"/>
    </row>
    <row r="145" spans="15:17" x14ac:dyDescent="0.25">
      <c r="O145"/>
      <c r="P145"/>
      <c r="Q145"/>
    </row>
    <row r="146" spans="15:17" x14ac:dyDescent="0.25">
      <c r="O146"/>
      <c r="P146"/>
      <c r="Q146"/>
    </row>
    <row r="147" spans="15:17" x14ac:dyDescent="0.25">
      <c r="O147"/>
      <c r="P147"/>
      <c r="Q147"/>
    </row>
    <row r="148" spans="15:17" x14ac:dyDescent="0.25">
      <c r="O148"/>
      <c r="P148"/>
      <c r="Q148"/>
    </row>
    <row r="149" spans="15:17" x14ac:dyDescent="0.25">
      <c r="O149"/>
      <c r="P149"/>
      <c r="Q149"/>
    </row>
    <row r="150" spans="15:17" x14ac:dyDescent="0.25">
      <c r="O150"/>
      <c r="P150"/>
      <c r="Q150"/>
    </row>
    <row r="151" spans="15:17" x14ac:dyDescent="0.25">
      <c r="O151"/>
      <c r="P151"/>
      <c r="Q151"/>
    </row>
    <row r="152" spans="15:17" x14ac:dyDescent="0.25">
      <c r="O152"/>
      <c r="P152"/>
      <c r="Q152"/>
    </row>
    <row r="153" spans="15:17" x14ac:dyDescent="0.25">
      <c r="O153"/>
      <c r="P153"/>
      <c r="Q153"/>
    </row>
    <row r="154" spans="15:17" x14ac:dyDescent="0.25">
      <c r="O154"/>
      <c r="P154"/>
      <c r="Q154"/>
    </row>
    <row r="155" spans="15:17" x14ac:dyDescent="0.25">
      <c r="O155"/>
      <c r="P155"/>
      <c r="Q155"/>
    </row>
    <row r="156" spans="15:17" x14ac:dyDescent="0.25">
      <c r="O156"/>
      <c r="P156"/>
      <c r="Q156"/>
    </row>
    <row r="157" spans="15:17" x14ac:dyDescent="0.25">
      <c r="O157"/>
      <c r="P157"/>
    </row>
    <row r="158" spans="15:17" x14ac:dyDescent="0.25">
      <c r="O158"/>
      <c r="P158"/>
      <c r="Q158"/>
    </row>
    <row r="159" spans="15:17" x14ac:dyDescent="0.25">
      <c r="O159"/>
      <c r="P159"/>
    </row>
    <row r="160" spans="15:17" x14ac:dyDescent="0.25">
      <c r="O160"/>
      <c r="P160"/>
      <c r="Q160"/>
    </row>
    <row r="161" spans="15:17" x14ac:dyDescent="0.25">
      <c r="O161"/>
      <c r="P161"/>
      <c r="Q161"/>
    </row>
    <row r="162" spans="15:17" x14ac:dyDescent="0.25">
      <c r="O162"/>
      <c r="P162"/>
      <c r="Q162"/>
    </row>
    <row r="163" spans="15:17" x14ac:dyDescent="0.25">
      <c r="O163"/>
      <c r="P163"/>
      <c r="Q163"/>
    </row>
    <row r="164" spans="15:17" x14ac:dyDescent="0.25">
      <c r="O164"/>
      <c r="P164"/>
      <c r="Q164"/>
    </row>
    <row r="165" spans="15:17" x14ac:dyDescent="0.25">
      <c r="O165"/>
      <c r="P165"/>
      <c r="Q165"/>
    </row>
    <row r="166" spans="15:17" x14ac:dyDescent="0.25">
      <c r="O166"/>
      <c r="P166"/>
      <c r="Q166"/>
    </row>
    <row r="167" spans="15:17" x14ac:dyDescent="0.25">
      <c r="O167"/>
      <c r="P167"/>
      <c r="Q167"/>
    </row>
    <row r="168" spans="15:17" x14ac:dyDescent="0.25">
      <c r="O168"/>
      <c r="P168"/>
    </row>
    <row r="169" spans="15:17" x14ac:dyDescent="0.25">
      <c r="O169"/>
      <c r="P169"/>
      <c r="Q169"/>
    </row>
    <row r="170" spans="15:17" x14ac:dyDescent="0.25">
      <c r="O170"/>
      <c r="P170"/>
      <c r="Q170"/>
    </row>
    <row r="171" spans="15:17" x14ac:dyDescent="0.25">
      <c r="O171"/>
      <c r="P171"/>
    </row>
    <row r="172" spans="15:17" x14ac:dyDescent="0.25">
      <c r="O172"/>
      <c r="P172"/>
      <c r="Q172"/>
    </row>
    <row r="173" spans="15:17" x14ac:dyDescent="0.25">
      <c r="O173"/>
      <c r="P173"/>
      <c r="Q173"/>
    </row>
    <row r="174" spans="15:17" x14ac:dyDescent="0.25">
      <c r="O174"/>
      <c r="P174"/>
      <c r="Q174"/>
    </row>
    <row r="175" spans="15:17" x14ac:dyDescent="0.25">
      <c r="O175"/>
      <c r="P175"/>
      <c r="Q175"/>
    </row>
    <row r="176" spans="15:17" x14ac:dyDescent="0.25">
      <c r="O176"/>
      <c r="P176"/>
      <c r="Q176"/>
    </row>
    <row r="177" spans="15:17" x14ac:dyDescent="0.25">
      <c r="O177"/>
      <c r="P177"/>
      <c r="Q177"/>
    </row>
    <row r="178" spans="15:17" x14ac:dyDescent="0.25">
      <c r="O178"/>
      <c r="P178"/>
      <c r="Q178"/>
    </row>
    <row r="179" spans="15:17" x14ac:dyDescent="0.25">
      <c r="O179"/>
      <c r="P179"/>
      <c r="Q179"/>
    </row>
    <row r="180" spans="15:17" x14ac:dyDescent="0.25">
      <c r="O180"/>
      <c r="P180"/>
      <c r="Q180"/>
    </row>
    <row r="181" spans="15:17" x14ac:dyDescent="0.25">
      <c r="O181"/>
      <c r="P181"/>
      <c r="Q181"/>
    </row>
    <row r="182" spans="15:17" x14ac:dyDescent="0.25">
      <c r="O182"/>
      <c r="P182"/>
      <c r="Q182"/>
    </row>
    <row r="183" spans="15:17" x14ac:dyDescent="0.25">
      <c r="O183"/>
      <c r="P183"/>
      <c r="Q183"/>
    </row>
    <row r="184" spans="15:17" x14ac:dyDescent="0.25">
      <c r="O184"/>
      <c r="P184"/>
      <c r="Q184"/>
    </row>
    <row r="185" spans="15:17" x14ac:dyDescent="0.25">
      <c r="O185"/>
      <c r="P185"/>
      <c r="Q185"/>
    </row>
    <row r="186" spans="15:17" x14ac:dyDescent="0.25">
      <c r="O186"/>
      <c r="P186"/>
      <c r="Q186"/>
    </row>
    <row r="187" spans="15:17" x14ac:dyDescent="0.25">
      <c r="O187"/>
      <c r="P187"/>
      <c r="Q187"/>
    </row>
    <row r="188" spans="15:17" x14ac:dyDescent="0.25">
      <c r="O188"/>
      <c r="P188"/>
    </row>
    <row r="189" spans="15:17" x14ac:dyDescent="0.25">
      <c r="O189"/>
      <c r="P189"/>
      <c r="Q189"/>
    </row>
    <row r="190" spans="15:17" x14ac:dyDescent="0.25">
      <c r="O190"/>
      <c r="P190"/>
      <c r="Q190"/>
    </row>
    <row r="191" spans="15:17" x14ac:dyDescent="0.25">
      <c r="O191"/>
      <c r="P191"/>
      <c r="Q191"/>
    </row>
    <row r="193" spans="15:17" x14ac:dyDescent="0.25">
      <c r="O193"/>
      <c r="P193"/>
      <c r="Q193"/>
    </row>
    <row r="194" spans="15:17" x14ac:dyDescent="0.25">
      <c r="O194"/>
      <c r="P194"/>
      <c r="Q194"/>
    </row>
    <row r="195" spans="15:17" x14ac:dyDescent="0.25">
      <c r="O195"/>
      <c r="P195"/>
      <c r="Q195"/>
    </row>
    <row r="196" spans="15:17" x14ac:dyDescent="0.25">
      <c r="O196"/>
      <c r="P196"/>
      <c r="Q196"/>
    </row>
    <row r="197" spans="15:17" x14ac:dyDescent="0.25">
      <c r="O197"/>
      <c r="P197"/>
      <c r="Q197"/>
    </row>
    <row r="198" spans="15:17" x14ac:dyDescent="0.25">
      <c r="O198"/>
      <c r="P198"/>
      <c r="Q198"/>
    </row>
    <row r="199" spans="15:17" x14ac:dyDescent="0.25">
      <c r="O199"/>
      <c r="P199"/>
      <c r="Q199"/>
    </row>
    <row r="200" spans="15:17" x14ac:dyDescent="0.25">
      <c r="O200"/>
      <c r="P200"/>
      <c r="Q200"/>
    </row>
    <row r="201" spans="15:17" x14ac:dyDescent="0.25">
      <c r="O201"/>
      <c r="P201"/>
      <c r="Q201"/>
    </row>
    <row r="202" spans="15:17" x14ac:dyDescent="0.25">
      <c r="O202"/>
      <c r="P202"/>
      <c r="Q202"/>
    </row>
    <row r="203" spans="15:17" x14ac:dyDescent="0.25">
      <c r="O203"/>
      <c r="P203"/>
      <c r="Q203"/>
    </row>
    <row r="204" spans="15:17" x14ac:dyDescent="0.25">
      <c r="O204"/>
      <c r="P204"/>
      <c r="Q204"/>
    </row>
    <row r="205" spans="15:17" x14ac:dyDescent="0.25">
      <c r="O205"/>
      <c r="P205"/>
      <c r="Q205"/>
    </row>
    <row r="206" spans="15:17" x14ac:dyDescent="0.25">
      <c r="O206"/>
      <c r="P206"/>
      <c r="Q206"/>
    </row>
    <row r="207" spans="15:17" x14ac:dyDescent="0.25">
      <c r="O207"/>
      <c r="P207"/>
    </row>
    <row r="208" spans="15:17" x14ac:dyDescent="0.25">
      <c r="O208"/>
      <c r="P208"/>
      <c r="Q208"/>
    </row>
    <row r="209" spans="15:17" x14ac:dyDescent="0.25">
      <c r="O209"/>
      <c r="P209"/>
      <c r="Q209"/>
    </row>
    <row r="210" spans="15:17" x14ac:dyDescent="0.25">
      <c r="O210"/>
      <c r="P210"/>
      <c r="Q210"/>
    </row>
    <row r="211" spans="15:17" x14ac:dyDescent="0.25">
      <c r="O211"/>
      <c r="P211"/>
      <c r="Q211"/>
    </row>
    <row r="212" spans="15:17" x14ac:dyDescent="0.25">
      <c r="O212"/>
      <c r="P212"/>
      <c r="Q212"/>
    </row>
    <row r="213" spans="15:17" x14ac:dyDescent="0.25">
      <c r="O213"/>
      <c r="P213"/>
      <c r="Q213"/>
    </row>
    <row r="214" spans="15:17" x14ac:dyDescent="0.25">
      <c r="O214"/>
      <c r="P214"/>
    </row>
    <row r="215" spans="15:17" x14ac:dyDescent="0.25">
      <c r="O215"/>
      <c r="P215"/>
      <c r="Q215"/>
    </row>
    <row r="216" spans="15:17" x14ac:dyDescent="0.25">
      <c r="O216"/>
      <c r="P216"/>
      <c r="Q216"/>
    </row>
    <row r="218" spans="15:17" x14ac:dyDescent="0.25">
      <c r="O218"/>
      <c r="P218"/>
      <c r="Q218"/>
    </row>
    <row r="219" spans="15:17" x14ac:dyDescent="0.25">
      <c r="O219"/>
      <c r="P219"/>
      <c r="Q219"/>
    </row>
    <row r="220" spans="15:17" x14ac:dyDescent="0.25">
      <c r="O220"/>
      <c r="P220"/>
      <c r="Q220"/>
    </row>
    <row r="221" spans="15:17" x14ac:dyDescent="0.25">
      <c r="O221"/>
      <c r="P221"/>
      <c r="Q221"/>
    </row>
    <row r="222" spans="15:17" x14ac:dyDescent="0.25">
      <c r="O222"/>
      <c r="P222"/>
      <c r="Q222"/>
    </row>
    <row r="223" spans="15:17" x14ac:dyDescent="0.25">
      <c r="O223"/>
      <c r="P223"/>
      <c r="Q223"/>
    </row>
    <row r="224" spans="15:17" x14ac:dyDescent="0.25">
      <c r="O224"/>
      <c r="P224"/>
      <c r="Q224"/>
    </row>
    <row r="225" spans="15:17" x14ac:dyDescent="0.25">
      <c r="O225"/>
      <c r="P225"/>
      <c r="Q225"/>
    </row>
    <row r="226" spans="15:17" x14ac:dyDescent="0.25">
      <c r="O226"/>
      <c r="P226"/>
      <c r="Q226"/>
    </row>
    <row r="227" spans="15:17" x14ac:dyDescent="0.25">
      <c r="O227"/>
      <c r="P227"/>
      <c r="Q227"/>
    </row>
    <row r="228" spans="15:17" x14ac:dyDescent="0.25">
      <c r="O228"/>
      <c r="P228"/>
    </row>
    <row r="229" spans="15:17" x14ac:dyDescent="0.25">
      <c r="O229"/>
      <c r="P229"/>
      <c r="Q229"/>
    </row>
    <row r="230" spans="15:17" x14ac:dyDescent="0.25">
      <c r="O230"/>
      <c r="P230"/>
      <c r="Q230"/>
    </row>
    <row r="231" spans="15:17" x14ac:dyDescent="0.25">
      <c r="O231"/>
      <c r="P231"/>
      <c r="Q231"/>
    </row>
    <row r="232" spans="15:17" x14ac:dyDescent="0.25">
      <c r="O232"/>
      <c r="P232"/>
      <c r="Q232"/>
    </row>
    <row r="233" spans="15:17" x14ac:dyDescent="0.25">
      <c r="O233"/>
      <c r="P233"/>
      <c r="Q233"/>
    </row>
    <row r="234" spans="15:17" x14ac:dyDescent="0.25">
      <c r="O234"/>
      <c r="P234"/>
      <c r="Q234"/>
    </row>
    <row r="235" spans="15:17" x14ac:dyDescent="0.25">
      <c r="O235"/>
      <c r="P235"/>
      <c r="Q235"/>
    </row>
    <row r="236" spans="15:17" x14ac:dyDescent="0.25">
      <c r="O236"/>
      <c r="P236"/>
      <c r="Q236"/>
    </row>
    <row r="237" spans="15:17" x14ac:dyDescent="0.25">
      <c r="O237"/>
      <c r="P237"/>
      <c r="Q237"/>
    </row>
    <row r="238" spans="15:17" x14ac:dyDescent="0.25">
      <c r="O238"/>
      <c r="P238"/>
      <c r="Q238"/>
    </row>
    <row r="239" spans="15:17" x14ac:dyDescent="0.25">
      <c r="O239"/>
      <c r="P239"/>
      <c r="Q239"/>
    </row>
    <row r="240" spans="15:17" x14ac:dyDescent="0.25">
      <c r="O240"/>
      <c r="P240"/>
      <c r="Q240"/>
    </row>
    <row r="241" spans="15:17" x14ac:dyDescent="0.25">
      <c r="O241"/>
      <c r="P241"/>
      <c r="Q241"/>
    </row>
    <row r="242" spans="15:17" x14ac:dyDescent="0.25">
      <c r="O242"/>
      <c r="P242"/>
      <c r="Q242"/>
    </row>
    <row r="244" spans="15:17" x14ac:dyDescent="0.25">
      <c r="O244"/>
      <c r="P244"/>
      <c r="Q244"/>
    </row>
    <row r="245" spans="15:17" x14ac:dyDescent="0.25">
      <c r="O245"/>
      <c r="P245"/>
      <c r="Q245"/>
    </row>
    <row r="246" spans="15:17" x14ac:dyDescent="0.25">
      <c r="O246"/>
      <c r="P246"/>
      <c r="Q246"/>
    </row>
    <row r="248" spans="15:17" x14ac:dyDescent="0.25">
      <c r="O248"/>
      <c r="P248"/>
      <c r="Q248"/>
    </row>
    <row r="249" spans="15:17" x14ac:dyDescent="0.25">
      <c r="O249"/>
      <c r="P249"/>
      <c r="Q249"/>
    </row>
    <row r="250" spans="15:17" x14ac:dyDescent="0.25">
      <c r="O250"/>
      <c r="P250"/>
      <c r="Q250"/>
    </row>
    <row r="251" spans="15:17" x14ac:dyDescent="0.25">
      <c r="O251"/>
      <c r="P251"/>
      <c r="Q251"/>
    </row>
    <row r="252" spans="15:17" x14ac:dyDescent="0.25">
      <c r="O252"/>
      <c r="P252"/>
      <c r="Q252"/>
    </row>
    <row r="253" spans="15:17" x14ac:dyDescent="0.25">
      <c r="O253"/>
      <c r="P253"/>
      <c r="Q253"/>
    </row>
    <row r="254" spans="15:17" x14ac:dyDescent="0.25">
      <c r="O254"/>
      <c r="P254"/>
      <c r="Q254"/>
    </row>
    <row r="255" spans="15:17" x14ac:dyDescent="0.25">
      <c r="O255"/>
      <c r="P255"/>
      <c r="Q255"/>
    </row>
    <row r="256" spans="15:17" x14ac:dyDescent="0.25">
      <c r="O256"/>
      <c r="P256"/>
      <c r="Q256"/>
    </row>
    <row r="257" spans="15:17" x14ac:dyDescent="0.25">
      <c r="O257"/>
      <c r="P257"/>
      <c r="Q257"/>
    </row>
    <row r="258" spans="15:17" x14ac:dyDescent="0.25">
      <c r="O258"/>
      <c r="P258"/>
      <c r="Q258"/>
    </row>
    <row r="259" spans="15:17" x14ac:dyDescent="0.25">
      <c r="O259"/>
      <c r="P259"/>
      <c r="Q259"/>
    </row>
    <row r="260" spans="15:17" x14ac:dyDescent="0.25">
      <c r="O260"/>
      <c r="P260"/>
      <c r="Q260"/>
    </row>
    <row r="261" spans="15:17" x14ac:dyDescent="0.25">
      <c r="O261"/>
      <c r="P261"/>
      <c r="Q261"/>
    </row>
    <row r="262" spans="15:17" x14ac:dyDescent="0.25">
      <c r="O262"/>
      <c r="P262"/>
      <c r="Q262"/>
    </row>
    <row r="263" spans="15:17" x14ac:dyDescent="0.25">
      <c r="O263"/>
      <c r="P263"/>
      <c r="Q263"/>
    </row>
    <row r="264" spans="15:17" x14ac:dyDescent="0.25">
      <c r="O264"/>
      <c r="P264"/>
      <c r="Q264"/>
    </row>
    <row r="265" spans="15:17" x14ac:dyDescent="0.25">
      <c r="O265"/>
      <c r="P265"/>
      <c r="Q265"/>
    </row>
    <row r="266" spans="15:17" x14ac:dyDescent="0.25">
      <c r="O266"/>
      <c r="P266"/>
      <c r="Q266"/>
    </row>
    <row r="267" spans="15:17" x14ac:dyDescent="0.25">
      <c r="O267"/>
      <c r="P267"/>
      <c r="Q267"/>
    </row>
    <row r="268" spans="15:17" x14ac:dyDescent="0.25">
      <c r="O268"/>
      <c r="P268"/>
      <c r="Q268"/>
    </row>
    <row r="269" spans="15:17" x14ac:dyDescent="0.25">
      <c r="O269"/>
      <c r="P269"/>
      <c r="Q269"/>
    </row>
    <row r="270" spans="15:17" x14ac:dyDescent="0.25">
      <c r="O270"/>
      <c r="P270"/>
      <c r="Q270"/>
    </row>
    <row r="271" spans="15:17" x14ac:dyDescent="0.25">
      <c r="O271"/>
      <c r="P271"/>
      <c r="Q271"/>
    </row>
    <row r="272" spans="15:17" x14ac:dyDescent="0.25">
      <c r="O272"/>
      <c r="P272"/>
      <c r="Q272"/>
    </row>
    <row r="273" spans="15:17" x14ac:dyDescent="0.25">
      <c r="O273"/>
      <c r="P273"/>
      <c r="Q273"/>
    </row>
    <row r="274" spans="15:17" x14ac:dyDescent="0.25">
      <c r="O274"/>
      <c r="P274"/>
      <c r="Q274"/>
    </row>
    <row r="275" spans="15:17" x14ac:dyDescent="0.25">
      <c r="O275"/>
      <c r="P275"/>
    </row>
    <row r="276" spans="15:17" x14ac:dyDescent="0.25">
      <c r="O276"/>
      <c r="P276"/>
      <c r="Q276"/>
    </row>
    <row r="277" spans="15:17" x14ac:dyDescent="0.25">
      <c r="O277"/>
      <c r="P277"/>
      <c r="Q277"/>
    </row>
    <row r="278" spans="15:17" x14ac:dyDescent="0.25">
      <c r="O278"/>
      <c r="P278"/>
      <c r="Q278"/>
    </row>
    <row r="279" spans="15:17" x14ac:dyDescent="0.25">
      <c r="O279"/>
      <c r="P279"/>
      <c r="Q279"/>
    </row>
    <row r="280" spans="15:17" x14ac:dyDescent="0.25">
      <c r="O280"/>
      <c r="P280"/>
      <c r="Q280"/>
    </row>
    <row r="281" spans="15:17" x14ac:dyDescent="0.25">
      <c r="O281"/>
      <c r="P281"/>
      <c r="Q281"/>
    </row>
    <row r="282" spans="15:17" x14ac:dyDescent="0.25">
      <c r="O282"/>
      <c r="P282"/>
      <c r="Q282"/>
    </row>
    <row r="283" spans="15:17" x14ac:dyDescent="0.25">
      <c r="O283"/>
      <c r="P283"/>
      <c r="Q283"/>
    </row>
    <row r="284" spans="15:17" x14ac:dyDescent="0.25">
      <c r="O284"/>
      <c r="P284"/>
      <c r="Q284"/>
    </row>
    <row r="285" spans="15:17" x14ac:dyDescent="0.25">
      <c r="O285"/>
      <c r="P285"/>
    </row>
    <row r="286" spans="15:17" x14ac:dyDescent="0.25">
      <c r="O286"/>
      <c r="P286"/>
      <c r="Q286"/>
    </row>
    <row r="287" spans="15:17" x14ac:dyDescent="0.25">
      <c r="O287"/>
      <c r="P287"/>
      <c r="Q287"/>
    </row>
    <row r="288" spans="15:17" x14ac:dyDescent="0.25">
      <c r="O288"/>
      <c r="P288"/>
      <c r="Q288"/>
    </row>
    <row r="290" spans="15:17" x14ac:dyDescent="0.25">
      <c r="O290"/>
      <c r="P290"/>
      <c r="Q290"/>
    </row>
    <row r="291" spans="15:17" x14ac:dyDescent="0.25">
      <c r="O291"/>
      <c r="P291"/>
      <c r="Q291"/>
    </row>
    <row r="292" spans="15:17" x14ac:dyDescent="0.25">
      <c r="O292"/>
      <c r="P292"/>
      <c r="Q292"/>
    </row>
    <row r="293" spans="15:17" x14ac:dyDescent="0.25">
      <c r="O293"/>
      <c r="P293"/>
      <c r="Q293"/>
    </row>
    <row r="294" spans="15:17" x14ac:dyDescent="0.25">
      <c r="O294"/>
      <c r="P294"/>
      <c r="Q294"/>
    </row>
    <row r="295" spans="15:17" x14ac:dyDescent="0.25">
      <c r="O295"/>
      <c r="P295"/>
      <c r="Q295"/>
    </row>
    <row r="296" spans="15:17" x14ac:dyDescent="0.25">
      <c r="O296"/>
      <c r="P296"/>
      <c r="Q296"/>
    </row>
    <row r="297" spans="15:17" x14ac:dyDescent="0.25">
      <c r="O297"/>
      <c r="P297"/>
      <c r="Q297"/>
    </row>
    <row r="298" spans="15:17" x14ac:dyDescent="0.25">
      <c r="O298"/>
      <c r="P298"/>
      <c r="Q298"/>
    </row>
    <row r="300" spans="15:17" x14ac:dyDescent="0.25">
      <c r="O300"/>
      <c r="P300"/>
      <c r="Q300"/>
    </row>
    <row r="301" spans="15:17" x14ac:dyDescent="0.25">
      <c r="O301"/>
      <c r="P301"/>
      <c r="Q301"/>
    </row>
    <row r="302" spans="15:17" x14ac:dyDescent="0.25">
      <c r="O302"/>
      <c r="P302"/>
      <c r="Q302"/>
    </row>
    <row r="303" spans="15:17" x14ac:dyDescent="0.25">
      <c r="O303"/>
      <c r="P303"/>
      <c r="Q303"/>
    </row>
    <row r="304" spans="15:17" x14ac:dyDescent="0.25">
      <c r="O304"/>
      <c r="P304"/>
      <c r="Q304"/>
    </row>
    <row r="305" spans="15:17" x14ac:dyDescent="0.25">
      <c r="O305"/>
      <c r="P305"/>
      <c r="Q305"/>
    </row>
    <row r="306" spans="15:17" x14ac:dyDescent="0.25">
      <c r="O306"/>
      <c r="P306"/>
      <c r="Q306"/>
    </row>
    <row r="307" spans="15:17" x14ac:dyDescent="0.25">
      <c r="O307"/>
      <c r="P307"/>
      <c r="Q307"/>
    </row>
    <row r="308" spans="15:17" x14ac:dyDescent="0.25">
      <c r="O308"/>
      <c r="P308"/>
      <c r="Q308"/>
    </row>
    <row r="309" spans="15:17" x14ac:dyDescent="0.25">
      <c r="O309"/>
      <c r="P309"/>
      <c r="Q309"/>
    </row>
    <row r="310" spans="15:17" x14ac:dyDescent="0.25">
      <c r="O310"/>
      <c r="P310"/>
      <c r="Q310"/>
    </row>
    <row r="311" spans="15:17" x14ac:dyDescent="0.25">
      <c r="O311"/>
      <c r="P311"/>
      <c r="Q311"/>
    </row>
    <row r="312" spans="15:17" x14ac:dyDescent="0.25">
      <c r="O312"/>
      <c r="P312"/>
      <c r="Q312"/>
    </row>
    <row r="313" spans="15:17" x14ac:dyDescent="0.25">
      <c r="O313"/>
      <c r="P313"/>
      <c r="Q313"/>
    </row>
    <row r="314" spans="15:17" x14ac:dyDescent="0.25">
      <c r="O314"/>
      <c r="P314"/>
      <c r="Q314"/>
    </row>
    <row r="315" spans="15:17" x14ac:dyDescent="0.25">
      <c r="O315"/>
      <c r="P315"/>
      <c r="Q315"/>
    </row>
    <row r="316" spans="15:17" x14ac:dyDescent="0.25">
      <c r="O316"/>
      <c r="P316"/>
      <c r="Q316"/>
    </row>
    <row r="317" spans="15:17" x14ac:dyDescent="0.25">
      <c r="O317"/>
      <c r="P317"/>
      <c r="Q317"/>
    </row>
    <row r="318" spans="15:17" x14ac:dyDescent="0.25">
      <c r="O318"/>
      <c r="P318"/>
      <c r="Q318"/>
    </row>
    <row r="319" spans="15:17" x14ac:dyDescent="0.25">
      <c r="O319"/>
      <c r="P319"/>
      <c r="Q319"/>
    </row>
    <row r="320" spans="15:17" x14ac:dyDescent="0.25">
      <c r="O320"/>
      <c r="P320"/>
      <c r="Q320"/>
    </row>
    <row r="321" spans="15:17" x14ac:dyDescent="0.25">
      <c r="O321"/>
      <c r="P321"/>
      <c r="Q321"/>
    </row>
    <row r="322" spans="15:17" x14ac:dyDescent="0.25">
      <c r="O322"/>
      <c r="P322"/>
      <c r="Q322"/>
    </row>
    <row r="323" spans="15:17" x14ac:dyDescent="0.25">
      <c r="O323"/>
      <c r="P323"/>
      <c r="Q323"/>
    </row>
    <row r="324" spans="15:17" x14ac:dyDescent="0.25">
      <c r="O324"/>
      <c r="P324"/>
      <c r="Q324"/>
    </row>
    <row r="326" spans="15:17" x14ac:dyDescent="0.25">
      <c r="O326"/>
      <c r="P326"/>
      <c r="Q326"/>
    </row>
    <row r="327" spans="15:17" x14ac:dyDescent="0.25">
      <c r="O327"/>
      <c r="P327"/>
      <c r="Q327"/>
    </row>
    <row r="328" spans="15:17" x14ac:dyDescent="0.25">
      <c r="O328"/>
      <c r="P328"/>
      <c r="Q328"/>
    </row>
    <row r="329" spans="15:17" x14ac:dyDescent="0.25">
      <c r="O329"/>
      <c r="P329"/>
      <c r="Q329"/>
    </row>
    <row r="330" spans="15:17" x14ac:dyDescent="0.25">
      <c r="O330"/>
      <c r="P330"/>
      <c r="Q330"/>
    </row>
    <row r="331" spans="15:17" x14ac:dyDescent="0.25">
      <c r="O331"/>
      <c r="P331"/>
      <c r="Q331"/>
    </row>
    <row r="332" spans="15:17" x14ac:dyDescent="0.25">
      <c r="O332"/>
      <c r="P332"/>
      <c r="Q332"/>
    </row>
    <row r="333" spans="15:17" x14ac:dyDescent="0.25">
      <c r="O333"/>
      <c r="P333"/>
      <c r="Q333"/>
    </row>
    <row r="334" spans="15:17" x14ac:dyDescent="0.25">
      <c r="O334"/>
      <c r="P334"/>
      <c r="Q334"/>
    </row>
    <row r="335" spans="15:17" x14ac:dyDescent="0.25">
      <c r="O335"/>
      <c r="P335"/>
      <c r="Q335"/>
    </row>
    <row r="336" spans="15:17" x14ac:dyDescent="0.25">
      <c r="O336"/>
      <c r="P336"/>
      <c r="Q336"/>
    </row>
    <row r="337" spans="15:17" x14ac:dyDescent="0.25">
      <c r="O337"/>
      <c r="P337"/>
      <c r="Q337"/>
    </row>
    <row r="338" spans="15:17" x14ac:dyDescent="0.25">
      <c r="O338"/>
      <c r="P338"/>
      <c r="Q338"/>
    </row>
    <row r="339" spans="15:17" x14ac:dyDescent="0.25">
      <c r="O339"/>
      <c r="P339"/>
      <c r="Q339"/>
    </row>
    <row r="340" spans="15:17" x14ac:dyDescent="0.25">
      <c r="O340"/>
      <c r="P340"/>
      <c r="Q340"/>
    </row>
    <row r="341" spans="15:17" x14ac:dyDescent="0.25">
      <c r="O341"/>
      <c r="P341"/>
      <c r="Q341"/>
    </row>
    <row r="342" spans="15:17" x14ac:dyDescent="0.25">
      <c r="O342"/>
      <c r="P342"/>
    </row>
    <row r="343" spans="15:17" x14ac:dyDescent="0.25">
      <c r="O343"/>
      <c r="P343"/>
      <c r="Q343"/>
    </row>
    <row r="344" spans="15:17" x14ac:dyDescent="0.25">
      <c r="O344"/>
      <c r="P344"/>
      <c r="Q344"/>
    </row>
    <row r="345" spans="15:17" x14ac:dyDescent="0.25">
      <c r="O345"/>
      <c r="P345"/>
      <c r="Q345"/>
    </row>
    <row r="346" spans="15:17" x14ac:dyDescent="0.25">
      <c r="O346"/>
      <c r="P346"/>
      <c r="Q346"/>
    </row>
    <row r="347" spans="15:17" x14ac:dyDescent="0.25">
      <c r="O347"/>
      <c r="P347"/>
      <c r="Q347"/>
    </row>
    <row r="348" spans="15:17" x14ac:dyDescent="0.25">
      <c r="O348"/>
      <c r="P348"/>
      <c r="Q348"/>
    </row>
    <row r="349" spans="15:17" x14ac:dyDescent="0.25">
      <c r="O349"/>
      <c r="P349"/>
      <c r="Q349"/>
    </row>
    <row r="350" spans="15:17" x14ac:dyDescent="0.25">
      <c r="O350"/>
      <c r="P350"/>
      <c r="Q350"/>
    </row>
    <row r="351" spans="15:17" x14ac:dyDescent="0.25">
      <c r="O351"/>
      <c r="P351"/>
      <c r="Q351"/>
    </row>
    <row r="352" spans="15:17" x14ac:dyDescent="0.25">
      <c r="O352"/>
      <c r="P352"/>
      <c r="Q352"/>
    </row>
    <row r="353" spans="15:17" x14ac:dyDescent="0.25">
      <c r="O353"/>
      <c r="P353"/>
      <c r="Q353"/>
    </row>
    <row r="354" spans="15:17" x14ac:dyDescent="0.25">
      <c r="O354"/>
      <c r="P354"/>
      <c r="Q354"/>
    </row>
    <row r="355" spans="15:17" x14ac:dyDescent="0.25">
      <c r="O355"/>
      <c r="P355"/>
      <c r="Q355"/>
    </row>
    <row r="356" spans="15:17" x14ac:dyDescent="0.25">
      <c r="O356"/>
      <c r="P356"/>
      <c r="Q356"/>
    </row>
    <row r="357" spans="15:17" x14ac:dyDescent="0.25">
      <c r="O357"/>
      <c r="P357"/>
      <c r="Q357"/>
    </row>
    <row r="358" spans="15:17" x14ac:dyDescent="0.25">
      <c r="O358"/>
      <c r="P358"/>
      <c r="Q358"/>
    </row>
    <row r="359" spans="15:17" x14ac:dyDescent="0.25">
      <c r="O359"/>
      <c r="P359"/>
      <c r="Q359"/>
    </row>
    <row r="360" spans="15:17" x14ac:dyDescent="0.25">
      <c r="O360"/>
      <c r="P360"/>
      <c r="Q360"/>
    </row>
    <row r="361" spans="15:17" x14ac:dyDescent="0.25">
      <c r="O361"/>
      <c r="P361"/>
      <c r="Q361"/>
    </row>
    <row r="362" spans="15:17" x14ac:dyDescent="0.25">
      <c r="O362"/>
      <c r="P362"/>
      <c r="Q362"/>
    </row>
    <row r="363" spans="15:17" x14ac:dyDescent="0.25">
      <c r="O363"/>
      <c r="P363"/>
      <c r="Q363"/>
    </row>
    <row r="364" spans="15:17" x14ac:dyDescent="0.25">
      <c r="O364"/>
      <c r="P364"/>
      <c r="Q364"/>
    </row>
    <row r="365" spans="15:17" x14ac:dyDescent="0.25">
      <c r="O365"/>
      <c r="P365"/>
      <c r="Q365"/>
    </row>
    <row r="366" spans="15:17" x14ac:dyDescent="0.25">
      <c r="O366"/>
      <c r="P366"/>
      <c r="Q366"/>
    </row>
    <row r="367" spans="15:17" x14ac:dyDescent="0.25">
      <c r="O367"/>
      <c r="P367"/>
      <c r="Q367"/>
    </row>
    <row r="368" spans="15:17" x14ac:dyDescent="0.25">
      <c r="O368"/>
      <c r="P368"/>
      <c r="Q368"/>
    </row>
    <row r="369" spans="15:17" x14ac:dyDescent="0.25">
      <c r="O369"/>
      <c r="P369"/>
      <c r="Q369"/>
    </row>
    <row r="370" spans="15:17" x14ac:dyDescent="0.25">
      <c r="O370"/>
      <c r="P370"/>
      <c r="Q370"/>
    </row>
    <row r="371" spans="15:17" x14ac:dyDescent="0.25">
      <c r="O371"/>
      <c r="P371"/>
      <c r="Q371"/>
    </row>
    <row r="372" spans="15:17" x14ac:dyDescent="0.25">
      <c r="O372"/>
      <c r="P372"/>
      <c r="Q372"/>
    </row>
    <row r="373" spans="15:17" x14ac:dyDescent="0.25">
      <c r="O373"/>
      <c r="P373"/>
      <c r="Q373"/>
    </row>
    <row r="374" spans="15:17" x14ac:dyDescent="0.25">
      <c r="O374"/>
      <c r="P374"/>
      <c r="Q374"/>
    </row>
    <row r="375" spans="15:17" x14ac:dyDescent="0.25">
      <c r="O375"/>
      <c r="P375"/>
      <c r="Q375"/>
    </row>
    <row r="376" spans="15:17" x14ac:dyDescent="0.25">
      <c r="O376"/>
      <c r="P376"/>
      <c r="Q376"/>
    </row>
    <row r="377" spans="15:17" x14ac:dyDescent="0.25">
      <c r="O377"/>
      <c r="P377"/>
      <c r="Q377"/>
    </row>
    <row r="378" spans="15:17" x14ac:dyDescent="0.25">
      <c r="O378"/>
      <c r="P378"/>
      <c r="Q378"/>
    </row>
    <row r="379" spans="15:17" x14ac:dyDescent="0.25">
      <c r="O379"/>
      <c r="P379"/>
      <c r="Q379"/>
    </row>
    <row r="380" spans="15:17" x14ac:dyDescent="0.25">
      <c r="O380"/>
      <c r="P380"/>
      <c r="Q380"/>
    </row>
    <row r="381" spans="15:17" x14ac:dyDescent="0.25">
      <c r="O381"/>
      <c r="P381"/>
    </row>
    <row r="382" spans="15:17" x14ac:dyDescent="0.25">
      <c r="O382"/>
      <c r="P382"/>
      <c r="Q382"/>
    </row>
    <row r="383" spans="15:17" x14ac:dyDescent="0.25">
      <c r="O383"/>
      <c r="P383"/>
      <c r="Q383"/>
    </row>
    <row r="384" spans="15:17" x14ac:dyDescent="0.25">
      <c r="O384"/>
      <c r="P384"/>
      <c r="Q384"/>
    </row>
    <row r="385" spans="15:17" x14ac:dyDescent="0.25">
      <c r="O385"/>
      <c r="P385"/>
      <c r="Q385"/>
    </row>
    <row r="386" spans="15:17" x14ac:dyDescent="0.25">
      <c r="O386"/>
      <c r="P386"/>
      <c r="Q386"/>
    </row>
    <row r="387" spans="15:17" x14ac:dyDescent="0.25">
      <c r="O387"/>
      <c r="P387"/>
      <c r="Q387"/>
    </row>
    <row r="388" spans="15:17" x14ac:dyDescent="0.25">
      <c r="O388"/>
      <c r="P388"/>
      <c r="Q388"/>
    </row>
    <row r="389" spans="15:17" x14ac:dyDescent="0.25">
      <c r="O389"/>
      <c r="P389"/>
      <c r="Q389"/>
    </row>
    <row r="390" spans="15:17" x14ac:dyDescent="0.25">
      <c r="O390"/>
      <c r="P390"/>
      <c r="Q390"/>
    </row>
    <row r="391" spans="15:17" x14ac:dyDescent="0.25">
      <c r="O391"/>
      <c r="P391"/>
      <c r="Q391"/>
    </row>
    <row r="392" spans="15:17" x14ac:dyDescent="0.25">
      <c r="O392"/>
      <c r="P392"/>
      <c r="Q392"/>
    </row>
    <row r="393" spans="15:17" x14ac:dyDescent="0.25">
      <c r="O393"/>
      <c r="P393"/>
      <c r="Q393"/>
    </row>
    <row r="394" spans="15:17" x14ac:dyDescent="0.25">
      <c r="O394"/>
      <c r="P394"/>
      <c r="Q394"/>
    </row>
    <row r="395" spans="15:17" x14ac:dyDescent="0.25">
      <c r="O395"/>
      <c r="P395"/>
      <c r="Q395"/>
    </row>
    <row r="396" spans="15:17" x14ac:dyDescent="0.25">
      <c r="O396"/>
      <c r="P396"/>
      <c r="Q396"/>
    </row>
    <row r="397" spans="15:17" x14ac:dyDescent="0.25">
      <c r="O397"/>
      <c r="P397"/>
      <c r="Q397"/>
    </row>
    <row r="398" spans="15:17" x14ac:dyDescent="0.25">
      <c r="O398"/>
      <c r="P398"/>
      <c r="Q398"/>
    </row>
    <row r="399" spans="15:17" x14ac:dyDescent="0.25">
      <c r="O399"/>
      <c r="P399"/>
      <c r="Q399"/>
    </row>
    <row r="400" spans="15:17" x14ac:dyDescent="0.25">
      <c r="O400"/>
      <c r="P400"/>
      <c r="Q400"/>
    </row>
    <row r="401" spans="15:17" x14ac:dyDescent="0.25">
      <c r="O401"/>
      <c r="P401"/>
      <c r="Q401"/>
    </row>
    <row r="402" spans="15:17" x14ac:dyDescent="0.25">
      <c r="O402"/>
      <c r="P402"/>
      <c r="Q402"/>
    </row>
    <row r="403" spans="15:17" x14ac:dyDescent="0.25">
      <c r="O403"/>
      <c r="P403"/>
    </row>
    <row r="404" spans="15:17" x14ac:dyDescent="0.25">
      <c r="O404"/>
      <c r="P404"/>
      <c r="Q404"/>
    </row>
    <row r="405" spans="15:17" x14ac:dyDescent="0.25">
      <c r="O405"/>
      <c r="P405"/>
      <c r="Q405"/>
    </row>
    <row r="406" spans="15:17" x14ac:dyDescent="0.25">
      <c r="O406"/>
      <c r="P406"/>
      <c r="Q406"/>
    </row>
    <row r="407" spans="15:17" x14ac:dyDescent="0.25">
      <c r="O407"/>
      <c r="P407"/>
      <c r="Q407"/>
    </row>
    <row r="408" spans="15:17" x14ac:dyDescent="0.25">
      <c r="O408"/>
      <c r="P408"/>
      <c r="Q408"/>
    </row>
    <row r="409" spans="15:17" x14ac:dyDescent="0.25">
      <c r="O409"/>
      <c r="P409"/>
      <c r="Q409"/>
    </row>
    <row r="410" spans="15:17" x14ac:dyDescent="0.25">
      <c r="O410"/>
      <c r="P410"/>
      <c r="Q410"/>
    </row>
    <row r="411" spans="15:17" x14ac:dyDescent="0.25">
      <c r="O411"/>
      <c r="P411"/>
      <c r="Q411"/>
    </row>
    <row r="412" spans="15:17" x14ac:dyDescent="0.25">
      <c r="O412"/>
      <c r="P412"/>
      <c r="Q412"/>
    </row>
    <row r="413" spans="15:17" x14ac:dyDescent="0.25">
      <c r="O413"/>
      <c r="P413"/>
      <c r="Q413"/>
    </row>
    <row r="414" spans="15:17" x14ac:dyDescent="0.25">
      <c r="O414"/>
      <c r="P414"/>
      <c r="Q414"/>
    </row>
    <row r="415" spans="15:17" x14ac:dyDescent="0.25">
      <c r="O415"/>
      <c r="P415"/>
      <c r="Q415"/>
    </row>
    <row r="416" spans="15:17" x14ac:dyDescent="0.25">
      <c r="O416"/>
      <c r="P416"/>
      <c r="Q416"/>
    </row>
    <row r="417" spans="15:17" x14ac:dyDescent="0.25">
      <c r="O417"/>
      <c r="P417"/>
      <c r="Q417"/>
    </row>
    <row r="418" spans="15:17" x14ac:dyDescent="0.25">
      <c r="O418"/>
      <c r="P418"/>
      <c r="Q418"/>
    </row>
    <row r="419" spans="15:17" x14ac:dyDescent="0.25">
      <c r="O419"/>
      <c r="P419"/>
      <c r="Q419"/>
    </row>
    <row r="420" spans="15:17" x14ac:dyDescent="0.25">
      <c r="O420"/>
      <c r="P420"/>
      <c r="Q420"/>
    </row>
    <row r="421" spans="15:17" x14ac:dyDescent="0.25">
      <c r="O421"/>
      <c r="P421"/>
    </row>
    <row r="422" spans="15:17" x14ac:dyDescent="0.25">
      <c r="O422"/>
      <c r="P422"/>
    </row>
    <row r="423" spans="15:17" x14ac:dyDescent="0.25">
      <c r="O423"/>
      <c r="P423"/>
    </row>
    <row r="424" spans="15:17" x14ac:dyDescent="0.25">
      <c r="O424"/>
      <c r="P424"/>
      <c r="Q424"/>
    </row>
    <row r="425" spans="15:17" x14ac:dyDescent="0.25">
      <c r="O425"/>
      <c r="P425"/>
      <c r="Q425"/>
    </row>
    <row r="426" spans="15:17" x14ac:dyDescent="0.25">
      <c r="O426"/>
      <c r="P426"/>
      <c r="Q426"/>
    </row>
    <row r="427" spans="15:17" x14ac:dyDescent="0.25">
      <c r="O427"/>
      <c r="P427"/>
      <c r="Q427"/>
    </row>
    <row r="428" spans="15:17" x14ac:dyDescent="0.25">
      <c r="O428"/>
      <c r="P428"/>
      <c r="Q428"/>
    </row>
    <row r="429" spans="15:17" x14ac:dyDescent="0.25">
      <c r="O429"/>
      <c r="P429"/>
      <c r="Q429"/>
    </row>
    <row r="430" spans="15:17" x14ac:dyDescent="0.25">
      <c r="O430"/>
      <c r="P430"/>
      <c r="Q430"/>
    </row>
    <row r="431" spans="15:17" x14ac:dyDescent="0.25">
      <c r="O431"/>
      <c r="P431"/>
      <c r="Q431"/>
    </row>
    <row r="432" spans="15:17" x14ac:dyDescent="0.25">
      <c r="O432"/>
      <c r="P432"/>
      <c r="Q432"/>
    </row>
    <row r="433" spans="15:17" x14ac:dyDescent="0.25">
      <c r="O433"/>
      <c r="P433"/>
      <c r="Q433"/>
    </row>
    <row r="434" spans="15:17" x14ac:dyDescent="0.25">
      <c r="O434"/>
      <c r="P434"/>
      <c r="Q434"/>
    </row>
    <row r="435" spans="15:17" x14ac:dyDescent="0.25">
      <c r="O435"/>
      <c r="P435"/>
      <c r="Q435"/>
    </row>
    <row r="436" spans="15:17" x14ac:dyDescent="0.25">
      <c r="O436"/>
      <c r="P436"/>
      <c r="Q436"/>
    </row>
    <row r="437" spans="15:17" x14ac:dyDescent="0.25">
      <c r="O437"/>
      <c r="P437"/>
    </row>
    <row r="438" spans="15:17" x14ac:dyDescent="0.25">
      <c r="O438"/>
      <c r="P438"/>
    </row>
    <row r="439" spans="15:17" x14ac:dyDescent="0.25">
      <c r="O439"/>
      <c r="P439"/>
      <c r="Q439"/>
    </row>
    <row r="440" spans="15:17" x14ac:dyDescent="0.25">
      <c r="O440"/>
      <c r="P440"/>
      <c r="Q440"/>
    </row>
    <row r="441" spans="15:17" x14ac:dyDescent="0.25">
      <c r="O441"/>
      <c r="P441"/>
      <c r="Q441"/>
    </row>
    <row r="442" spans="15:17" x14ac:dyDescent="0.25">
      <c r="O442"/>
      <c r="P442"/>
      <c r="Q442"/>
    </row>
    <row r="443" spans="15:17" x14ac:dyDescent="0.25">
      <c r="O443"/>
      <c r="P443"/>
      <c r="Q443"/>
    </row>
    <row r="444" spans="15:17" x14ac:dyDescent="0.25">
      <c r="O444"/>
      <c r="P444"/>
    </row>
    <row r="445" spans="15:17" x14ac:dyDescent="0.25">
      <c r="O445"/>
      <c r="P445"/>
    </row>
    <row r="446" spans="15:17" x14ac:dyDescent="0.25">
      <c r="O446"/>
      <c r="P446"/>
      <c r="Q446"/>
    </row>
    <row r="447" spans="15:17" x14ac:dyDescent="0.25">
      <c r="O447"/>
      <c r="P447"/>
    </row>
    <row r="448" spans="15:17" x14ac:dyDescent="0.25">
      <c r="O448"/>
      <c r="P448"/>
      <c r="Q448"/>
    </row>
    <row r="450" spans="15:17" x14ac:dyDescent="0.25">
      <c r="O450"/>
      <c r="P450"/>
    </row>
    <row r="451" spans="15:17" x14ac:dyDescent="0.25">
      <c r="O451"/>
      <c r="P451"/>
      <c r="Q451"/>
    </row>
    <row r="452" spans="15:17" x14ac:dyDescent="0.25">
      <c r="O452"/>
      <c r="P452"/>
      <c r="Q452"/>
    </row>
    <row r="453" spans="15:17" x14ac:dyDescent="0.25">
      <c r="O453"/>
      <c r="P453"/>
      <c r="Q453"/>
    </row>
    <row r="454" spans="15:17" x14ac:dyDescent="0.25">
      <c r="O454"/>
      <c r="P454"/>
      <c r="Q454"/>
    </row>
    <row r="455" spans="15:17" x14ac:dyDescent="0.25">
      <c r="O455"/>
      <c r="P455"/>
      <c r="Q455"/>
    </row>
    <row r="456" spans="15:17" x14ac:dyDescent="0.25">
      <c r="O456"/>
      <c r="P456"/>
      <c r="Q456"/>
    </row>
    <row r="457" spans="15:17" x14ac:dyDescent="0.25">
      <c r="O457"/>
      <c r="P457"/>
      <c r="Q457"/>
    </row>
    <row r="459" spans="15:17" x14ac:dyDescent="0.25">
      <c r="O459"/>
      <c r="P459"/>
      <c r="Q459"/>
    </row>
    <row r="460" spans="15:17" x14ac:dyDescent="0.25">
      <c r="O460"/>
      <c r="P460"/>
      <c r="Q460"/>
    </row>
    <row r="461" spans="15:17" x14ac:dyDescent="0.25">
      <c r="O461"/>
      <c r="P461"/>
      <c r="Q461"/>
    </row>
    <row r="462" spans="15:17" x14ac:dyDescent="0.25">
      <c r="O462"/>
      <c r="P462"/>
      <c r="Q462"/>
    </row>
    <row r="463" spans="15:17" x14ac:dyDescent="0.25">
      <c r="O463"/>
      <c r="P463"/>
      <c r="Q463"/>
    </row>
    <row r="464" spans="15:17" x14ac:dyDescent="0.25">
      <c r="O464"/>
      <c r="P464"/>
      <c r="Q464"/>
    </row>
    <row r="465" spans="15:17" x14ac:dyDescent="0.25">
      <c r="O465"/>
      <c r="P465"/>
      <c r="Q465"/>
    </row>
    <row r="466" spans="15:17" x14ac:dyDescent="0.25">
      <c r="O466"/>
      <c r="P466"/>
      <c r="Q466"/>
    </row>
    <row r="467" spans="15:17" x14ac:dyDescent="0.25">
      <c r="O467"/>
      <c r="P467"/>
      <c r="Q467"/>
    </row>
    <row r="468" spans="15:17" x14ac:dyDescent="0.25">
      <c r="O468"/>
      <c r="P468"/>
      <c r="Q468"/>
    </row>
    <row r="469" spans="15:17" x14ac:dyDescent="0.25">
      <c r="O469"/>
      <c r="P469"/>
      <c r="Q469"/>
    </row>
    <row r="470" spans="15:17" x14ac:dyDescent="0.25">
      <c r="O470"/>
      <c r="P470"/>
      <c r="Q470"/>
    </row>
    <row r="471" spans="15:17" x14ac:dyDescent="0.25">
      <c r="O471"/>
      <c r="P471"/>
      <c r="Q471"/>
    </row>
    <row r="472" spans="15:17" x14ac:dyDescent="0.25">
      <c r="O472"/>
      <c r="P472"/>
      <c r="Q472"/>
    </row>
    <row r="473" spans="15:17" x14ac:dyDescent="0.25">
      <c r="O473"/>
      <c r="P473"/>
      <c r="Q473"/>
    </row>
    <row r="474" spans="15:17" x14ac:dyDescent="0.25">
      <c r="O474"/>
      <c r="P474"/>
      <c r="Q474"/>
    </row>
    <row r="475" spans="15:17" x14ac:dyDescent="0.25">
      <c r="O475"/>
      <c r="P475"/>
      <c r="Q475"/>
    </row>
    <row r="476" spans="15:17" x14ac:dyDescent="0.25">
      <c r="O476"/>
      <c r="P476"/>
      <c r="Q476"/>
    </row>
    <row r="477" spans="15:17" x14ac:dyDescent="0.25">
      <c r="O477"/>
      <c r="P477"/>
      <c r="Q477"/>
    </row>
    <row r="478" spans="15:17" x14ac:dyDescent="0.25">
      <c r="O478"/>
      <c r="P478"/>
      <c r="Q478"/>
    </row>
    <row r="479" spans="15:17" x14ac:dyDescent="0.25">
      <c r="O479"/>
      <c r="P479"/>
      <c r="Q479"/>
    </row>
    <row r="480" spans="15:17" x14ac:dyDescent="0.25">
      <c r="O480"/>
      <c r="P480"/>
      <c r="Q480"/>
    </row>
    <row r="481" spans="15:17" x14ac:dyDescent="0.25">
      <c r="O481"/>
      <c r="P481"/>
      <c r="Q481"/>
    </row>
    <row r="482" spans="15:17" x14ac:dyDescent="0.25">
      <c r="O482"/>
      <c r="P482"/>
      <c r="Q482"/>
    </row>
    <row r="483" spans="15:17" x14ac:dyDescent="0.25">
      <c r="O483"/>
      <c r="P483"/>
      <c r="Q483"/>
    </row>
    <row r="484" spans="15:17" x14ac:dyDescent="0.25">
      <c r="O484"/>
      <c r="P484"/>
      <c r="Q484"/>
    </row>
    <row r="485" spans="15:17" x14ac:dyDescent="0.25">
      <c r="O485"/>
      <c r="P485"/>
      <c r="Q485"/>
    </row>
    <row r="486" spans="15:17" x14ac:dyDescent="0.25">
      <c r="O486"/>
      <c r="P486"/>
      <c r="Q486"/>
    </row>
    <row r="487" spans="15:17" x14ac:dyDescent="0.25">
      <c r="O487"/>
      <c r="P487"/>
      <c r="Q487"/>
    </row>
    <row r="488" spans="15:17" x14ac:dyDescent="0.25">
      <c r="O488"/>
      <c r="P488"/>
      <c r="Q488"/>
    </row>
    <row r="489" spans="15:17" x14ac:dyDescent="0.25">
      <c r="O489"/>
      <c r="P489"/>
      <c r="Q489"/>
    </row>
    <row r="491" spans="15:17" x14ac:dyDescent="0.25">
      <c r="O491"/>
      <c r="P491"/>
      <c r="Q491"/>
    </row>
    <row r="492" spans="15:17" x14ac:dyDescent="0.25">
      <c r="O492"/>
      <c r="P492"/>
      <c r="Q492"/>
    </row>
    <row r="493" spans="15:17" x14ac:dyDescent="0.25">
      <c r="O493"/>
      <c r="P493"/>
      <c r="Q493"/>
    </row>
    <row r="494" spans="15:17" x14ac:dyDescent="0.25">
      <c r="O494"/>
      <c r="P494"/>
      <c r="Q494"/>
    </row>
    <row r="495" spans="15:17" x14ac:dyDescent="0.25">
      <c r="O495"/>
      <c r="P495"/>
      <c r="Q495"/>
    </row>
    <row r="496" spans="15:17" x14ac:dyDescent="0.25">
      <c r="O496"/>
      <c r="P496"/>
      <c r="Q496"/>
    </row>
    <row r="497" spans="15:17" x14ac:dyDescent="0.25">
      <c r="O497"/>
      <c r="P497"/>
      <c r="Q497"/>
    </row>
    <row r="498" spans="15:17" x14ac:dyDescent="0.25">
      <c r="O498"/>
      <c r="P498"/>
      <c r="Q498"/>
    </row>
    <row r="499" spans="15:17" x14ac:dyDescent="0.25">
      <c r="O499"/>
      <c r="P499"/>
      <c r="Q499"/>
    </row>
    <row r="500" spans="15:17" x14ac:dyDescent="0.25">
      <c r="O500"/>
      <c r="P500"/>
      <c r="Q500"/>
    </row>
    <row r="501" spans="15:17" x14ac:dyDescent="0.25">
      <c r="O501"/>
      <c r="P501"/>
      <c r="Q501"/>
    </row>
    <row r="503" spans="15:17" x14ac:dyDescent="0.25">
      <c r="O503"/>
      <c r="P503"/>
      <c r="Q503"/>
    </row>
    <row r="504" spans="15:17" x14ac:dyDescent="0.25">
      <c r="O504"/>
      <c r="P504"/>
      <c r="Q504"/>
    </row>
    <row r="505" spans="15:17" x14ac:dyDescent="0.25">
      <c r="O505"/>
      <c r="P505"/>
      <c r="Q505"/>
    </row>
    <row r="506" spans="15:17" x14ac:dyDescent="0.25">
      <c r="O506"/>
      <c r="P506"/>
      <c r="Q506"/>
    </row>
    <row r="507" spans="15:17" x14ac:dyDescent="0.25">
      <c r="O507"/>
      <c r="P507"/>
      <c r="Q507"/>
    </row>
    <row r="508" spans="15:17" x14ac:dyDescent="0.25">
      <c r="O508"/>
      <c r="P508"/>
      <c r="Q508"/>
    </row>
    <row r="509" spans="15:17" x14ac:dyDescent="0.25">
      <c r="O509"/>
      <c r="P509"/>
      <c r="Q509"/>
    </row>
    <row r="510" spans="15:17" x14ac:dyDescent="0.25">
      <c r="O510"/>
      <c r="P510"/>
    </row>
    <row r="511" spans="15:17" x14ac:dyDescent="0.25">
      <c r="O511"/>
      <c r="P511"/>
      <c r="Q511"/>
    </row>
    <row r="512" spans="15:17" x14ac:dyDescent="0.25">
      <c r="O512"/>
      <c r="P512"/>
    </row>
    <row r="513" spans="15:17" x14ac:dyDescent="0.25">
      <c r="O513"/>
      <c r="P513"/>
      <c r="Q513"/>
    </row>
    <row r="514" spans="15:17" x14ac:dyDescent="0.25">
      <c r="O514"/>
      <c r="P514"/>
      <c r="Q514"/>
    </row>
    <row r="515" spans="15:17" x14ac:dyDescent="0.25">
      <c r="O515"/>
      <c r="P515"/>
      <c r="Q515"/>
    </row>
    <row r="516" spans="15:17" x14ac:dyDescent="0.25">
      <c r="O516"/>
      <c r="P516"/>
    </row>
    <row r="517" spans="15:17" x14ac:dyDescent="0.25">
      <c r="O517"/>
      <c r="P517"/>
      <c r="Q517"/>
    </row>
    <row r="518" spans="15:17" x14ac:dyDescent="0.25">
      <c r="O518"/>
      <c r="P518"/>
      <c r="Q518"/>
    </row>
    <row r="519" spans="15:17" x14ac:dyDescent="0.25">
      <c r="O519"/>
      <c r="P519"/>
      <c r="Q519"/>
    </row>
    <row r="520" spans="15:17" x14ac:dyDescent="0.25">
      <c r="O520"/>
      <c r="P520"/>
      <c r="Q520"/>
    </row>
    <row r="521" spans="15:17" x14ac:dyDescent="0.25">
      <c r="O521"/>
      <c r="P521"/>
      <c r="Q521"/>
    </row>
    <row r="522" spans="15:17" x14ac:dyDescent="0.25">
      <c r="O522"/>
      <c r="P522"/>
    </row>
    <row r="523" spans="15:17" x14ac:dyDescent="0.25">
      <c r="O523"/>
      <c r="P523"/>
    </row>
    <row r="524" spans="15:17" x14ac:dyDescent="0.25">
      <c r="O524"/>
      <c r="P524"/>
      <c r="Q524"/>
    </row>
    <row r="525" spans="15:17" x14ac:dyDescent="0.25">
      <c r="O525"/>
      <c r="P525"/>
      <c r="Q525"/>
    </row>
    <row r="526" spans="15:17" x14ac:dyDescent="0.25">
      <c r="O526"/>
      <c r="P526"/>
      <c r="Q526"/>
    </row>
    <row r="527" spans="15:17" x14ac:dyDescent="0.25">
      <c r="O527"/>
      <c r="P527"/>
      <c r="Q527"/>
    </row>
    <row r="528" spans="15:17" x14ac:dyDescent="0.25">
      <c r="O528"/>
      <c r="P528"/>
      <c r="Q528"/>
    </row>
    <row r="529" spans="15:17" x14ac:dyDescent="0.25">
      <c r="O529"/>
      <c r="P529"/>
      <c r="Q529"/>
    </row>
    <row r="530" spans="15:17" x14ac:dyDescent="0.25">
      <c r="O530"/>
      <c r="P530"/>
      <c r="Q530"/>
    </row>
    <row r="531" spans="15:17" x14ac:dyDescent="0.25">
      <c r="O531"/>
      <c r="P531"/>
      <c r="Q531"/>
    </row>
    <row r="532" spans="15:17" x14ac:dyDescent="0.25">
      <c r="O532"/>
      <c r="P532"/>
      <c r="Q532"/>
    </row>
    <row r="533" spans="15:17" x14ac:dyDescent="0.25">
      <c r="O533"/>
      <c r="P533"/>
      <c r="Q533"/>
    </row>
    <row r="534" spans="15:17" x14ac:dyDescent="0.25">
      <c r="O534"/>
      <c r="P534"/>
      <c r="Q534"/>
    </row>
    <row r="535" spans="15:17" x14ac:dyDescent="0.25">
      <c r="O535"/>
      <c r="P535"/>
      <c r="Q535"/>
    </row>
    <row r="537" spans="15:17" x14ac:dyDescent="0.25">
      <c r="O537"/>
      <c r="P537"/>
      <c r="Q537"/>
    </row>
    <row r="538" spans="15:17" x14ac:dyDescent="0.25">
      <c r="O538"/>
      <c r="P538"/>
      <c r="Q538"/>
    </row>
    <row r="539" spans="15:17" x14ac:dyDescent="0.25">
      <c r="O539"/>
      <c r="P539"/>
      <c r="Q539"/>
    </row>
    <row r="540" spans="15:17" x14ac:dyDescent="0.25">
      <c r="O540"/>
      <c r="P540"/>
      <c r="Q540"/>
    </row>
    <row r="541" spans="15:17" x14ac:dyDescent="0.25">
      <c r="O541"/>
      <c r="P541"/>
      <c r="Q541"/>
    </row>
    <row r="542" spans="15:17" x14ac:dyDescent="0.25">
      <c r="O542"/>
      <c r="P542"/>
      <c r="Q542"/>
    </row>
    <row r="543" spans="15:17" x14ac:dyDescent="0.25">
      <c r="O543"/>
      <c r="P543"/>
      <c r="Q543"/>
    </row>
    <row r="544" spans="15:17" x14ac:dyDescent="0.25">
      <c r="O544"/>
      <c r="P544"/>
      <c r="Q544"/>
    </row>
    <row r="545" spans="15:17" x14ac:dyDescent="0.25">
      <c r="O545"/>
      <c r="P545"/>
      <c r="Q545"/>
    </row>
    <row r="546" spans="15:17" x14ac:dyDescent="0.25">
      <c r="O546"/>
      <c r="P546"/>
      <c r="Q546"/>
    </row>
    <row r="547" spans="15:17" x14ac:dyDescent="0.25">
      <c r="O547"/>
      <c r="P547"/>
      <c r="Q547"/>
    </row>
    <row r="548" spans="15:17" x14ac:dyDescent="0.25">
      <c r="O548"/>
      <c r="P548"/>
      <c r="Q548"/>
    </row>
    <row r="549" spans="15:17" x14ac:dyDescent="0.25">
      <c r="O549"/>
      <c r="P549"/>
      <c r="Q549"/>
    </row>
    <row r="550" spans="15:17" x14ac:dyDescent="0.25">
      <c r="O550"/>
      <c r="P550"/>
      <c r="Q550"/>
    </row>
    <row r="551" spans="15:17" x14ac:dyDescent="0.25">
      <c r="O551"/>
      <c r="P551"/>
    </row>
    <row r="552" spans="15:17" x14ac:dyDescent="0.25">
      <c r="O552"/>
      <c r="P552"/>
      <c r="Q552"/>
    </row>
    <row r="553" spans="15:17" x14ac:dyDescent="0.25">
      <c r="O553"/>
      <c r="P553"/>
      <c r="Q553"/>
    </row>
    <row r="554" spans="15:17" x14ac:dyDescent="0.25">
      <c r="O554"/>
      <c r="P554"/>
      <c r="Q554"/>
    </row>
    <row r="555" spans="15:17" x14ac:dyDescent="0.25">
      <c r="O555"/>
      <c r="P555"/>
      <c r="Q555"/>
    </row>
    <row r="556" spans="15:17" x14ac:dyDescent="0.25">
      <c r="O556"/>
      <c r="P556"/>
      <c r="Q556"/>
    </row>
    <row r="557" spans="15:17" x14ac:dyDescent="0.25">
      <c r="O557"/>
      <c r="P557"/>
      <c r="Q557"/>
    </row>
    <row r="558" spans="15:17" x14ac:dyDescent="0.25">
      <c r="O558"/>
      <c r="P558"/>
      <c r="Q558"/>
    </row>
    <row r="559" spans="15:17" x14ac:dyDescent="0.25">
      <c r="O559"/>
      <c r="P559"/>
      <c r="Q559"/>
    </row>
    <row r="560" spans="15:17" x14ac:dyDescent="0.25">
      <c r="O560"/>
      <c r="P560"/>
      <c r="Q560"/>
    </row>
    <row r="561" spans="15:17" x14ac:dyDescent="0.25">
      <c r="O561"/>
      <c r="P561"/>
      <c r="Q561"/>
    </row>
    <row r="562" spans="15:17" x14ac:dyDescent="0.25">
      <c r="O562"/>
      <c r="P562"/>
      <c r="Q562"/>
    </row>
    <row r="563" spans="15:17" x14ac:dyDescent="0.25">
      <c r="O563"/>
      <c r="P563"/>
      <c r="Q563"/>
    </row>
    <row r="564" spans="15:17" x14ac:dyDescent="0.25">
      <c r="O564"/>
      <c r="P564"/>
      <c r="Q564"/>
    </row>
    <row r="565" spans="15:17" x14ac:dyDescent="0.25">
      <c r="O565"/>
      <c r="P565"/>
      <c r="Q565"/>
    </row>
    <row r="566" spans="15:17" x14ac:dyDescent="0.25">
      <c r="O566"/>
      <c r="P566"/>
      <c r="Q566"/>
    </row>
    <row r="567" spans="15:17" x14ac:dyDescent="0.25">
      <c r="O567"/>
      <c r="P567"/>
      <c r="Q567"/>
    </row>
    <row r="568" spans="15:17" x14ac:dyDescent="0.25">
      <c r="O568"/>
      <c r="P568"/>
      <c r="Q568"/>
    </row>
    <row r="570" spans="15:17" x14ac:dyDescent="0.25">
      <c r="O570"/>
      <c r="P570"/>
      <c r="Q570"/>
    </row>
    <row r="571" spans="15:17" x14ac:dyDescent="0.25">
      <c r="O571"/>
      <c r="P571"/>
      <c r="Q571"/>
    </row>
    <row r="572" spans="15:17" x14ac:dyDescent="0.25">
      <c r="O572"/>
      <c r="P572"/>
      <c r="Q572"/>
    </row>
    <row r="573" spans="15:17" x14ac:dyDescent="0.25">
      <c r="O573"/>
      <c r="P573"/>
      <c r="Q573"/>
    </row>
    <row r="574" spans="15:17" x14ac:dyDescent="0.25">
      <c r="O574"/>
      <c r="P574"/>
      <c r="Q574"/>
    </row>
    <row r="575" spans="15:17" x14ac:dyDescent="0.25">
      <c r="O575"/>
      <c r="P575"/>
      <c r="Q575"/>
    </row>
    <row r="576" spans="15:17" x14ac:dyDescent="0.25">
      <c r="O576"/>
      <c r="P576"/>
      <c r="Q576"/>
    </row>
    <row r="577" spans="15:17" x14ac:dyDescent="0.25">
      <c r="O577"/>
      <c r="P577"/>
    </row>
    <row r="578" spans="15:17" x14ac:dyDescent="0.25">
      <c r="O578"/>
      <c r="P578"/>
      <c r="Q578"/>
    </row>
    <row r="579" spans="15:17" x14ac:dyDescent="0.25">
      <c r="O579"/>
      <c r="P579"/>
      <c r="Q579"/>
    </row>
    <row r="580" spans="15:17" x14ac:dyDescent="0.25">
      <c r="O580"/>
      <c r="P580"/>
      <c r="Q580"/>
    </row>
    <row r="581" spans="15:17" x14ac:dyDescent="0.25">
      <c r="O581"/>
      <c r="P581"/>
      <c r="Q581"/>
    </row>
    <row r="582" spans="15:17" x14ac:dyDescent="0.25">
      <c r="O582"/>
      <c r="P582"/>
      <c r="Q582"/>
    </row>
    <row r="583" spans="15:17" x14ac:dyDescent="0.25">
      <c r="O583"/>
      <c r="P583"/>
      <c r="Q583"/>
    </row>
    <row r="584" spans="15:17" x14ac:dyDescent="0.25">
      <c r="O584"/>
      <c r="P584"/>
      <c r="Q584"/>
    </row>
    <row r="585" spans="15:17" x14ac:dyDescent="0.25">
      <c r="O585"/>
      <c r="P585"/>
      <c r="Q585"/>
    </row>
    <row r="586" spans="15:17" x14ac:dyDescent="0.25">
      <c r="O586"/>
      <c r="P586"/>
      <c r="Q586"/>
    </row>
    <row r="587" spans="15:17" x14ac:dyDescent="0.25">
      <c r="O587"/>
      <c r="P587"/>
      <c r="Q587"/>
    </row>
    <row r="588" spans="15:17" x14ac:dyDescent="0.25">
      <c r="O588"/>
      <c r="P588"/>
      <c r="Q588"/>
    </row>
    <row r="589" spans="15:17" x14ac:dyDescent="0.25">
      <c r="O589"/>
      <c r="P589"/>
      <c r="Q589"/>
    </row>
    <row r="590" spans="15:17" x14ac:dyDescent="0.25">
      <c r="O590"/>
      <c r="P590"/>
      <c r="Q590"/>
    </row>
    <row r="591" spans="15:17" x14ac:dyDescent="0.25">
      <c r="O591"/>
      <c r="P591"/>
      <c r="Q591"/>
    </row>
    <row r="592" spans="15:17" x14ac:dyDescent="0.25">
      <c r="O592"/>
      <c r="P592"/>
      <c r="Q592"/>
    </row>
    <row r="593" spans="15:17" x14ac:dyDescent="0.25">
      <c r="O593"/>
      <c r="P593"/>
      <c r="Q593"/>
    </row>
    <row r="594" spans="15:17" x14ac:dyDescent="0.25">
      <c r="O594"/>
      <c r="P594"/>
      <c r="Q594"/>
    </row>
    <row r="595" spans="15:17" x14ac:dyDescent="0.25">
      <c r="O595"/>
      <c r="P595"/>
      <c r="Q595"/>
    </row>
    <row r="596" spans="15:17" x14ac:dyDescent="0.25">
      <c r="O596"/>
      <c r="P596"/>
      <c r="Q596"/>
    </row>
    <row r="597" spans="15:17" x14ac:dyDescent="0.25">
      <c r="O597"/>
      <c r="P597"/>
      <c r="Q597"/>
    </row>
    <row r="598" spans="15:17" x14ac:dyDescent="0.25">
      <c r="O598"/>
      <c r="P598"/>
      <c r="Q598"/>
    </row>
    <row r="599" spans="15:17" x14ac:dyDescent="0.25">
      <c r="O599"/>
      <c r="P599"/>
      <c r="Q599"/>
    </row>
    <row r="600" spans="15:17" x14ac:dyDescent="0.25">
      <c r="O600"/>
      <c r="P600"/>
    </row>
    <row r="601" spans="15:17" x14ac:dyDescent="0.25">
      <c r="O601"/>
      <c r="P601"/>
    </row>
    <row r="602" spans="15:17" x14ac:dyDescent="0.25">
      <c r="O602"/>
      <c r="P602"/>
      <c r="Q602"/>
    </row>
    <row r="603" spans="15:17" x14ac:dyDescent="0.25">
      <c r="O603"/>
      <c r="P603"/>
      <c r="Q603"/>
    </row>
    <row r="604" spans="15:17" x14ac:dyDescent="0.25">
      <c r="O604"/>
      <c r="P604"/>
      <c r="Q604"/>
    </row>
    <row r="605" spans="15:17" x14ac:dyDescent="0.25">
      <c r="O605"/>
      <c r="P605"/>
      <c r="Q605"/>
    </row>
    <row r="606" spans="15:17" x14ac:dyDescent="0.25">
      <c r="O606"/>
      <c r="P606"/>
    </row>
    <row r="607" spans="15:17" x14ac:dyDescent="0.25">
      <c r="O607"/>
      <c r="P607"/>
    </row>
    <row r="608" spans="15:17" x14ac:dyDescent="0.25">
      <c r="O608"/>
      <c r="P608"/>
      <c r="Q608"/>
    </row>
    <row r="609" spans="15:17" x14ac:dyDescent="0.25">
      <c r="O609"/>
      <c r="P609"/>
      <c r="Q609"/>
    </row>
    <row r="610" spans="15:17" x14ac:dyDescent="0.25">
      <c r="O610"/>
      <c r="P610"/>
      <c r="Q610"/>
    </row>
    <row r="611" spans="15:17" x14ac:dyDescent="0.25">
      <c r="O611"/>
      <c r="P611"/>
      <c r="Q611"/>
    </row>
    <row r="612" spans="15:17" x14ac:dyDescent="0.25">
      <c r="O612"/>
      <c r="P612"/>
      <c r="Q612"/>
    </row>
    <row r="613" spans="15:17" x14ac:dyDescent="0.25">
      <c r="O613"/>
      <c r="P613"/>
      <c r="Q613"/>
    </row>
    <row r="614" spans="15:17" x14ac:dyDescent="0.25">
      <c r="O614"/>
      <c r="P614"/>
      <c r="Q614"/>
    </row>
    <row r="615" spans="15:17" x14ac:dyDescent="0.25">
      <c r="O615"/>
      <c r="P615"/>
      <c r="Q615"/>
    </row>
    <row r="616" spans="15:17" x14ac:dyDescent="0.25">
      <c r="O616"/>
      <c r="P616"/>
      <c r="Q616"/>
    </row>
    <row r="617" spans="15:17" x14ac:dyDescent="0.25">
      <c r="O617"/>
      <c r="P617"/>
      <c r="Q617"/>
    </row>
    <row r="618" spans="15:17" x14ac:dyDescent="0.25">
      <c r="O618"/>
      <c r="P618"/>
      <c r="Q618"/>
    </row>
    <row r="619" spans="15:17" x14ac:dyDescent="0.25">
      <c r="O619"/>
      <c r="P619"/>
      <c r="Q619"/>
    </row>
    <row r="620" spans="15:17" x14ac:dyDescent="0.25">
      <c r="O620"/>
      <c r="P620"/>
      <c r="Q620"/>
    </row>
    <row r="621" spans="15:17" x14ac:dyDescent="0.25">
      <c r="O621"/>
      <c r="P621"/>
      <c r="Q621"/>
    </row>
    <row r="622" spans="15:17" x14ac:dyDescent="0.25">
      <c r="O622"/>
      <c r="P622"/>
      <c r="Q622"/>
    </row>
    <row r="623" spans="15:17" x14ac:dyDescent="0.25">
      <c r="O623"/>
      <c r="P623"/>
      <c r="Q623"/>
    </row>
    <row r="624" spans="15:17" x14ac:dyDescent="0.25">
      <c r="O624"/>
      <c r="P624"/>
      <c r="Q624"/>
    </row>
    <row r="625" spans="15:17" x14ac:dyDescent="0.25">
      <c r="O625"/>
      <c r="P625"/>
      <c r="Q625"/>
    </row>
    <row r="626" spans="15:17" x14ac:dyDescent="0.25">
      <c r="O626"/>
      <c r="P626"/>
      <c r="Q626"/>
    </row>
    <row r="627" spans="15:17" x14ac:dyDescent="0.25">
      <c r="O627"/>
      <c r="P627"/>
      <c r="Q627"/>
    </row>
    <row r="628" spans="15:17" x14ac:dyDescent="0.25">
      <c r="O628"/>
      <c r="P628"/>
      <c r="Q628"/>
    </row>
    <row r="629" spans="15:17" x14ac:dyDescent="0.25">
      <c r="O629"/>
      <c r="P629"/>
      <c r="Q629"/>
    </row>
    <row r="631" spans="15:17" x14ac:dyDescent="0.25">
      <c r="O631"/>
      <c r="P631"/>
    </row>
    <row r="632" spans="15:17" x14ac:dyDescent="0.25">
      <c r="O632"/>
      <c r="P632"/>
      <c r="Q632"/>
    </row>
    <row r="633" spans="15:17" x14ac:dyDescent="0.25">
      <c r="O633"/>
      <c r="P633"/>
      <c r="Q633"/>
    </row>
    <row r="634" spans="15:17" x14ac:dyDescent="0.25">
      <c r="O634"/>
      <c r="P634"/>
      <c r="Q634"/>
    </row>
    <row r="635" spans="15:17" x14ac:dyDescent="0.25">
      <c r="O635"/>
      <c r="P635"/>
      <c r="Q635"/>
    </row>
    <row r="636" spans="15:17" x14ac:dyDescent="0.25">
      <c r="O636"/>
      <c r="P636"/>
      <c r="Q636"/>
    </row>
    <row r="637" spans="15:17" x14ac:dyDescent="0.25">
      <c r="O637"/>
      <c r="P637"/>
      <c r="Q637"/>
    </row>
    <row r="638" spans="15:17" x14ac:dyDescent="0.25">
      <c r="O638"/>
      <c r="P638"/>
      <c r="Q638"/>
    </row>
    <row r="639" spans="15:17" x14ac:dyDescent="0.25">
      <c r="O639"/>
      <c r="P639"/>
      <c r="Q639"/>
    </row>
    <row r="640" spans="15:17" x14ac:dyDescent="0.25">
      <c r="O640"/>
      <c r="P640"/>
      <c r="Q640"/>
    </row>
    <row r="641" spans="15:17" x14ac:dyDescent="0.25">
      <c r="O641"/>
      <c r="P641"/>
      <c r="Q641"/>
    </row>
    <row r="642" spans="15:17" x14ac:dyDescent="0.25">
      <c r="O642"/>
      <c r="P642"/>
      <c r="Q642"/>
    </row>
    <row r="643" spans="15:17" x14ac:dyDescent="0.25">
      <c r="O643"/>
      <c r="P643"/>
      <c r="Q643"/>
    </row>
    <row r="644" spans="15:17" x14ac:dyDescent="0.25">
      <c r="O644"/>
      <c r="P644"/>
    </row>
    <row r="645" spans="15:17" x14ac:dyDescent="0.25">
      <c r="O645"/>
      <c r="P645"/>
      <c r="Q645"/>
    </row>
    <row r="646" spans="15:17" x14ac:dyDescent="0.25">
      <c r="O646"/>
      <c r="P646"/>
      <c r="Q646"/>
    </row>
    <row r="647" spans="15:17" x14ac:dyDescent="0.25">
      <c r="O647"/>
      <c r="P647"/>
      <c r="Q647"/>
    </row>
    <row r="648" spans="15:17" x14ac:dyDescent="0.25">
      <c r="O648"/>
      <c r="P648"/>
    </row>
    <row r="649" spans="15:17" x14ac:dyDescent="0.25">
      <c r="O649"/>
      <c r="P649"/>
      <c r="Q649"/>
    </row>
    <row r="650" spans="15:17" x14ac:dyDescent="0.25">
      <c r="O650"/>
      <c r="P650"/>
      <c r="Q650"/>
    </row>
    <row r="651" spans="15:17" x14ac:dyDescent="0.25">
      <c r="O651"/>
      <c r="P651"/>
      <c r="Q651"/>
    </row>
    <row r="652" spans="15:17" x14ac:dyDescent="0.25">
      <c r="O652"/>
      <c r="P652"/>
      <c r="Q652"/>
    </row>
    <row r="653" spans="15:17" x14ac:dyDescent="0.25">
      <c r="O653"/>
      <c r="P653"/>
      <c r="Q653"/>
    </row>
    <row r="654" spans="15:17" x14ac:dyDescent="0.25">
      <c r="O654"/>
      <c r="P654"/>
      <c r="Q654"/>
    </row>
    <row r="655" spans="15:17" x14ac:dyDescent="0.25">
      <c r="O655"/>
      <c r="P655"/>
      <c r="Q655"/>
    </row>
    <row r="656" spans="15:17" x14ac:dyDescent="0.25">
      <c r="O656"/>
      <c r="P656"/>
      <c r="Q656"/>
    </row>
    <row r="657" spans="15:17" x14ac:dyDescent="0.25">
      <c r="O657"/>
      <c r="P657"/>
      <c r="Q657"/>
    </row>
    <row r="658" spans="15:17" x14ac:dyDescent="0.25">
      <c r="O658"/>
      <c r="P658"/>
      <c r="Q658"/>
    </row>
    <row r="659" spans="15:17" x14ac:dyDescent="0.25">
      <c r="O659"/>
      <c r="P659"/>
      <c r="Q659"/>
    </row>
    <row r="660" spans="15:17" x14ac:dyDescent="0.25">
      <c r="O660"/>
      <c r="P660"/>
      <c r="Q660"/>
    </row>
    <row r="661" spans="15:17" x14ac:dyDescent="0.25">
      <c r="O661"/>
      <c r="P661"/>
      <c r="Q661"/>
    </row>
    <row r="662" spans="15:17" x14ac:dyDescent="0.25">
      <c r="O662"/>
      <c r="P662"/>
      <c r="Q662"/>
    </row>
    <row r="663" spans="15:17" x14ac:dyDescent="0.25">
      <c r="O663"/>
      <c r="P663"/>
      <c r="Q663"/>
    </row>
    <row r="664" spans="15:17" x14ac:dyDescent="0.25">
      <c r="O664"/>
      <c r="P664"/>
      <c r="Q664"/>
    </row>
    <row r="665" spans="15:17" x14ac:dyDescent="0.25">
      <c r="O665"/>
      <c r="P665"/>
      <c r="Q665"/>
    </row>
    <row r="666" spans="15:17" x14ac:dyDescent="0.25">
      <c r="O666"/>
      <c r="P666"/>
      <c r="Q666"/>
    </row>
    <row r="667" spans="15:17" x14ac:dyDescent="0.25">
      <c r="O667"/>
      <c r="P667"/>
      <c r="Q667"/>
    </row>
    <row r="668" spans="15:17" x14ac:dyDescent="0.25">
      <c r="O668"/>
      <c r="P668"/>
      <c r="Q668"/>
    </row>
    <row r="669" spans="15:17" x14ac:dyDescent="0.25">
      <c r="O669"/>
      <c r="P669"/>
      <c r="Q669"/>
    </row>
    <row r="670" spans="15:17" x14ac:dyDescent="0.25">
      <c r="O670"/>
      <c r="P670"/>
      <c r="Q670"/>
    </row>
    <row r="671" spans="15:17" x14ac:dyDescent="0.25">
      <c r="O671"/>
      <c r="P671"/>
      <c r="Q671"/>
    </row>
    <row r="672" spans="15:17" x14ac:dyDescent="0.25">
      <c r="O672"/>
      <c r="P672"/>
      <c r="Q672"/>
    </row>
    <row r="673" spans="15:17" x14ac:dyDescent="0.25">
      <c r="O673"/>
      <c r="P673"/>
      <c r="Q673"/>
    </row>
    <row r="674" spans="15:17" x14ac:dyDescent="0.25">
      <c r="O674"/>
      <c r="P674"/>
      <c r="Q674"/>
    </row>
    <row r="675" spans="15:17" x14ac:dyDescent="0.25">
      <c r="O675"/>
      <c r="P675"/>
      <c r="Q675"/>
    </row>
    <row r="676" spans="15:17" x14ac:dyDescent="0.25">
      <c r="O676"/>
      <c r="P676"/>
      <c r="Q676"/>
    </row>
    <row r="677" spans="15:17" x14ac:dyDescent="0.25">
      <c r="O677"/>
      <c r="P677"/>
      <c r="Q677"/>
    </row>
    <row r="678" spans="15:17" x14ac:dyDescent="0.25">
      <c r="O678"/>
      <c r="P678"/>
      <c r="Q678"/>
    </row>
    <row r="679" spans="15:17" x14ac:dyDescent="0.25">
      <c r="O679"/>
      <c r="P679"/>
      <c r="Q679"/>
    </row>
    <row r="680" spans="15:17" x14ac:dyDescent="0.25">
      <c r="O680"/>
      <c r="P680"/>
      <c r="Q680"/>
    </row>
    <row r="681" spans="15:17" x14ac:dyDescent="0.25">
      <c r="O681"/>
      <c r="P681"/>
      <c r="Q681"/>
    </row>
    <row r="682" spans="15:17" x14ac:dyDescent="0.25">
      <c r="O682"/>
      <c r="P682"/>
      <c r="Q682"/>
    </row>
    <row r="683" spans="15:17" x14ac:dyDescent="0.25">
      <c r="O683"/>
      <c r="P683"/>
      <c r="Q683"/>
    </row>
    <row r="684" spans="15:17" x14ac:dyDescent="0.25">
      <c r="O684"/>
      <c r="P684"/>
      <c r="Q684"/>
    </row>
    <row r="685" spans="15:17" x14ac:dyDescent="0.25">
      <c r="O685"/>
      <c r="P685"/>
      <c r="Q685"/>
    </row>
    <row r="686" spans="15:17" x14ac:dyDescent="0.25">
      <c r="O686"/>
      <c r="P686"/>
      <c r="Q686"/>
    </row>
    <row r="687" spans="15:17" x14ac:dyDescent="0.25">
      <c r="O687"/>
      <c r="P687"/>
      <c r="Q687"/>
    </row>
    <row r="688" spans="15:17" x14ac:dyDescent="0.25">
      <c r="O688"/>
      <c r="P688"/>
      <c r="Q688"/>
    </row>
    <row r="689" spans="15:17" x14ac:dyDescent="0.25">
      <c r="O689"/>
      <c r="P689"/>
      <c r="Q689"/>
    </row>
    <row r="690" spans="15:17" x14ac:dyDescent="0.25">
      <c r="O690"/>
      <c r="P690"/>
      <c r="Q690"/>
    </row>
    <row r="691" spans="15:17" x14ac:dyDescent="0.25">
      <c r="O691"/>
      <c r="P691"/>
      <c r="Q691"/>
    </row>
    <row r="692" spans="15:17" x14ac:dyDescent="0.25">
      <c r="O692"/>
      <c r="P692"/>
      <c r="Q692"/>
    </row>
    <row r="693" spans="15:17" x14ac:dyDescent="0.25">
      <c r="O693"/>
      <c r="P693"/>
      <c r="Q693"/>
    </row>
    <row r="694" spans="15:17" x14ac:dyDescent="0.25">
      <c r="O694"/>
      <c r="P694"/>
      <c r="Q694"/>
    </row>
    <row r="695" spans="15:17" x14ac:dyDescent="0.25">
      <c r="O695"/>
      <c r="P695"/>
      <c r="Q695"/>
    </row>
    <row r="696" spans="15:17" x14ac:dyDescent="0.25">
      <c r="O696"/>
      <c r="P696"/>
      <c r="Q696"/>
    </row>
    <row r="697" spans="15:17" x14ac:dyDescent="0.25">
      <c r="O697"/>
      <c r="P697"/>
      <c r="Q697"/>
    </row>
    <row r="698" spans="15:17" x14ac:dyDescent="0.25">
      <c r="O698"/>
      <c r="P698"/>
      <c r="Q698"/>
    </row>
    <row r="699" spans="15:17" x14ac:dyDescent="0.25">
      <c r="O699"/>
      <c r="P699"/>
      <c r="Q699"/>
    </row>
    <row r="700" spans="15:17" x14ac:dyDescent="0.25">
      <c r="O700"/>
      <c r="P700"/>
      <c r="Q700"/>
    </row>
    <row r="701" spans="15:17" x14ac:dyDescent="0.25">
      <c r="O701"/>
      <c r="P701"/>
      <c r="Q701"/>
    </row>
    <row r="702" spans="15:17" x14ac:dyDescent="0.25">
      <c r="O702"/>
      <c r="P702"/>
      <c r="Q702"/>
    </row>
    <row r="703" spans="15:17" x14ac:dyDescent="0.25">
      <c r="O703"/>
      <c r="P703"/>
      <c r="Q703"/>
    </row>
    <row r="704" spans="15:17" x14ac:dyDescent="0.25">
      <c r="O704"/>
      <c r="P704"/>
      <c r="Q704"/>
    </row>
    <row r="705" spans="15:17" x14ac:dyDescent="0.25">
      <c r="O705"/>
      <c r="P705"/>
      <c r="Q705"/>
    </row>
    <row r="706" spans="15:17" x14ac:dyDescent="0.25">
      <c r="O706"/>
      <c r="P706"/>
      <c r="Q706"/>
    </row>
    <row r="707" spans="15:17" x14ac:dyDescent="0.25">
      <c r="O707"/>
      <c r="P707"/>
      <c r="Q707"/>
    </row>
    <row r="708" spans="15:17" x14ac:dyDescent="0.25">
      <c r="O708"/>
      <c r="P708"/>
      <c r="Q708"/>
    </row>
    <row r="709" spans="15:17" x14ac:dyDescent="0.25">
      <c r="O709"/>
      <c r="P709"/>
      <c r="Q709"/>
    </row>
    <row r="710" spans="15:17" x14ac:dyDescent="0.25">
      <c r="O710"/>
      <c r="P710"/>
      <c r="Q710"/>
    </row>
    <row r="711" spans="15:17" x14ac:dyDescent="0.25">
      <c r="O711"/>
      <c r="P711"/>
      <c r="Q711"/>
    </row>
    <row r="712" spans="15:17" x14ac:dyDescent="0.25">
      <c r="O712"/>
      <c r="P712"/>
      <c r="Q712"/>
    </row>
    <row r="713" spans="15:17" x14ac:dyDescent="0.25">
      <c r="O713"/>
      <c r="P713"/>
      <c r="Q713"/>
    </row>
    <row r="714" spans="15:17" x14ac:dyDescent="0.25">
      <c r="O714"/>
      <c r="P714"/>
      <c r="Q714"/>
    </row>
    <row r="715" spans="15:17" x14ac:dyDescent="0.25">
      <c r="O715"/>
      <c r="P715"/>
      <c r="Q715"/>
    </row>
    <row r="716" spans="15:17" x14ac:dyDescent="0.25">
      <c r="O716"/>
      <c r="P716"/>
      <c r="Q716"/>
    </row>
    <row r="717" spans="15:17" x14ac:dyDescent="0.25">
      <c r="O717"/>
      <c r="P717"/>
      <c r="Q717"/>
    </row>
    <row r="718" spans="15:17" x14ac:dyDescent="0.25">
      <c r="O718"/>
      <c r="P718"/>
      <c r="Q718"/>
    </row>
    <row r="719" spans="15:17" x14ac:dyDescent="0.25">
      <c r="O719"/>
      <c r="P719"/>
    </row>
    <row r="720" spans="15:17" x14ac:dyDescent="0.25">
      <c r="O720"/>
      <c r="P720"/>
      <c r="Q720"/>
    </row>
    <row r="721" spans="15:17" x14ac:dyDescent="0.25">
      <c r="O721"/>
      <c r="P721"/>
      <c r="Q721"/>
    </row>
    <row r="722" spans="15:17" x14ac:dyDescent="0.25">
      <c r="O722"/>
      <c r="P722"/>
      <c r="Q722"/>
    </row>
    <row r="723" spans="15:17" x14ac:dyDescent="0.25">
      <c r="O723"/>
      <c r="P723"/>
      <c r="Q723"/>
    </row>
    <row r="724" spans="15:17" x14ac:dyDescent="0.25">
      <c r="O724"/>
      <c r="P724"/>
      <c r="Q724"/>
    </row>
    <row r="725" spans="15:17" x14ac:dyDescent="0.25">
      <c r="O725"/>
      <c r="P725"/>
      <c r="Q725"/>
    </row>
    <row r="726" spans="15:17" x14ac:dyDescent="0.25">
      <c r="O726"/>
      <c r="P726"/>
      <c r="Q726"/>
    </row>
    <row r="727" spans="15:17" x14ac:dyDescent="0.25">
      <c r="O727"/>
      <c r="P727"/>
      <c r="Q727"/>
    </row>
    <row r="728" spans="15:17" x14ac:dyDescent="0.25">
      <c r="O728"/>
      <c r="P728"/>
      <c r="Q728"/>
    </row>
    <row r="729" spans="15:17" x14ac:dyDescent="0.25">
      <c r="O729"/>
      <c r="P729"/>
      <c r="Q729"/>
    </row>
    <row r="730" spans="15:17" x14ac:dyDescent="0.25">
      <c r="O730"/>
      <c r="P730"/>
      <c r="Q730"/>
    </row>
    <row r="731" spans="15:17" x14ac:dyDescent="0.25">
      <c r="O731"/>
      <c r="P731"/>
      <c r="Q731"/>
    </row>
    <row r="732" spans="15:17" x14ac:dyDescent="0.25">
      <c r="O732"/>
      <c r="P732"/>
      <c r="Q732"/>
    </row>
    <row r="733" spans="15:17" x14ac:dyDescent="0.25">
      <c r="O733"/>
      <c r="P733"/>
      <c r="Q733"/>
    </row>
    <row r="734" spans="15:17" x14ac:dyDescent="0.25">
      <c r="O734"/>
      <c r="P734"/>
      <c r="Q734"/>
    </row>
    <row r="735" spans="15:17" x14ac:dyDescent="0.25">
      <c r="O735"/>
      <c r="P735"/>
      <c r="Q735"/>
    </row>
    <row r="736" spans="15:17" x14ac:dyDescent="0.25">
      <c r="O736"/>
      <c r="P736"/>
      <c r="Q736"/>
    </row>
    <row r="737" spans="15:17" x14ac:dyDescent="0.25">
      <c r="O737"/>
      <c r="P737"/>
      <c r="Q737"/>
    </row>
    <row r="738" spans="15:17" x14ac:dyDescent="0.25">
      <c r="O738"/>
      <c r="P738"/>
      <c r="Q738"/>
    </row>
    <row r="739" spans="15:17" x14ac:dyDescent="0.25">
      <c r="O739"/>
      <c r="P739"/>
      <c r="Q739"/>
    </row>
    <row r="740" spans="15:17" x14ac:dyDescent="0.25">
      <c r="O740"/>
      <c r="P740"/>
      <c r="Q740"/>
    </row>
    <row r="741" spans="15:17" x14ac:dyDescent="0.25">
      <c r="O741"/>
      <c r="P741"/>
      <c r="Q741"/>
    </row>
    <row r="742" spans="15:17" x14ac:dyDescent="0.25">
      <c r="O742"/>
      <c r="P742"/>
      <c r="Q742"/>
    </row>
    <row r="744" spans="15:17" x14ac:dyDescent="0.25">
      <c r="O744"/>
      <c r="P744"/>
      <c r="Q744"/>
    </row>
    <row r="745" spans="15:17" x14ac:dyDescent="0.25">
      <c r="O745"/>
      <c r="P745"/>
      <c r="Q745"/>
    </row>
    <row r="746" spans="15:17" x14ac:dyDescent="0.25">
      <c r="O746"/>
      <c r="P746"/>
      <c r="Q746"/>
    </row>
    <row r="747" spans="15:17" x14ac:dyDescent="0.25">
      <c r="O747"/>
      <c r="P747"/>
      <c r="Q747"/>
    </row>
    <row r="748" spans="15:17" x14ac:dyDescent="0.25">
      <c r="O748"/>
      <c r="P748"/>
      <c r="Q748"/>
    </row>
    <row r="749" spans="15:17" x14ac:dyDescent="0.25">
      <c r="O749"/>
      <c r="P749"/>
      <c r="Q749"/>
    </row>
    <row r="750" spans="15:17" x14ac:dyDescent="0.25">
      <c r="O750"/>
      <c r="P750"/>
      <c r="Q750"/>
    </row>
    <row r="751" spans="15:17" x14ac:dyDescent="0.25">
      <c r="O751"/>
      <c r="P751"/>
      <c r="Q751"/>
    </row>
    <row r="752" spans="15:17" x14ac:dyDescent="0.25">
      <c r="O752"/>
      <c r="P752"/>
      <c r="Q752"/>
    </row>
    <row r="753" spans="15:17" x14ac:dyDescent="0.25">
      <c r="O753"/>
      <c r="P753"/>
      <c r="Q753"/>
    </row>
    <row r="754" spans="15:17" x14ac:dyDescent="0.25">
      <c r="O754"/>
      <c r="P754"/>
      <c r="Q754"/>
    </row>
    <row r="755" spans="15:17" x14ac:dyDescent="0.25">
      <c r="O755"/>
      <c r="P755"/>
      <c r="Q755"/>
    </row>
    <row r="756" spans="15:17" x14ac:dyDescent="0.25">
      <c r="O756"/>
      <c r="P756"/>
      <c r="Q756"/>
    </row>
    <row r="757" spans="15:17" x14ac:dyDescent="0.25">
      <c r="O757"/>
      <c r="P757"/>
      <c r="Q757"/>
    </row>
    <row r="758" spans="15:17" x14ac:dyDescent="0.25">
      <c r="O758"/>
      <c r="P758"/>
      <c r="Q758"/>
    </row>
    <row r="759" spans="15:17" x14ac:dyDescent="0.25">
      <c r="O759"/>
      <c r="P759"/>
      <c r="Q759"/>
    </row>
    <row r="760" spans="15:17" x14ac:dyDescent="0.25">
      <c r="O760"/>
      <c r="P760"/>
      <c r="Q760"/>
    </row>
    <row r="761" spans="15:17" x14ac:dyDescent="0.25">
      <c r="O761"/>
      <c r="P761"/>
      <c r="Q761"/>
    </row>
    <row r="762" spans="15:17" x14ac:dyDescent="0.25">
      <c r="O762"/>
      <c r="P762"/>
      <c r="Q762"/>
    </row>
    <row r="763" spans="15:17" x14ac:dyDescent="0.25">
      <c r="O763"/>
      <c r="P763"/>
      <c r="Q763"/>
    </row>
    <row r="764" spans="15:17" x14ac:dyDescent="0.25">
      <c r="O764"/>
      <c r="P764"/>
      <c r="Q764"/>
    </row>
    <row r="765" spans="15:17" x14ac:dyDescent="0.25">
      <c r="O765"/>
      <c r="P765"/>
      <c r="Q765"/>
    </row>
    <row r="766" spans="15:17" x14ac:dyDescent="0.25">
      <c r="O766"/>
      <c r="P766"/>
      <c r="Q766"/>
    </row>
    <row r="767" spans="15:17" x14ac:dyDescent="0.25">
      <c r="O767"/>
      <c r="P767"/>
      <c r="Q767"/>
    </row>
    <row r="768" spans="15:17" x14ac:dyDescent="0.25">
      <c r="O768"/>
      <c r="P768"/>
      <c r="Q768"/>
    </row>
    <row r="769" spans="15:17" x14ac:dyDescent="0.25">
      <c r="O769"/>
      <c r="P769"/>
      <c r="Q769"/>
    </row>
    <row r="770" spans="15:17" x14ac:dyDescent="0.25">
      <c r="O770"/>
      <c r="P770"/>
      <c r="Q770"/>
    </row>
    <row r="771" spans="15:17" x14ac:dyDescent="0.25">
      <c r="O771"/>
      <c r="P771"/>
      <c r="Q771"/>
    </row>
    <row r="772" spans="15:17" x14ac:dyDescent="0.25">
      <c r="O772"/>
      <c r="P772"/>
      <c r="Q772"/>
    </row>
    <row r="773" spans="15:17" x14ac:dyDescent="0.25">
      <c r="O773"/>
      <c r="P773"/>
      <c r="Q773"/>
    </row>
    <row r="774" spans="15:17" x14ac:dyDescent="0.25">
      <c r="O774"/>
      <c r="P774"/>
      <c r="Q774"/>
    </row>
    <row r="775" spans="15:17" x14ac:dyDescent="0.25">
      <c r="O775"/>
      <c r="P775"/>
      <c r="Q775"/>
    </row>
    <row r="776" spans="15:17" x14ac:dyDescent="0.25">
      <c r="O776"/>
      <c r="P776"/>
      <c r="Q776"/>
    </row>
    <row r="777" spans="15:17" x14ac:dyDescent="0.25">
      <c r="O777"/>
      <c r="P777"/>
      <c r="Q777"/>
    </row>
    <row r="778" spans="15:17" x14ac:dyDescent="0.25">
      <c r="O778"/>
      <c r="P778"/>
      <c r="Q778"/>
    </row>
    <row r="779" spans="15:17" x14ac:dyDescent="0.25">
      <c r="O779"/>
      <c r="P779"/>
      <c r="Q779"/>
    </row>
    <row r="780" spans="15:17" x14ac:dyDescent="0.25">
      <c r="O780"/>
      <c r="P780"/>
      <c r="Q780"/>
    </row>
    <row r="781" spans="15:17" x14ac:dyDescent="0.25">
      <c r="O781"/>
      <c r="P781"/>
      <c r="Q781"/>
    </row>
    <row r="782" spans="15:17" x14ac:dyDescent="0.25">
      <c r="O782"/>
      <c r="P782"/>
      <c r="Q782"/>
    </row>
    <row r="783" spans="15:17" x14ac:dyDescent="0.25">
      <c r="O783"/>
      <c r="P783"/>
      <c r="Q783"/>
    </row>
    <row r="784" spans="15:17" x14ac:dyDescent="0.25">
      <c r="O784"/>
      <c r="P784"/>
      <c r="Q784"/>
    </row>
    <row r="785" spans="15:17" x14ac:dyDescent="0.25">
      <c r="O785"/>
      <c r="P785"/>
      <c r="Q785"/>
    </row>
    <row r="786" spans="15:17" x14ac:dyDescent="0.25">
      <c r="O786"/>
      <c r="P786"/>
      <c r="Q786"/>
    </row>
    <row r="787" spans="15:17" x14ac:dyDescent="0.25">
      <c r="O787"/>
      <c r="P787"/>
      <c r="Q787"/>
    </row>
    <row r="788" spans="15:17" x14ac:dyDescent="0.25">
      <c r="O788"/>
      <c r="P788"/>
      <c r="Q788"/>
    </row>
    <row r="789" spans="15:17" x14ac:dyDescent="0.25">
      <c r="O789"/>
      <c r="P789"/>
      <c r="Q789"/>
    </row>
    <row r="790" spans="15:17" x14ac:dyDescent="0.25">
      <c r="O790"/>
      <c r="P790"/>
      <c r="Q790"/>
    </row>
    <row r="791" spans="15:17" x14ac:dyDescent="0.25">
      <c r="O791"/>
      <c r="P791"/>
      <c r="Q791"/>
    </row>
    <row r="792" spans="15:17" x14ac:dyDescent="0.25">
      <c r="O792"/>
      <c r="P792"/>
      <c r="Q792"/>
    </row>
    <row r="793" spans="15:17" x14ac:dyDescent="0.25">
      <c r="O793"/>
      <c r="P793"/>
      <c r="Q793"/>
    </row>
    <row r="794" spans="15:17" x14ac:dyDescent="0.25">
      <c r="O794"/>
      <c r="P794"/>
      <c r="Q794"/>
    </row>
    <row r="795" spans="15:17" x14ac:dyDescent="0.25">
      <c r="O795"/>
      <c r="P795"/>
      <c r="Q795"/>
    </row>
    <row r="796" spans="15:17" x14ac:dyDescent="0.25">
      <c r="O796"/>
      <c r="P796"/>
      <c r="Q796"/>
    </row>
    <row r="797" spans="15:17" x14ac:dyDescent="0.25">
      <c r="O797"/>
      <c r="P797"/>
      <c r="Q797"/>
    </row>
    <row r="798" spans="15:17" x14ac:dyDescent="0.25">
      <c r="O798"/>
      <c r="P798"/>
      <c r="Q798"/>
    </row>
    <row r="799" spans="15:17" x14ac:dyDescent="0.25">
      <c r="O799"/>
      <c r="P799"/>
      <c r="Q799"/>
    </row>
    <row r="800" spans="15:17" x14ac:dyDescent="0.25">
      <c r="O800"/>
      <c r="P800"/>
      <c r="Q800"/>
    </row>
    <row r="801" spans="15:17" x14ac:dyDescent="0.25">
      <c r="O801"/>
      <c r="P801"/>
      <c r="Q801"/>
    </row>
    <row r="802" spans="15:17" x14ac:dyDescent="0.25">
      <c r="O802"/>
      <c r="P802"/>
      <c r="Q802"/>
    </row>
    <row r="803" spans="15:17" x14ac:dyDescent="0.25">
      <c r="O803"/>
      <c r="P803"/>
      <c r="Q803"/>
    </row>
    <row r="804" spans="15:17" x14ac:dyDescent="0.25">
      <c r="O804"/>
      <c r="P804"/>
      <c r="Q804"/>
    </row>
    <row r="805" spans="15:17" x14ac:dyDescent="0.25">
      <c r="O805"/>
      <c r="P805"/>
      <c r="Q805"/>
    </row>
    <row r="806" spans="15:17" x14ac:dyDescent="0.25">
      <c r="O806"/>
      <c r="P806"/>
      <c r="Q806"/>
    </row>
    <row r="807" spans="15:17" x14ac:dyDescent="0.25">
      <c r="O807"/>
      <c r="P807"/>
      <c r="Q807"/>
    </row>
    <row r="808" spans="15:17" x14ac:dyDescent="0.25">
      <c r="O808"/>
      <c r="P808"/>
      <c r="Q808"/>
    </row>
    <row r="809" spans="15:17" x14ac:dyDescent="0.25">
      <c r="O809"/>
      <c r="P809"/>
      <c r="Q809"/>
    </row>
    <row r="810" spans="15:17" x14ac:dyDescent="0.25">
      <c r="O810"/>
      <c r="P810"/>
      <c r="Q810"/>
    </row>
    <row r="811" spans="15:17" x14ac:dyDescent="0.25">
      <c r="O811"/>
      <c r="P811"/>
      <c r="Q811"/>
    </row>
    <row r="812" spans="15:17" x14ac:dyDescent="0.25">
      <c r="O812"/>
      <c r="P812"/>
      <c r="Q812"/>
    </row>
    <row r="813" spans="15:17" x14ac:dyDescent="0.25">
      <c r="O813"/>
      <c r="P813"/>
      <c r="Q813"/>
    </row>
    <row r="814" spans="15:17" x14ac:dyDescent="0.25">
      <c r="O814"/>
      <c r="P814"/>
      <c r="Q814"/>
    </row>
    <row r="815" spans="15:17" x14ac:dyDescent="0.25">
      <c r="O815"/>
      <c r="P815"/>
      <c r="Q815"/>
    </row>
    <row r="816" spans="15:17" x14ac:dyDescent="0.25">
      <c r="O816"/>
      <c r="P816"/>
      <c r="Q816"/>
    </row>
    <row r="817" spans="15:17" x14ac:dyDescent="0.25">
      <c r="O817"/>
      <c r="P817"/>
      <c r="Q817"/>
    </row>
    <row r="819" spans="15:17" x14ac:dyDescent="0.25">
      <c r="O819"/>
      <c r="P819"/>
      <c r="Q819"/>
    </row>
    <row r="820" spans="15:17" x14ac:dyDescent="0.25">
      <c r="O820"/>
      <c r="P820"/>
      <c r="Q820"/>
    </row>
    <row r="821" spans="15:17" x14ac:dyDescent="0.25">
      <c r="O821"/>
      <c r="P821"/>
      <c r="Q821"/>
    </row>
    <row r="822" spans="15:17" x14ac:dyDescent="0.25">
      <c r="O822"/>
      <c r="P822"/>
      <c r="Q822"/>
    </row>
    <row r="823" spans="15:17" x14ac:dyDescent="0.25">
      <c r="O823"/>
      <c r="P823"/>
      <c r="Q823"/>
    </row>
    <row r="824" spans="15:17" x14ac:dyDescent="0.25">
      <c r="O824"/>
      <c r="P824"/>
      <c r="Q824"/>
    </row>
    <row r="825" spans="15:17" x14ac:dyDescent="0.25">
      <c r="O825"/>
      <c r="P825"/>
      <c r="Q825"/>
    </row>
    <row r="826" spans="15:17" x14ac:dyDescent="0.25">
      <c r="O826"/>
      <c r="P826"/>
      <c r="Q826"/>
    </row>
    <row r="827" spans="15:17" x14ac:dyDescent="0.25">
      <c r="O827"/>
      <c r="P827"/>
      <c r="Q827"/>
    </row>
    <row r="828" spans="15:17" x14ac:dyDescent="0.25">
      <c r="O828"/>
      <c r="P828"/>
      <c r="Q828"/>
    </row>
    <row r="829" spans="15:17" x14ac:dyDescent="0.25">
      <c r="O829"/>
      <c r="P829"/>
      <c r="Q829"/>
    </row>
    <row r="830" spans="15:17" x14ac:dyDescent="0.25">
      <c r="O830"/>
      <c r="P830"/>
      <c r="Q830"/>
    </row>
    <row r="831" spans="15:17" x14ac:dyDescent="0.25">
      <c r="O831"/>
      <c r="P831"/>
      <c r="Q831"/>
    </row>
    <row r="832" spans="15:17" x14ac:dyDescent="0.25">
      <c r="O832"/>
      <c r="P832"/>
      <c r="Q832"/>
    </row>
    <row r="833" spans="15:17" x14ac:dyDescent="0.25">
      <c r="O833"/>
      <c r="P833"/>
      <c r="Q833"/>
    </row>
    <row r="834" spans="15:17" x14ac:dyDescent="0.25">
      <c r="O834"/>
      <c r="P834"/>
      <c r="Q834"/>
    </row>
    <row r="835" spans="15:17" x14ac:dyDescent="0.25">
      <c r="O835"/>
      <c r="P835"/>
      <c r="Q835"/>
    </row>
    <row r="836" spans="15:17" x14ac:dyDescent="0.25">
      <c r="O836"/>
      <c r="P836"/>
      <c r="Q836"/>
    </row>
    <row r="837" spans="15:17" x14ac:dyDescent="0.25">
      <c r="O837"/>
      <c r="P837"/>
    </row>
    <row r="838" spans="15:17" x14ac:dyDescent="0.25">
      <c r="O838"/>
      <c r="P838"/>
      <c r="Q838"/>
    </row>
    <row r="839" spans="15:17" x14ac:dyDescent="0.25">
      <c r="O839"/>
      <c r="P839"/>
      <c r="Q839"/>
    </row>
    <row r="840" spans="15:17" x14ac:dyDescent="0.25">
      <c r="O840"/>
      <c r="P840"/>
      <c r="Q840"/>
    </row>
    <row r="841" spans="15:17" x14ac:dyDescent="0.25">
      <c r="O841"/>
      <c r="P841"/>
    </row>
    <row r="842" spans="15:17" x14ac:dyDescent="0.25">
      <c r="O842"/>
      <c r="P842"/>
      <c r="Q842"/>
    </row>
    <row r="843" spans="15:17" x14ac:dyDescent="0.25">
      <c r="O843"/>
      <c r="P843"/>
      <c r="Q843"/>
    </row>
    <row r="844" spans="15:17" x14ac:dyDescent="0.25">
      <c r="O844"/>
      <c r="P844"/>
      <c r="Q844"/>
    </row>
    <row r="845" spans="15:17" x14ac:dyDescent="0.25">
      <c r="O845"/>
      <c r="P845"/>
      <c r="Q845"/>
    </row>
    <row r="846" spans="15:17" x14ac:dyDescent="0.25">
      <c r="O846"/>
      <c r="P846"/>
      <c r="Q846"/>
    </row>
    <row r="847" spans="15:17" x14ac:dyDescent="0.25">
      <c r="O847"/>
      <c r="P847"/>
      <c r="Q847"/>
    </row>
    <row r="848" spans="15:17" x14ac:dyDescent="0.25">
      <c r="O848"/>
      <c r="P848"/>
      <c r="Q848"/>
    </row>
    <row r="849" spans="15:17" x14ac:dyDescent="0.25">
      <c r="O849"/>
      <c r="P849"/>
    </row>
    <row r="850" spans="15:17" x14ac:dyDescent="0.25">
      <c r="O850"/>
      <c r="P850"/>
      <c r="Q850"/>
    </row>
    <row r="851" spans="15:17" x14ac:dyDescent="0.25">
      <c r="O851"/>
      <c r="P851"/>
      <c r="Q851"/>
    </row>
    <row r="852" spans="15:17" x14ac:dyDescent="0.25">
      <c r="O852"/>
      <c r="P852"/>
      <c r="Q852"/>
    </row>
    <row r="853" spans="15:17" x14ac:dyDescent="0.25">
      <c r="O853"/>
      <c r="P853"/>
      <c r="Q853"/>
    </row>
    <row r="854" spans="15:17" x14ac:dyDescent="0.25">
      <c r="O854"/>
      <c r="P854"/>
      <c r="Q854"/>
    </row>
    <row r="855" spans="15:17" x14ac:dyDescent="0.25">
      <c r="O855"/>
      <c r="P855"/>
      <c r="Q855"/>
    </row>
    <row r="856" spans="15:17" x14ac:dyDescent="0.25">
      <c r="O856"/>
      <c r="P856"/>
      <c r="Q856"/>
    </row>
    <row r="857" spans="15:17" x14ac:dyDescent="0.25">
      <c r="O857"/>
      <c r="P857"/>
      <c r="Q857"/>
    </row>
    <row r="858" spans="15:17" x14ac:dyDescent="0.25">
      <c r="O858"/>
      <c r="P858"/>
      <c r="Q858"/>
    </row>
    <row r="859" spans="15:17" x14ac:dyDescent="0.25">
      <c r="O859"/>
      <c r="P859"/>
      <c r="Q859"/>
    </row>
    <row r="860" spans="15:17" x14ac:dyDescent="0.25">
      <c r="O860"/>
      <c r="P860"/>
      <c r="Q860"/>
    </row>
    <row r="861" spans="15:17" x14ac:dyDescent="0.25">
      <c r="O861"/>
      <c r="P861"/>
      <c r="Q861"/>
    </row>
    <row r="862" spans="15:17" x14ac:dyDescent="0.25">
      <c r="O862"/>
      <c r="P862"/>
      <c r="Q862"/>
    </row>
    <row r="863" spans="15:17" x14ac:dyDescent="0.25">
      <c r="O863"/>
      <c r="P863"/>
      <c r="Q863"/>
    </row>
    <row r="864" spans="15:17" x14ac:dyDescent="0.25">
      <c r="O864"/>
      <c r="P864"/>
      <c r="Q864"/>
    </row>
    <row r="865" spans="15:17" x14ac:dyDescent="0.25">
      <c r="O865"/>
      <c r="P865"/>
      <c r="Q865"/>
    </row>
    <row r="866" spans="15:17" x14ac:dyDescent="0.25">
      <c r="O866"/>
      <c r="P866"/>
      <c r="Q866"/>
    </row>
    <row r="867" spans="15:17" x14ac:dyDescent="0.25">
      <c r="O867"/>
      <c r="P867"/>
      <c r="Q867"/>
    </row>
    <row r="868" spans="15:17" x14ac:dyDescent="0.25">
      <c r="O868"/>
      <c r="P868"/>
      <c r="Q868"/>
    </row>
    <row r="869" spans="15:17" x14ac:dyDescent="0.25">
      <c r="O869"/>
      <c r="P869"/>
      <c r="Q869"/>
    </row>
    <row r="870" spans="15:17" x14ac:dyDescent="0.25">
      <c r="O870"/>
      <c r="P870"/>
    </row>
    <row r="871" spans="15:17" x14ac:dyDescent="0.25">
      <c r="O871"/>
      <c r="P871"/>
    </row>
    <row r="872" spans="15:17" x14ac:dyDescent="0.25">
      <c r="O872"/>
      <c r="P872"/>
      <c r="Q872"/>
    </row>
    <row r="873" spans="15:17" x14ac:dyDescent="0.25">
      <c r="O873"/>
      <c r="P873"/>
      <c r="Q873"/>
    </row>
    <row r="874" spans="15:17" x14ac:dyDescent="0.25">
      <c r="O874"/>
      <c r="P874"/>
      <c r="Q874"/>
    </row>
    <row r="875" spans="15:17" x14ac:dyDescent="0.25">
      <c r="O875"/>
      <c r="P875"/>
      <c r="Q875"/>
    </row>
    <row r="876" spans="15:17" x14ac:dyDescent="0.25">
      <c r="O876"/>
      <c r="P876"/>
      <c r="Q876"/>
    </row>
    <row r="877" spans="15:17" x14ac:dyDescent="0.25">
      <c r="O877"/>
      <c r="P877"/>
      <c r="Q877"/>
    </row>
    <row r="878" spans="15:17" x14ac:dyDescent="0.25">
      <c r="O878"/>
      <c r="P878"/>
      <c r="Q878"/>
    </row>
    <row r="879" spans="15:17" x14ac:dyDescent="0.25">
      <c r="O879"/>
      <c r="P879"/>
      <c r="Q879"/>
    </row>
    <row r="880" spans="15:17" x14ac:dyDescent="0.25">
      <c r="O880"/>
      <c r="P880"/>
      <c r="Q880"/>
    </row>
    <row r="881" spans="15:17" x14ac:dyDescent="0.25">
      <c r="O881"/>
      <c r="P881"/>
      <c r="Q881"/>
    </row>
    <row r="882" spans="15:17" x14ac:dyDescent="0.25">
      <c r="O882"/>
      <c r="P882"/>
    </row>
    <row r="883" spans="15:17" x14ac:dyDescent="0.25">
      <c r="O883"/>
      <c r="P883"/>
      <c r="Q883"/>
    </row>
    <row r="884" spans="15:17" x14ac:dyDescent="0.25">
      <c r="O884"/>
      <c r="P884"/>
      <c r="Q884"/>
    </row>
    <row r="885" spans="15:17" x14ac:dyDescent="0.25">
      <c r="O885"/>
      <c r="P885"/>
      <c r="Q885"/>
    </row>
    <row r="886" spans="15:17" x14ac:dyDescent="0.25">
      <c r="O886"/>
      <c r="P886"/>
      <c r="Q886"/>
    </row>
    <row r="887" spans="15:17" x14ac:dyDescent="0.25">
      <c r="O887"/>
      <c r="P887"/>
      <c r="Q887"/>
    </row>
    <row r="888" spans="15:17" x14ac:dyDescent="0.25">
      <c r="O888"/>
      <c r="P888"/>
      <c r="Q888"/>
    </row>
    <row r="889" spans="15:17" x14ac:dyDescent="0.25">
      <c r="O889"/>
      <c r="P889"/>
      <c r="Q889"/>
    </row>
    <row r="890" spans="15:17" x14ac:dyDescent="0.25">
      <c r="O890"/>
      <c r="P890"/>
      <c r="Q890"/>
    </row>
    <row r="891" spans="15:17" x14ac:dyDescent="0.25">
      <c r="O891"/>
      <c r="P891"/>
      <c r="Q891"/>
    </row>
    <row r="892" spans="15:17" x14ac:dyDescent="0.25">
      <c r="O892"/>
      <c r="P892"/>
      <c r="Q892"/>
    </row>
    <row r="893" spans="15:17" x14ac:dyDescent="0.25">
      <c r="O893"/>
      <c r="P893"/>
    </row>
    <row r="894" spans="15:17" x14ac:dyDescent="0.25">
      <c r="O894"/>
      <c r="P894"/>
      <c r="Q894"/>
    </row>
    <row r="895" spans="15:17" x14ac:dyDescent="0.25">
      <c r="O895"/>
      <c r="P895"/>
      <c r="Q895"/>
    </row>
    <row r="896" spans="15:17" x14ac:dyDescent="0.25">
      <c r="O896"/>
      <c r="P896"/>
      <c r="Q896"/>
    </row>
    <row r="897" spans="15:17" x14ac:dyDescent="0.25">
      <c r="O897"/>
      <c r="P897"/>
      <c r="Q897"/>
    </row>
    <row r="898" spans="15:17" x14ac:dyDescent="0.25">
      <c r="O898"/>
      <c r="P898"/>
      <c r="Q898"/>
    </row>
    <row r="899" spans="15:17" x14ac:dyDescent="0.25">
      <c r="O899"/>
      <c r="P899"/>
      <c r="Q899"/>
    </row>
    <row r="900" spans="15:17" x14ac:dyDescent="0.25">
      <c r="O900"/>
      <c r="P900"/>
      <c r="Q900"/>
    </row>
    <row r="901" spans="15:17" x14ac:dyDescent="0.25">
      <c r="O901"/>
      <c r="P901"/>
    </row>
    <row r="902" spans="15:17" x14ac:dyDescent="0.25">
      <c r="O902"/>
      <c r="P902"/>
      <c r="Q902"/>
    </row>
    <row r="903" spans="15:17" x14ac:dyDescent="0.25">
      <c r="O903"/>
      <c r="P903"/>
      <c r="Q903"/>
    </row>
    <row r="904" spans="15:17" x14ac:dyDescent="0.25">
      <c r="O904"/>
      <c r="P904"/>
      <c r="Q904"/>
    </row>
    <row r="905" spans="15:17" x14ac:dyDescent="0.25">
      <c r="O905"/>
      <c r="P905"/>
      <c r="Q905"/>
    </row>
    <row r="906" spans="15:17" x14ac:dyDescent="0.25">
      <c r="O906"/>
      <c r="P906"/>
      <c r="Q906"/>
    </row>
    <row r="907" spans="15:17" x14ac:dyDescent="0.25">
      <c r="O907"/>
      <c r="P907"/>
      <c r="Q907"/>
    </row>
    <row r="908" spans="15:17" x14ac:dyDescent="0.25">
      <c r="O908"/>
      <c r="P908"/>
      <c r="Q908"/>
    </row>
    <row r="909" spans="15:17" x14ac:dyDescent="0.25">
      <c r="O909"/>
      <c r="P909"/>
    </row>
    <row r="910" spans="15:17" x14ac:dyDescent="0.25">
      <c r="O910"/>
      <c r="P910"/>
      <c r="Q910"/>
    </row>
    <row r="911" spans="15:17" x14ac:dyDescent="0.25">
      <c r="O911"/>
      <c r="P911"/>
      <c r="Q911"/>
    </row>
    <row r="912" spans="15:17" x14ac:dyDescent="0.25">
      <c r="O912"/>
      <c r="P912"/>
      <c r="Q912"/>
    </row>
    <row r="913" spans="15:17" x14ac:dyDescent="0.25">
      <c r="O913"/>
      <c r="P913"/>
      <c r="Q913"/>
    </row>
    <row r="914" spans="15:17" x14ac:dyDescent="0.25">
      <c r="O914"/>
      <c r="P914"/>
      <c r="Q914"/>
    </row>
    <row r="915" spans="15:17" x14ac:dyDescent="0.25">
      <c r="O915"/>
      <c r="P915"/>
      <c r="Q915"/>
    </row>
    <row r="916" spans="15:17" x14ac:dyDescent="0.25">
      <c r="O916"/>
      <c r="P916"/>
      <c r="Q916"/>
    </row>
    <row r="917" spans="15:17" x14ac:dyDescent="0.25">
      <c r="O917"/>
      <c r="P917"/>
      <c r="Q917"/>
    </row>
    <row r="918" spans="15:17" x14ac:dyDescent="0.25">
      <c r="O918"/>
      <c r="P918"/>
      <c r="Q918"/>
    </row>
    <row r="919" spans="15:17" x14ac:dyDescent="0.25">
      <c r="O919"/>
      <c r="P919"/>
      <c r="Q919"/>
    </row>
    <row r="920" spans="15:17" x14ac:dyDescent="0.25">
      <c r="O920"/>
      <c r="P920"/>
      <c r="Q920"/>
    </row>
    <row r="921" spans="15:17" x14ac:dyDescent="0.25">
      <c r="O921"/>
      <c r="P921"/>
      <c r="Q921"/>
    </row>
    <row r="922" spans="15:17" x14ac:dyDescent="0.25">
      <c r="O922"/>
      <c r="P922"/>
      <c r="Q922"/>
    </row>
    <row r="923" spans="15:17" x14ac:dyDescent="0.25">
      <c r="O923"/>
      <c r="P923"/>
      <c r="Q923"/>
    </row>
    <row r="924" spans="15:17" x14ac:dyDescent="0.25">
      <c r="O924"/>
      <c r="P924"/>
      <c r="Q924"/>
    </row>
    <row r="925" spans="15:17" x14ac:dyDescent="0.25">
      <c r="O925"/>
      <c r="P925"/>
      <c r="Q925"/>
    </row>
    <row r="926" spans="15:17" x14ac:dyDescent="0.25">
      <c r="O926"/>
      <c r="P926"/>
      <c r="Q926"/>
    </row>
    <row r="927" spans="15:17" x14ac:dyDescent="0.25">
      <c r="O927"/>
      <c r="P927"/>
      <c r="Q927"/>
    </row>
    <row r="928" spans="15:17" x14ac:dyDescent="0.25">
      <c r="O928"/>
      <c r="P928"/>
    </row>
    <row r="929" spans="15:17" x14ac:dyDescent="0.25">
      <c r="O929"/>
      <c r="P929"/>
      <c r="Q929"/>
    </row>
    <row r="930" spans="15:17" x14ac:dyDescent="0.25">
      <c r="O930"/>
      <c r="P930"/>
      <c r="Q930"/>
    </row>
    <row r="931" spans="15:17" x14ac:dyDescent="0.25">
      <c r="O931"/>
      <c r="P931"/>
      <c r="Q931"/>
    </row>
    <row r="932" spans="15:17" x14ac:dyDescent="0.25">
      <c r="O932"/>
      <c r="P932"/>
      <c r="Q932"/>
    </row>
    <row r="933" spans="15:17" x14ac:dyDescent="0.25">
      <c r="O933"/>
      <c r="P933"/>
    </row>
    <row r="934" spans="15:17" x14ac:dyDescent="0.25">
      <c r="O934"/>
      <c r="P934"/>
      <c r="Q934"/>
    </row>
    <row r="935" spans="15:17" x14ac:dyDescent="0.25">
      <c r="O935"/>
      <c r="P935"/>
      <c r="Q935"/>
    </row>
    <row r="936" spans="15:17" x14ac:dyDescent="0.25">
      <c r="O936"/>
      <c r="P936"/>
      <c r="Q936"/>
    </row>
    <row r="937" spans="15:17" x14ac:dyDescent="0.25">
      <c r="O937"/>
      <c r="P937"/>
      <c r="Q937"/>
    </row>
    <row r="938" spans="15:17" x14ac:dyDescent="0.25">
      <c r="O938"/>
      <c r="P938"/>
      <c r="Q938"/>
    </row>
    <row r="939" spans="15:17" x14ac:dyDescent="0.25">
      <c r="O939"/>
      <c r="P939"/>
      <c r="Q939"/>
    </row>
    <row r="940" spans="15:17" x14ac:dyDescent="0.25">
      <c r="O940"/>
      <c r="P940"/>
      <c r="Q940"/>
    </row>
    <row r="941" spans="15:17" x14ac:dyDescent="0.25">
      <c r="O941"/>
      <c r="P941"/>
      <c r="Q941"/>
    </row>
    <row r="942" spans="15:17" x14ac:dyDescent="0.25">
      <c r="O942"/>
      <c r="P942"/>
      <c r="Q942"/>
    </row>
    <row r="943" spans="15:17" x14ac:dyDescent="0.25">
      <c r="O943"/>
      <c r="P943"/>
      <c r="Q943"/>
    </row>
    <row r="944" spans="15:17" x14ac:dyDescent="0.25">
      <c r="O944"/>
      <c r="P944"/>
    </row>
    <row r="945" spans="15:17" x14ac:dyDescent="0.25">
      <c r="O945"/>
      <c r="P945"/>
      <c r="Q945"/>
    </row>
    <row r="946" spans="15:17" x14ac:dyDescent="0.25">
      <c r="O946"/>
      <c r="P946"/>
      <c r="Q946"/>
    </row>
    <row r="947" spans="15:17" x14ac:dyDescent="0.25">
      <c r="O947"/>
      <c r="P947"/>
      <c r="Q947"/>
    </row>
    <row r="948" spans="15:17" x14ac:dyDescent="0.25">
      <c r="O948"/>
      <c r="P948"/>
      <c r="Q948"/>
    </row>
    <row r="949" spans="15:17" x14ac:dyDescent="0.25">
      <c r="O949"/>
      <c r="P949"/>
      <c r="Q949"/>
    </row>
    <row r="950" spans="15:17" x14ac:dyDescent="0.25">
      <c r="O950"/>
      <c r="P950"/>
      <c r="Q950"/>
    </row>
    <row r="951" spans="15:17" x14ac:dyDescent="0.25">
      <c r="O951"/>
      <c r="P951"/>
      <c r="Q951"/>
    </row>
    <row r="952" spans="15:17" x14ac:dyDescent="0.25">
      <c r="O952"/>
      <c r="P952"/>
      <c r="Q952"/>
    </row>
    <row r="953" spans="15:17" x14ac:dyDescent="0.25">
      <c r="O953"/>
      <c r="P953"/>
      <c r="Q953"/>
    </row>
    <row r="954" spans="15:17" x14ac:dyDescent="0.25">
      <c r="O954"/>
      <c r="P954"/>
      <c r="Q954"/>
    </row>
    <row r="955" spans="15:17" x14ac:dyDescent="0.25">
      <c r="O955"/>
      <c r="P955"/>
      <c r="Q955"/>
    </row>
    <row r="956" spans="15:17" x14ac:dyDescent="0.25">
      <c r="O956"/>
      <c r="P956"/>
      <c r="Q956"/>
    </row>
    <row r="957" spans="15:17" x14ac:dyDescent="0.25">
      <c r="O957"/>
      <c r="P957"/>
    </row>
    <row r="958" spans="15:17" x14ac:dyDescent="0.25">
      <c r="O958"/>
      <c r="P958"/>
      <c r="Q958"/>
    </row>
    <row r="959" spans="15:17" x14ac:dyDescent="0.25">
      <c r="O959"/>
      <c r="P959"/>
      <c r="Q959"/>
    </row>
    <row r="960" spans="15:17" x14ac:dyDescent="0.25">
      <c r="O960"/>
      <c r="P960"/>
      <c r="Q960"/>
    </row>
    <row r="961" spans="15:17" x14ac:dyDescent="0.25">
      <c r="O961"/>
      <c r="P961"/>
      <c r="Q961"/>
    </row>
    <row r="962" spans="15:17" x14ac:dyDescent="0.25">
      <c r="O962"/>
      <c r="P962"/>
      <c r="Q962"/>
    </row>
    <row r="963" spans="15:17" x14ac:dyDescent="0.25">
      <c r="O963"/>
      <c r="P963"/>
      <c r="Q963"/>
    </row>
    <row r="964" spans="15:17" x14ac:dyDescent="0.25">
      <c r="O964"/>
      <c r="P964"/>
      <c r="Q964"/>
    </row>
    <row r="965" spans="15:17" x14ac:dyDescent="0.25">
      <c r="O965"/>
      <c r="P965"/>
      <c r="Q965"/>
    </row>
    <row r="966" spans="15:17" x14ac:dyDescent="0.25">
      <c r="O966"/>
      <c r="P966"/>
      <c r="Q966"/>
    </row>
    <row r="967" spans="15:17" x14ac:dyDescent="0.25">
      <c r="O967"/>
      <c r="P967"/>
      <c r="Q967"/>
    </row>
    <row r="968" spans="15:17" x14ac:dyDescent="0.25">
      <c r="O968"/>
      <c r="P968"/>
      <c r="Q968"/>
    </row>
    <row r="969" spans="15:17" x14ac:dyDescent="0.25">
      <c r="O969"/>
      <c r="P969"/>
      <c r="Q969"/>
    </row>
    <row r="970" spans="15:17" x14ac:dyDescent="0.25">
      <c r="O970"/>
      <c r="P970"/>
      <c r="Q970"/>
    </row>
    <row r="971" spans="15:17" x14ac:dyDescent="0.25">
      <c r="O971"/>
      <c r="P971"/>
      <c r="Q971"/>
    </row>
    <row r="972" spans="15:17" x14ac:dyDescent="0.25">
      <c r="O972"/>
      <c r="P972"/>
      <c r="Q972"/>
    </row>
    <row r="973" spans="15:17" x14ac:dyDescent="0.25">
      <c r="O973"/>
      <c r="P973"/>
    </row>
    <row r="974" spans="15:17" x14ac:dyDescent="0.25">
      <c r="O974"/>
      <c r="P974"/>
    </row>
    <row r="975" spans="15:17" x14ac:dyDescent="0.25">
      <c r="O975"/>
      <c r="P975"/>
      <c r="Q975"/>
    </row>
    <row r="976" spans="15:17" x14ac:dyDescent="0.25">
      <c r="O976"/>
      <c r="P976"/>
      <c r="Q976"/>
    </row>
    <row r="977" spans="15:17" x14ac:dyDescent="0.25">
      <c r="O977"/>
      <c r="P977"/>
      <c r="Q977"/>
    </row>
    <row r="978" spans="15:17" x14ac:dyDescent="0.25">
      <c r="O978"/>
      <c r="P978"/>
      <c r="Q978"/>
    </row>
    <row r="979" spans="15:17" x14ac:dyDescent="0.25">
      <c r="O979"/>
      <c r="P979"/>
      <c r="Q979"/>
    </row>
    <row r="980" spans="15:17" x14ac:dyDescent="0.25">
      <c r="O980"/>
      <c r="P980"/>
    </row>
    <row r="981" spans="15:17" x14ac:dyDescent="0.25">
      <c r="O981"/>
      <c r="P981"/>
      <c r="Q981"/>
    </row>
    <row r="982" spans="15:17" x14ac:dyDescent="0.25">
      <c r="O982"/>
      <c r="P982"/>
      <c r="Q982"/>
    </row>
    <row r="983" spans="15:17" x14ac:dyDescent="0.25">
      <c r="O983"/>
      <c r="P983"/>
      <c r="Q983"/>
    </row>
    <row r="984" spans="15:17" x14ac:dyDescent="0.25">
      <c r="O984"/>
      <c r="P984"/>
      <c r="Q984"/>
    </row>
    <row r="985" spans="15:17" x14ac:dyDescent="0.25">
      <c r="O985"/>
      <c r="P985"/>
      <c r="Q985"/>
    </row>
    <row r="986" spans="15:17" x14ac:dyDescent="0.25">
      <c r="O986"/>
      <c r="P986"/>
      <c r="Q986"/>
    </row>
    <row r="987" spans="15:17" x14ac:dyDescent="0.25">
      <c r="O987"/>
      <c r="P987"/>
      <c r="Q987"/>
    </row>
    <row r="988" spans="15:17" x14ac:dyDescent="0.25">
      <c r="O988"/>
      <c r="P988"/>
      <c r="Q988"/>
    </row>
    <row r="989" spans="15:17" x14ac:dyDescent="0.25">
      <c r="O989"/>
      <c r="P989"/>
      <c r="Q989"/>
    </row>
    <row r="990" spans="15:17" x14ac:dyDescent="0.25">
      <c r="O990"/>
      <c r="P990"/>
      <c r="Q990"/>
    </row>
    <row r="991" spans="15:17" x14ac:dyDescent="0.25">
      <c r="O991"/>
      <c r="P991"/>
      <c r="Q991"/>
    </row>
    <row r="992" spans="15:17" x14ac:dyDescent="0.25">
      <c r="O992"/>
      <c r="P992"/>
      <c r="Q992"/>
    </row>
    <row r="993" spans="15:17" x14ac:dyDescent="0.25">
      <c r="O993"/>
      <c r="P993"/>
      <c r="Q993"/>
    </row>
    <row r="994" spans="15:17" x14ac:dyDescent="0.25">
      <c r="O994"/>
      <c r="P994"/>
      <c r="Q994"/>
    </row>
    <row r="995" spans="15:17" x14ac:dyDescent="0.25">
      <c r="O995"/>
      <c r="P995"/>
      <c r="Q995"/>
    </row>
    <row r="996" spans="15:17" x14ac:dyDescent="0.25">
      <c r="O996"/>
      <c r="P996"/>
      <c r="Q996"/>
    </row>
    <row r="997" spans="15:17" x14ac:dyDescent="0.25">
      <c r="O997"/>
      <c r="P997"/>
      <c r="Q997"/>
    </row>
    <row r="998" spans="15:17" x14ac:dyDescent="0.25">
      <c r="O998"/>
      <c r="P998"/>
      <c r="Q998"/>
    </row>
    <row r="999" spans="15:17" x14ac:dyDescent="0.25">
      <c r="O999"/>
      <c r="P999"/>
      <c r="Q999"/>
    </row>
    <row r="1000" spans="15:17" x14ac:dyDescent="0.25">
      <c r="O1000"/>
      <c r="P1000"/>
      <c r="Q1000"/>
    </row>
    <row r="1001" spans="15:17" x14ac:dyDescent="0.25">
      <c r="O1001"/>
      <c r="P1001"/>
      <c r="Q1001"/>
    </row>
    <row r="1002" spans="15:17" x14ac:dyDescent="0.25">
      <c r="O1002"/>
      <c r="P1002"/>
      <c r="Q1002"/>
    </row>
    <row r="1003" spans="15:17" x14ac:dyDescent="0.25">
      <c r="O1003"/>
      <c r="P1003"/>
      <c r="Q1003"/>
    </row>
    <row r="1004" spans="15:17" x14ac:dyDescent="0.25">
      <c r="O1004"/>
      <c r="P1004"/>
      <c r="Q1004"/>
    </row>
    <row r="1005" spans="15:17" x14ac:dyDescent="0.25">
      <c r="O1005"/>
      <c r="P1005"/>
      <c r="Q1005"/>
    </row>
    <row r="1006" spans="15:17" x14ac:dyDescent="0.25">
      <c r="O1006"/>
      <c r="P1006"/>
      <c r="Q1006"/>
    </row>
    <row r="1007" spans="15:17" x14ac:dyDescent="0.25">
      <c r="O1007"/>
      <c r="P1007"/>
      <c r="Q1007"/>
    </row>
    <row r="1008" spans="15:17" x14ac:dyDescent="0.25">
      <c r="O1008"/>
      <c r="P1008"/>
      <c r="Q1008"/>
    </row>
    <row r="1009" spans="15:17" x14ac:dyDescent="0.25">
      <c r="O1009"/>
      <c r="P1009"/>
      <c r="Q1009"/>
    </row>
    <row r="1010" spans="15:17" x14ac:dyDescent="0.25">
      <c r="O1010"/>
      <c r="P1010"/>
      <c r="Q1010"/>
    </row>
    <row r="1011" spans="15:17" x14ac:dyDescent="0.25">
      <c r="O1011"/>
      <c r="P1011"/>
      <c r="Q1011"/>
    </row>
    <row r="1012" spans="15:17" x14ac:dyDescent="0.25">
      <c r="O1012"/>
      <c r="P1012"/>
      <c r="Q1012"/>
    </row>
    <row r="1013" spans="15:17" x14ac:dyDescent="0.25">
      <c r="O1013"/>
      <c r="P1013"/>
      <c r="Q1013"/>
    </row>
    <row r="1014" spans="15:17" x14ac:dyDescent="0.25">
      <c r="O1014"/>
      <c r="P1014"/>
      <c r="Q1014"/>
    </row>
    <row r="1015" spans="15:17" x14ac:dyDescent="0.25">
      <c r="O1015"/>
      <c r="P1015"/>
      <c r="Q1015"/>
    </row>
    <row r="1016" spans="15:17" x14ac:dyDescent="0.25">
      <c r="O1016"/>
      <c r="P1016"/>
    </row>
    <row r="1017" spans="15:17" x14ac:dyDescent="0.25">
      <c r="O1017"/>
      <c r="P1017"/>
      <c r="Q1017"/>
    </row>
    <row r="1018" spans="15:17" x14ac:dyDescent="0.25">
      <c r="O1018"/>
      <c r="P1018"/>
      <c r="Q1018"/>
    </row>
    <row r="1019" spans="15:17" x14ac:dyDescent="0.25">
      <c r="O1019"/>
      <c r="P1019"/>
      <c r="Q1019"/>
    </row>
    <row r="1020" spans="15:17" x14ac:dyDescent="0.25">
      <c r="O1020"/>
      <c r="P1020"/>
      <c r="Q1020"/>
    </row>
    <row r="1021" spans="15:17" x14ac:dyDescent="0.25">
      <c r="O1021"/>
      <c r="P1021"/>
      <c r="Q1021"/>
    </row>
    <row r="1022" spans="15:17" x14ac:dyDescent="0.25">
      <c r="O1022"/>
      <c r="P1022"/>
      <c r="Q1022"/>
    </row>
    <row r="1023" spans="15:17" x14ac:dyDescent="0.25">
      <c r="O1023"/>
      <c r="P1023"/>
      <c r="Q1023"/>
    </row>
    <row r="1024" spans="15:17" x14ac:dyDescent="0.25">
      <c r="O1024"/>
      <c r="P1024"/>
      <c r="Q1024"/>
    </row>
    <row r="1025" spans="15:17" x14ac:dyDescent="0.25">
      <c r="O1025"/>
      <c r="P1025"/>
      <c r="Q1025"/>
    </row>
    <row r="1026" spans="15:17" x14ac:dyDescent="0.25">
      <c r="O1026"/>
      <c r="P1026"/>
    </row>
    <row r="1027" spans="15:17" x14ac:dyDescent="0.25">
      <c r="O1027"/>
      <c r="P1027"/>
      <c r="Q1027"/>
    </row>
    <row r="1028" spans="15:17" x14ac:dyDescent="0.25">
      <c r="O1028"/>
      <c r="P1028"/>
      <c r="Q1028"/>
    </row>
    <row r="1029" spans="15:17" x14ac:dyDescent="0.25">
      <c r="O1029"/>
      <c r="P1029"/>
      <c r="Q1029"/>
    </row>
    <row r="1030" spans="15:17" x14ac:dyDescent="0.25">
      <c r="O1030"/>
      <c r="P1030"/>
      <c r="Q1030"/>
    </row>
    <row r="1031" spans="15:17" x14ac:dyDescent="0.25">
      <c r="O1031"/>
      <c r="P1031"/>
      <c r="Q1031"/>
    </row>
    <row r="1032" spans="15:17" x14ac:dyDescent="0.25">
      <c r="O1032"/>
      <c r="P1032"/>
      <c r="Q1032"/>
    </row>
    <row r="1033" spans="15:17" x14ac:dyDescent="0.25">
      <c r="O1033"/>
      <c r="P1033"/>
      <c r="Q1033"/>
    </row>
    <row r="1034" spans="15:17" x14ac:dyDescent="0.25">
      <c r="O1034"/>
      <c r="P1034"/>
      <c r="Q1034"/>
    </row>
    <row r="1035" spans="15:17" x14ac:dyDescent="0.25">
      <c r="O1035"/>
      <c r="P1035"/>
      <c r="Q1035"/>
    </row>
    <row r="1036" spans="15:17" x14ac:dyDescent="0.25">
      <c r="O1036"/>
      <c r="P1036"/>
      <c r="Q1036"/>
    </row>
    <row r="1037" spans="15:17" x14ac:dyDescent="0.25">
      <c r="O1037"/>
      <c r="P1037"/>
    </row>
    <row r="1038" spans="15:17" x14ac:dyDescent="0.25">
      <c r="O1038"/>
      <c r="P1038"/>
      <c r="Q1038"/>
    </row>
    <row r="1039" spans="15:17" x14ac:dyDescent="0.25">
      <c r="O1039"/>
      <c r="P1039"/>
      <c r="Q1039"/>
    </row>
    <row r="1040" spans="15:17" x14ac:dyDescent="0.25">
      <c r="O1040"/>
      <c r="P1040"/>
      <c r="Q1040"/>
    </row>
    <row r="1041" spans="15:17" x14ac:dyDescent="0.25">
      <c r="O1041"/>
      <c r="P1041"/>
      <c r="Q1041"/>
    </row>
    <row r="1042" spans="15:17" x14ac:dyDescent="0.25">
      <c r="O1042"/>
      <c r="P1042"/>
      <c r="Q1042"/>
    </row>
    <row r="1043" spans="15:17" x14ac:dyDescent="0.25">
      <c r="O1043"/>
      <c r="P1043"/>
      <c r="Q1043"/>
    </row>
    <row r="1044" spans="15:17" x14ac:dyDescent="0.25">
      <c r="O1044"/>
      <c r="P1044"/>
      <c r="Q1044"/>
    </row>
    <row r="1045" spans="15:17" x14ac:dyDescent="0.25">
      <c r="O1045"/>
      <c r="P1045"/>
      <c r="Q1045"/>
    </row>
    <row r="1046" spans="15:17" x14ac:dyDescent="0.25">
      <c r="O1046"/>
      <c r="P1046"/>
      <c r="Q1046"/>
    </row>
    <row r="1047" spans="15:17" x14ac:dyDescent="0.25">
      <c r="O1047"/>
      <c r="P1047"/>
      <c r="Q1047"/>
    </row>
    <row r="1048" spans="15:17" x14ac:dyDescent="0.25">
      <c r="O1048"/>
      <c r="P1048"/>
      <c r="Q1048"/>
    </row>
    <row r="1049" spans="15:17" x14ac:dyDescent="0.25">
      <c r="O1049"/>
      <c r="P1049"/>
      <c r="Q1049"/>
    </row>
    <row r="1050" spans="15:17" x14ac:dyDescent="0.25">
      <c r="O1050"/>
      <c r="P1050"/>
      <c r="Q1050"/>
    </row>
    <row r="1051" spans="15:17" x14ac:dyDescent="0.25">
      <c r="O1051"/>
      <c r="P1051"/>
      <c r="Q1051"/>
    </row>
    <row r="1052" spans="15:17" x14ac:dyDescent="0.25">
      <c r="O1052"/>
      <c r="P1052"/>
      <c r="Q1052"/>
    </row>
    <row r="1053" spans="15:17" x14ac:dyDescent="0.25">
      <c r="O1053"/>
      <c r="P1053"/>
      <c r="Q1053"/>
    </row>
    <row r="1054" spans="15:17" x14ac:dyDescent="0.25">
      <c r="O1054"/>
      <c r="P1054"/>
      <c r="Q1054"/>
    </row>
    <row r="1055" spans="15:17" x14ac:dyDescent="0.25">
      <c r="O1055"/>
      <c r="P1055"/>
      <c r="Q1055"/>
    </row>
    <row r="1056" spans="15:17" x14ac:dyDescent="0.25">
      <c r="O1056"/>
      <c r="P1056"/>
      <c r="Q1056"/>
    </row>
    <row r="1057" spans="15:17" x14ac:dyDescent="0.25">
      <c r="O1057"/>
      <c r="P1057"/>
      <c r="Q1057"/>
    </row>
    <row r="1058" spans="15:17" x14ac:dyDescent="0.25">
      <c r="O1058"/>
      <c r="P1058"/>
      <c r="Q1058"/>
    </row>
    <row r="1059" spans="15:17" x14ac:dyDescent="0.25">
      <c r="O1059"/>
      <c r="P1059"/>
      <c r="Q1059"/>
    </row>
    <row r="1060" spans="15:17" x14ac:dyDescent="0.25">
      <c r="O1060"/>
      <c r="P1060"/>
      <c r="Q1060"/>
    </row>
    <row r="1061" spans="15:17" x14ac:dyDescent="0.25">
      <c r="O1061"/>
      <c r="P1061"/>
      <c r="Q1061"/>
    </row>
    <row r="1062" spans="15:17" x14ac:dyDescent="0.25">
      <c r="O1062"/>
      <c r="P1062"/>
    </row>
    <row r="1063" spans="15:17" x14ac:dyDescent="0.25">
      <c r="O1063"/>
      <c r="P1063"/>
      <c r="Q1063"/>
    </row>
    <row r="1064" spans="15:17" x14ac:dyDescent="0.25">
      <c r="O1064"/>
      <c r="P1064"/>
      <c r="Q1064"/>
    </row>
    <row r="1065" spans="15:17" x14ac:dyDescent="0.25">
      <c r="O1065"/>
      <c r="P1065"/>
      <c r="Q1065"/>
    </row>
    <row r="1066" spans="15:17" x14ac:dyDescent="0.25">
      <c r="O1066"/>
      <c r="P1066"/>
      <c r="Q1066"/>
    </row>
    <row r="1067" spans="15:17" x14ac:dyDescent="0.25">
      <c r="O1067"/>
      <c r="P1067"/>
      <c r="Q1067"/>
    </row>
    <row r="1068" spans="15:17" x14ac:dyDescent="0.25">
      <c r="O1068"/>
      <c r="P1068"/>
      <c r="Q1068"/>
    </row>
    <row r="1069" spans="15:17" x14ac:dyDescent="0.25">
      <c r="O1069"/>
      <c r="P1069"/>
      <c r="Q1069"/>
    </row>
    <row r="1070" spans="15:17" x14ac:dyDescent="0.25">
      <c r="O1070"/>
      <c r="P1070"/>
      <c r="Q1070"/>
    </row>
    <row r="1071" spans="15:17" x14ac:dyDescent="0.25">
      <c r="O1071"/>
      <c r="P1071"/>
      <c r="Q1071"/>
    </row>
    <row r="1072" spans="15:17" x14ac:dyDescent="0.25">
      <c r="O1072"/>
      <c r="P1072"/>
      <c r="Q1072"/>
    </row>
    <row r="1073" spans="15:17" x14ac:dyDescent="0.25">
      <c r="O1073"/>
      <c r="P1073"/>
      <c r="Q1073"/>
    </row>
    <row r="1074" spans="15:17" x14ac:dyDescent="0.25">
      <c r="O1074"/>
      <c r="P1074"/>
      <c r="Q1074"/>
    </row>
    <row r="1075" spans="15:17" x14ac:dyDescent="0.25">
      <c r="O1075"/>
      <c r="P1075"/>
      <c r="Q1075"/>
    </row>
    <row r="1076" spans="15:17" x14ac:dyDescent="0.25">
      <c r="O1076"/>
      <c r="P1076"/>
      <c r="Q1076"/>
    </row>
    <row r="1077" spans="15:17" x14ac:dyDescent="0.25">
      <c r="O1077"/>
      <c r="P1077"/>
      <c r="Q1077"/>
    </row>
    <row r="1078" spans="15:17" x14ac:dyDescent="0.25">
      <c r="O1078"/>
      <c r="P1078"/>
      <c r="Q1078"/>
    </row>
    <row r="1079" spans="15:17" x14ac:dyDescent="0.25">
      <c r="O1079"/>
      <c r="P1079"/>
      <c r="Q1079"/>
    </row>
    <row r="1080" spans="15:17" x14ac:dyDescent="0.25">
      <c r="O1080"/>
      <c r="P1080"/>
      <c r="Q1080"/>
    </row>
    <row r="1081" spans="15:17" x14ac:dyDescent="0.25">
      <c r="O1081"/>
      <c r="P1081"/>
      <c r="Q1081"/>
    </row>
    <row r="1082" spans="15:17" x14ac:dyDescent="0.25">
      <c r="O1082"/>
      <c r="P1082"/>
      <c r="Q1082"/>
    </row>
    <row r="1083" spans="15:17" x14ac:dyDescent="0.25">
      <c r="O1083"/>
      <c r="P1083"/>
      <c r="Q1083"/>
    </row>
    <row r="1084" spans="15:17" x14ac:dyDescent="0.25">
      <c r="O1084"/>
      <c r="P1084"/>
      <c r="Q1084"/>
    </row>
    <row r="1085" spans="15:17" x14ac:dyDescent="0.25">
      <c r="O1085"/>
      <c r="P1085"/>
      <c r="Q1085"/>
    </row>
    <row r="1086" spans="15:17" x14ac:dyDescent="0.25">
      <c r="O1086"/>
      <c r="P1086"/>
      <c r="Q1086"/>
    </row>
    <row r="1087" spans="15:17" x14ac:dyDescent="0.25">
      <c r="O1087"/>
      <c r="P1087"/>
      <c r="Q1087"/>
    </row>
    <row r="1088" spans="15:17" x14ac:dyDescent="0.25">
      <c r="O1088"/>
      <c r="P1088"/>
      <c r="Q1088"/>
    </row>
    <row r="1089" spans="15:17" x14ac:dyDescent="0.25">
      <c r="O1089"/>
      <c r="P1089"/>
      <c r="Q1089"/>
    </row>
    <row r="1090" spans="15:17" x14ac:dyDescent="0.25">
      <c r="O1090"/>
      <c r="P1090"/>
      <c r="Q1090"/>
    </row>
    <row r="1091" spans="15:17" x14ac:dyDescent="0.25">
      <c r="O1091"/>
      <c r="P1091"/>
      <c r="Q1091"/>
    </row>
    <row r="1092" spans="15:17" x14ac:dyDescent="0.25">
      <c r="O1092"/>
      <c r="P1092"/>
      <c r="Q1092"/>
    </row>
    <row r="1093" spans="15:17" x14ac:dyDescent="0.25">
      <c r="O1093"/>
      <c r="P1093"/>
      <c r="Q1093"/>
    </row>
    <row r="1094" spans="15:17" x14ac:dyDescent="0.25">
      <c r="O1094"/>
      <c r="P1094"/>
    </row>
    <row r="1095" spans="15:17" x14ac:dyDescent="0.25">
      <c r="O1095"/>
      <c r="P1095"/>
      <c r="Q1095"/>
    </row>
    <row r="1096" spans="15:17" x14ac:dyDescent="0.25">
      <c r="O1096"/>
      <c r="P1096"/>
      <c r="Q1096"/>
    </row>
    <row r="1097" spans="15:17" x14ac:dyDescent="0.25">
      <c r="O1097"/>
      <c r="P1097"/>
      <c r="Q1097"/>
    </row>
    <row r="1098" spans="15:17" x14ac:dyDescent="0.25">
      <c r="O1098"/>
      <c r="P1098"/>
      <c r="Q1098"/>
    </row>
    <row r="1099" spans="15:17" x14ac:dyDescent="0.25">
      <c r="O1099"/>
      <c r="P1099"/>
      <c r="Q1099"/>
    </row>
    <row r="1100" spans="15:17" x14ac:dyDescent="0.25">
      <c r="O1100"/>
      <c r="P1100"/>
      <c r="Q1100"/>
    </row>
    <row r="1101" spans="15:17" x14ac:dyDescent="0.25">
      <c r="O1101"/>
      <c r="P1101"/>
      <c r="Q1101"/>
    </row>
    <row r="1102" spans="15:17" x14ac:dyDescent="0.25">
      <c r="O1102"/>
      <c r="P1102"/>
      <c r="Q1102"/>
    </row>
    <row r="1103" spans="15:17" x14ac:dyDescent="0.25">
      <c r="O1103"/>
      <c r="P1103"/>
      <c r="Q1103"/>
    </row>
    <row r="1104" spans="15:17" x14ac:dyDescent="0.25">
      <c r="O1104"/>
      <c r="P1104"/>
      <c r="Q1104"/>
    </row>
    <row r="1105" spans="15:17" x14ac:dyDescent="0.25">
      <c r="O1105"/>
      <c r="P1105"/>
      <c r="Q1105"/>
    </row>
    <row r="1106" spans="15:17" x14ac:dyDescent="0.25">
      <c r="O1106"/>
      <c r="P1106"/>
      <c r="Q1106"/>
    </row>
    <row r="1107" spans="15:17" x14ac:dyDescent="0.25">
      <c r="O1107"/>
      <c r="P1107"/>
      <c r="Q1107"/>
    </row>
    <row r="1108" spans="15:17" x14ac:dyDescent="0.25">
      <c r="O1108"/>
      <c r="P1108"/>
      <c r="Q1108"/>
    </row>
    <row r="1109" spans="15:17" x14ac:dyDescent="0.25">
      <c r="O1109"/>
      <c r="P1109"/>
      <c r="Q1109"/>
    </row>
    <row r="1110" spans="15:17" x14ac:dyDescent="0.25">
      <c r="O1110"/>
      <c r="P1110"/>
      <c r="Q1110"/>
    </row>
    <row r="1111" spans="15:17" x14ac:dyDescent="0.25">
      <c r="O1111"/>
      <c r="P1111"/>
    </row>
    <row r="1112" spans="15:17" x14ac:dyDescent="0.25">
      <c r="O1112"/>
      <c r="P1112"/>
      <c r="Q1112"/>
    </row>
    <row r="1113" spans="15:17" x14ac:dyDescent="0.25">
      <c r="O1113"/>
      <c r="P1113"/>
      <c r="Q1113"/>
    </row>
    <row r="1114" spans="15:17" x14ac:dyDescent="0.25">
      <c r="O1114"/>
      <c r="P1114"/>
      <c r="Q1114"/>
    </row>
    <row r="1115" spans="15:17" x14ac:dyDescent="0.25">
      <c r="O1115"/>
      <c r="P1115"/>
      <c r="Q1115"/>
    </row>
    <row r="1116" spans="15:17" x14ac:dyDescent="0.25">
      <c r="O1116"/>
      <c r="P1116"/>
      <c r="Q1116"/>
    </row>
    <row r="1117" spans="15:17" x14ac:dyDescent="0.25">
      <c r="O1117"/>
      <c r="P1117"/>
      <c r="Q1117"/>
    </row>
    <row r="1118" spans="15:17" x14ac:dyDescent="0.25">
      <c r="O1118"/>
      <c r="P1118"/>
    </row>
    <row r="1119" spans="15:17" x14ac:dyDescent="0.25">
      <c r="O1119"/>
      <c r="P1119"/>
    </row>
    <row r="1120" spans="15:17" x14ac:dyDescent="0.25">
      <c r="O1120"/>
      <c r="P1120"/>
      <c r="Q1120"/>
    </row>
    <row r="1121" spans="15:17" x14ac:dyDescent="0.25">
      <c r="O1121"/>
      <c r="P1121"/>
      <c r="Q1121"/>
    </row>
    <row r="1122" spans="15:17" x14ac:dyDescent="0.25">
      <c r="O1122"/>
      <c r="P1122"/>
      <c r="Q1122"/>
    </row>
    <row r="1123" spans="15:17" x14ac:dyDescent="0.25">
      <c r="O1123"/>
      <c r="P1123"/>
      <c r="Q1123"/>
    </row>
    <row r="1124" spans="15:17" x14ac:dyDescent="0.25">
      <c r="O1124"/>
      <c r="P1124"/>
      <c r="Q1124"/>
    </row>
    <row r="1125" spans="15:17" x14ac:dyDescent="0.25">
      <c r="O1125"/>
      <c r="P1125"/>
      <c r="Q1125"/>
    </row>
    <row r="1126" spans="15:17" x14ac:dyDescent="0.25">
      <c r="O1126"/>
      <c r="P1126"/>
    </row>
    <row r="1127" spans="15:17" x14ac:dyDescent="0.25">
      <c r="O1127"/>
      <c r="P1127"/>
      <c r="Q1127"/>
    </row>
    <row r="1128" spans="15:17" x14ac:dyDescent="0.25">
      <c r="O1128"/>
      <c r="P1128"/>
      <c r="Q1128"/>
    </row>
    <row r="1129" spans="15:17" x14ac:dyDescent="0.25">
      <c r="O1129"/>
      <c r="P1129"/>
      <c r="Q1129"/>
    </row>
    <row r="1130" spans="15:17" x14ac:dyDescent="0.25">
      <c r="O1130"/>
      <c r="P1130"/>
      <c r="Q1130"/>
    </row>
    <row r="1131" spans="15:17" x14ac:dyDescent="0.25">
      <c r="O1131"/>
      <c r="P1131"/>
      <c r="Q1131"/>
    </row>
    <row r="1132" spans="15:17" x14ac:dyDescent="0.25">
      <c r="O1132"/>
      <c r="P1132"/>
      <c r="Q1132"/>
    </row>
    <row r="1133" spans="15:17" x14ac:dyDescent="0.25">
      <c r="O1133"/>
      <c r="P1133"/>
      <c r="Q1133"/>
    </row>
    <row r="1134" spans="15:17" x14ac:dyDescent="0.25">
      <c r="O1134"/>
      <c r="P1134"/>
      <c r="Q1134"/>
    </row>
    <row r="1135" spans="15:17" x14ac:dyDescent="0.25">
      <c r="O1135"/>
      <c r="P1135"/>
    </row>
    <row r="1136" spans="15:17" x14ac:dyDescent="0.25">
      <c r="O1136"/>
      <c r="P1136"/>
      <c r="Q1136"/>
    </row>
    <row r="1137" spans="15:17" x14ac:dyDescent="0.25">
      <c r="O1137"/>
      <c r="P1137"/>
      <c r="Q1137"/>
    </row>
    <row r="1138" spans="15:17" x14ac:dyDescent="0.25">
      <c r="O1138"/>
      <c r="P1138"/>
      <c r="Q1138"/>
    </row>
    <row r="1139" spans="15:17" x14ac:dyDescent="0.25">
      <c r="O1139"/>
      <c r="P1139"/>
      <c r="Q1139"/>
    </row>
    <row r="1140" spans="15:17" x14ac:dyDescent="0.25">
      <c r="O1140"/>
      <c r="P1140"/>
      <c r="Q1140"/>
    </row>
    <row r="1141" spans="15:17" x14ac:dyDescent="0.25">
      <c r="O1141"/>
      <c r="P1141"/>
      <c r="Q1141"/>
    </row>
    <row r="1142" spans="15:17" x14ac:dyDescent="0.25">
      <c r="O1142"/>
      <c r="P1142"/>
    </row>
    <row r="1143" spans="15:17" x14ac:dyDescent="0.25">
      <c r="O1143"/>
      <c r="P1143"/>
      <c r="Q1143"/>
    </row>
    <row r="1144" spans="15:17" x14ac:dyDescent="0.25">
      <c r="O1144"/>
      <c r="P1144"/>
      <c r="Q1144"/>
    </row>
    <row r="1145" spans="15:17" x14ac:dyDescent="0.25">
      <c r="O1145"/>
      <c r="P1145"/>
      <c r="Q1145"/>
    </row>
    <row r="1146" spans="15:17" x14ac:dyDescent="0.25">
      <c r="O1146"/>
      <c r="P1146"/>
      <c r="Q1146"/>
    </row>
    <row r="1147" spans="15:17" x14ac:dyDescent="0.25">
      <c r="O1147"/>
      <c r="P1147"/>
      <c r="Q1147"/>
    </row>
    <row r="1148" spans="15:17" x14ac:dyDescent="0.25">
      <c r="O1148"/>
      <c r="P1148"/>
      <c r="Q1148"/>
    </row>
    <row r="1149" spans="15:17" x14ac:dyDescent="0.25">
      <c r="O1149"/>
      <c r="P1149"/>
      <c r="Q1149"/>
    </row>
    <row r="1150" spans="15:17" x14ac:dyDescent="0.25">
      <c r="O1150"/>
      <c r="P1150"/>
      <c r="Q1150"/>
    </row>
    <row r="1151" spans="15:17" x14ac:dyDescent="0.25">
      <c r="O1151"/>
      <c r="P1151"/>
      <c r="Q1151"/>
    </row>
    <row r="1152" spans="15:17" x14ac:dyDescent="0.25">
      <c r="O1152"/>
      <c r="P1152"/>
      <c r="Q1152"/>
    </row>
    <row r="1153" spans="15:17" x14ac:dyDescent="0.25">
      <c r="O1153"/>
      <c r="P1153"/>
      <c r="Q1153"/>
    </row>
    <row r="1154" spans="15:17" x14ac:dyDescent="0.25">
      <c r="O1154"/>
      <c r="P1154"/>
      <c r="Q1154"/>
    </row>
    <row r="1155" spans="15:17" x14ac:dyDescent="0.25">
      <c r="O1155"/>
      <c r="P1155"/>
      <c r="Q1155"/>
    </row>
    <row r="1156" spans="15:17" x14ac:dyDescent="0.25">
      <c r="O1156"/>
      <c r="P1156"/>
      <c r="Q1156"/>
    </row>
    <row r="1157" spans="15:17" x14ac:dyDescent="0.25">
      <c r="O1157"/>
      <c r="P1157"/>
      <c r="Q1157"/>
    </row>
    <row r="1158" spans="15:17" x14ac:dyDescent="0.25">
      <c r="O1158"/>
      <c r="P1158"/>
      <c r="Q1158"/>
    </row>
    <row r="1159" spans="15:17" x14ac:dyDescent="0.25">
      <c r="O1159"/>
      <c r="P1159"/>
      <c r="Q1159"/>
    </row>
    <row r="1160" spans="15:17" x14ac:dyDescent="0.25">
      <c r="O1160"/>
      <c r="P1160"/>
      <c r="Q1160"/>
    </row>
    <row r="1161" spans="15:17" x14ac:dyDescent="0.25">
      <c r="O1161"/>
      <c r="P1161"/>
      <c r="Q1161"/>
    </row>
    <row r="1162" spans="15:17" x14ac:dyDescent="0.25">
      <c r="O1162"/>
      <c r="P1162"/>
    </row>
    <row r="1163" spans="15:17" x14ac:dyDescent="0.25">
      <c r="O1163"/>
      <c r="P1163"/>
      <c r="Q1163"/>
    </row>
    <row r="1164" spans="15:17" x14ac:dyDescent="0.25">
      <c r="O1164"/>
      <c r="P1164"/>
      <c r="Q1164"/>
    </row>
    <row r="1165" spans="15:17" x14ac:dyDescent="0.25">
      <c r="O1165"/>
      <c r="P1165"/>
      <c r="Q1165"/>
    </row>
    <row r="1166" spans="15:17" x14ac:dyDescent="0.25">
      <c r="O1166"/>
      <c r="P1166"/>
      <c r="Q1166"/>
    </row>
    <row r="1167" spans="15:17" x14ac:dyDescent="0.25">
      <c r="O1167"/>
      <c r="P1167"/>
      <c r="Q1167"/>
    </row>
    <row r="1168" spans="15:17" x14ac:dyDescent="0.25">
      <c r="O1168"/>
      <c r="P1168"/>
      <c r="Q1168"/>
    </row>
    <row r="1169" spans="15:17" x14ac:dyDescent="0.25">
      <c r="O1169"/>
      <c r="P1169"/>
      <c r="Q1169"/>
    </row>
    <row r="1170" spans="15:17" x14ac:dyDescent="0.25">
      <c r="O1170"/>
      <c r="P1170"/>
      <c r="Q1170"/>
    </row>
    <row r="1171" spans="15:17" x14ac:dyDescent="0.25">
      <c r="O1171"/>
      <c r="P1171"/>
      <c r="Q1171"/>
    </row>
    <row r="1172" spans="15:17" x14ac:dyDescent="0.25">
      <c r="O1172"/>
      <c r="P1172"/>
      <c r="Q1172"/>
    </row>
    <row r="1173" spans="15:17" x14ac:dyDescent="0.25">
      <c r="O1173"/>
      <c r="P1173"/>
      <c r="Q1173"/>
    </row>
    <row r="1174" spans="15:17" x14ac:dyDescent="0.25">
      <c r="O1174"/>
      <c r="P1174"/>
      <c r="Q1174"/>
    </row>
    <row r="1175" spans="15:17" x14ac:dyDescent="0.25">
      <c r="O1175"/>
      <c r="P1175"/>
      <c r="Q1175"/>
    </row>
    <row r="1176" spans="15:17" x14ac:dyDescent="0.25">
      <c r="O1176"/>
      <c r="P1176"/>
    </row>
    <row r="1177" spans="15:17" x14ac:dyDescent="0.25">
      <c r="O1177"/>
      <c r="P1177"/>
      <c r="Q1177"/>
    </row>
    <row r="1178" spans="15:17" x14ac:dyDescent="0.25">
      <c r="O1178"/>
      <c r="P1178"/>
      <c r="Q1178"/>
    </row>
    <row r="1179" spans="15:17" x14ac:dyDescent="0.25">
      <c r="O1179"/>
      <c r="P1179"/>
      <c r="Q1179"/>
    </row>
    <row r="1180" spans="15:17" x14ac:dyDescent="0.25">
      <c r="O1180"/>
      <c r="P1180"/>
      <c r="Q1180"/>
    </row>
    <row r="1181" spans="15:17" x14ac:dyDescent="0.25">
      <c r="O1181"/>
      <c r="P1181"/>
      <c r="Q1181"/>
    </row>
    <row r="1182" spans="15:17" x14ac:dyDescent="0.25">
      <c r="O1182"/>
      <c r="P1182"/>
      <c r="Q1182"/>
    </row>
    <row r="1183" spans="15:17" x14ac:dyDescent="0.25">
      <c r="O1183"/>
      <c r="P1183"/>
      <c r="Q1183"/>
    </row>
    <row r="1184" spans="15:17" x14ac:dyDescent="0.25">
      <c r="O1184"/>
      <c r="P1184"/>
      <c r="Q1184"/>
    </row>
    <row r="1185" spans="15:17" x14ac:dyDescent="0.25">
      <c r="O1185"/>
      <c r="P1185"/>
      <c r="Q1185"/>
    </row>
    <row r="1186" spans="15:17" x14ac:dyDescent="0.25">
      <c r="O1186"/>
      <c r="P1186"/>
      <c r="Q1186"/>
    </row>
    <row r="1187" spans="15:17" x14ac:dyDescent="0.25">
      <c r="O1187"/>
      <c r="P1187"/>
      <c r="Q1187"/>
    </row>
    <row r="1188" spans="15:17" x14ac:dyDescent="0.25">
      <c r="O1188"/>
      <c r="P1188"/>
      <c r="Q1188"/>
    </row>
    <row r="1189" spans="15:17" x14ac:dyDescent="0.25">
      <c r="O1189"/>
      <c r="P1189"/>
      <c r="Q1189"/>
    </row>
    <row r="1190" spans="15:17" x14ac:dyDescent="0.25">
      <c r="O1190"/>
      <c r="P1190"/>
      <c r="Q1190"/>
    </row>
    <row r="1191" spans="15:17" x14ac:dyDescent="0.25">
      <c r="O1191"/>
      <c r="P1191"/>
      <c r="Q1191"/>
    </row>
    <row r="1192" spans="15:17" x14ac:dyDescent="0.25">
      <c r="O1192"/>
      <c r="P1192"/>
      <c r="Q1192"/>
    </row>
    <row r="1193" spans="15:17" x14ac:dyDescent="0.25">
      <c r="O1193"/>
      <c r="P1193"/>
      <c r="Q1193"/>
    </row>
    <row r="1194" spans="15:17" x14ac:dyDescent="0.25">
      <c r="O1194"/>
      <c r="P1194"/>
      <c r="Q1194"/>
    </row>
    <row r="1195" spans="15:17" x14ac:dyDescent="0.25">
      <c r="O1195"/>
      <c r="P1195"/>
      <c r="Q1195"/>
    </row>
    <row r="1196" spans="15:17" x14ac:dyDescent="0.25">
      <c r="O1196"/>
      <c r="P1196"/>
      <c r="Q1196"/>
    </row>
    <row r="1197" spans="15:17" x14ac:dyDescent="0.25">
      <c r="O1197"/>
      <c r="P1197"/>
      <c r="Q1197"/>
    </row>
    <row r="1198" spans="15:17" x14ac:dyDescent="0.25">
      <c r="O1198"/>
      <c r="P1198"/>
      <c r="Q1198"/>
    </row>
    <row r="1199" spans="15:17" x14ac:dyDescent="0.25">
      <c r="O1199"/>
      <c r="P1199"/>
      <c r="Q1199"/>
    </row>
    <row r="1200" spans="15:17" x14ac:dyDescent="0.25">
      <c r="O1200"/>
      <c r="P1200"/>
      <c r="Q1200"/>
    </row>
    <row r="1201" spans="15:17" x14ac:dyDescent="0.25">
      <c r="O1201"/>
      <c r="P1201"/>
    </row>
    <row r="1202" spans="15:17" x14ac:dyDescent="0.25">
      <c r="O1202"/>
      <c r="P1202"/>
      <c r="Q1202"/>
    </row>
    <row r="1203" spans="15:17" x14ac:dyDescent="0.25">
      <c r="O1203"/>
      <c r="P1203"/>
      <c r="Q1203"/>
    </row>
    <row r="1204" spans="15:17" x14ac:dyDescent="0.25">
      <c r="O1204"/>
      <c r="P1204"/>
      <c r="Q1204"/>
    </row>
    <row r="1205" spans="15:17" x14ac:dyDescent="0.25">
      <c r="O1205"/>
      <c r="P1205"/>
      <c r="Q1205"/>
    </row>
    <row r="1206" spans="15:17" x14ac:dyDescent="0.25">
      <c r="O1206"/>
      <c r="P1206"/>
      <c r="Q1206"/>
    </row>
    <row r="1207" spans="15:17" x14ac:dyDescent="0.25">
      <c r="O1207"/>
      <c r="P1207"/>
      <c r="Q1207"/>
    </row>
    <row r="1208" spans="15:17" x14ac:dyDescent="0.25">
      <c r="O1208"/>
      <c r="P1208"/>
      <c r="Q1208"/>
    </row>
    <row r="1209" spans="15:17" x14ac:dyDescent="0.25">
      <c r="O1209"/>
      <c r="P1209"/>
      <c r="Q1209"/>
    </row>
    <row r="1210" spans="15:17" x14ac:dyDescent="0.25">
      <c r="O1210"/>
      <c r="P1210"/>
      <c r="Q1210"/>
    </row>
    <row r="1211" spans="15:17" x14ac:dyDescent="0.25">
      <c r="O1211"/>
      <c r="P1211"/>
      <c r="Q1211"/>
    </row>
    <row r="1212" spans="15:17" x14ac:dyDescent="0.25">
      <c r="O1212"/>
      <c r="P1212"/>
      <c r="Q1212"/>
    </row>
    <row r="1213" spans="15:17" x14ac:dyDescent="0.25">
      <c r="O1213"/>
      <c r="P1213"/>
      <c r="Q1213"/>
    </row>
    <row r="1214" spans="15:17" x14ac:dyDescent="0.25">
      <c r="O1214"/>
      <c r="P1214"/>
      <c r="Q1214"/>
    </row>
    <row r="1215" spans="15:17" x14ac:dyDescent="0.25">
      <c r="O1215"/>
      <c r="P1215"/>
      <c r="Q1215"/>
    </row>
    <row r="1216" spans="15:17" x14ac:dyDescent="0.25">
      <c r="O1216"/>
      <c r="P1216"/>
      <c r="Q1216"/>
    </row>
    <row r="1217" spans="15:17" x14ac:dyDescent="0.25">
      <c r="O1217"/>
      <c r="P1217"/>
      <c r="Q1217"/>
    </row>
    <row r="1218" spans="15:17" x14ac:dyDescent="0.25">
      <c r="O1218"/>
      <c r="P1218"/>
      <c r="Q1218"/>
    </row>
    <row r="1219" spans="15:17" x14ac:dyDescent="0.25">
      <c r="O1219"/>
      <c r="P1219"/>
      <c r="Q1219"/>
    </row>
    <row r="1220" spans="15:17" x14ac:dyDescent="0.25">
      <c r="O1220"/>
      <c r="P1220"/>
      <c r="Q1220"/>
    </row>
    <row r="1221" spans="15:17" x14ac:dyDescent="0.25">
      <c r="O1221"/>
      <c r="P1221"/>
      <c r="Q1221"/>
    </row>
    <row r="1222" spans="15:17" x14ac:dyDescent="0.25">
      <c r="O1222"/>
      <c r="P1222"/>
      <c r="Q1222"/>
    </row>
    <row r="1223" spans="15:17" x14ac:dyDescent="0.25">
      <c r="O1223"/>
      <c r="P1223"/>
      <c r="Q1223"/>
    </row>
    <row r="1224" spans="15:17" x14ac:dyDescent="0.25">
      <c r="O1224"/>
      <c r="P1224"/>
      <c r="Q1224"/>
    </row>
    <row r="1225" spans="15:17" x14ac:dyDescent="0.25">
      <c r="O1225"/>
      <c r="P1225"/>
      <c r="Q1225"/>
    </row>
    <row r="1226" spans="15:17" x14ac:dyDescent="0.25">
      <c r="O1226"/>
      <c r="P1226"/>
      <c r="Q1226"/>
    </row>
    <row r="1227" spans="15:17" x14ac:dyDescent="0.25">
      <c r="O1227"/>
      <c r="P1227"/>
      <c r="Q1227"/>
    </row>
    <row r="1228" spans="15:17" x14ac:dyDescent="0.25">
      <c r="O1228"/>
      <c r="P1228"/>
      <c r="Q1228"/>
    </row>
    <row r="1229" spans="15:17" x14ac:dyDescent="0.25">
      <c r="O1229"/>
      <c r="P1229"/>
      <c r="Q1229"/>
    </row>
    <row r="1230" spans="15:17" x14ac:dyDescent="0.25">
      <c r="O1230"/>
      <c r="P1230"/>
      <c r="Q1230"/>
    </row>
    <row r="1231" spans="15:17" x14ac:dyDescent="0.25">
      <c r="O1231"/>
      <c r="P1231"/>
      <c r="Q1231"/>
    </row>
    <row r="1232" spans="15:17" x14ac:dyDescent="0.25">
      <c r="O1232"/>
      <c r="P1232"/>
      <c r="Q1232"/>
    </row>
    <row r="1233" spans="15:17" x14ac:dyDescent="0.25">
      <c r="O1233"/>
      <c r="P1233"/>
      <c r="Q1233"/>
    </row>
    <row r="1234" spans="15:17" x14ac:dyDescent="0.25">
      <c r="O1234"/>
      <c r="P1234"/>
      <c r="Q1234"/>
    </row>
    <row r="1235" spans="15:17" x14ac:dyDescent="0.25">
      <c r="O1235"/>
      <c r="P1235"/>
      <c r="Q1235"/>
    </row>
    <row r="1236" spans="15:17" x14ac:dyDescent="0.25">
      <c r="O1236"/>
      <c r="P1236"/>
      <c r="Q1236"/>
    </row>
    <row r="1237" spans="15:17" x14ac:dyDescent="0.25">
      <c r="O1237"/>
      <c r="P1237"/>
      <c r="Q1237"/>
    </row>
    <row r="1238" spans="15:17" x14ac:dyDescent="0.25">
      <c r="O1238"/>
      <c r="P1238"/>
      <c r="Q1238"/>
    </row>
    <row r="1239" spans="15:17" x14ac:dyDescent="0.25">
      <c r="O1239"/>
      <c r="P1239"/>
      <c r="Q1239"/>
    </row>
    <row r="1240" spans="15:17" x14ac:dyDescent="0.25">
      <c r="O1240"/>
      <c r="P1240"/>
      <c r="Q1240"/>
    </row>
    <row r="1241" spans="15:17" x14ac:dyDescent="0.25">
      <c r="O1241"/>
      <c r="P1241"/>
      <c r="Q1241"/>
    </row>
    <row r="1242" spans="15:17" x14ac:dyDescent="0.25">
      <c r="O1242"/>
      <c r="P1242"/>
      <c r="Q1242"/>
    </row>
    <row r="1243" spans="15:17" x14ac:dyDescent="0.25">
      <c r="O1243"/>
      <c r="P1243"/>
      <c r="Q1243"/>
    </row>
    <row r="1244" spans="15:17" x14ac:dyDescent="0.25">
      <c r="O1244"/>
      <c r="P1244"/>
      <c r="Q1244"/>
    </row>
    <row r="1245" spans="15:17" x14ac:dyDescent="0.25">
      <c r="O1245"/>
      <c r="P1245"/>
      <c r="Q1245"/>
    </row>
    <row r="1246" spans="15:17" x14ac:dyDescent="0.25">
      <c r="O1246"/>
      <c r="P1246"/>
      <c r="Q1246"/>
    </row>
    <row r="1247" spans="15:17" x14ac:dyDescent="0.25">
      <c r="O1247"/>
      <c r="P1247"/>
      <c r="Q1247"/>
    </row>
    <row r="1248" spans="15:17" x14ac:dyDescent="0.25">
      <c r="O1248"/>
      <c r="P1248"/>
      <c r="Q1248"/>
    </row>
    <row r="1249" spans="15:17" x14ac:dyDescent="0.25">
      <c r="O1249"/>
      <c r="P1249"/>
      <c r="Q1249"/>
    </row>
    <row r="1250" spans="15:17" x14ac:dyDescent="0.25">
      <c r="O1250"/>
      <c r="P1250"/>
      <c r="Q1250"/>
    </row>
    <row r="1251" spans="15:17" x14ac:dyDescent="0.25">
      <c r="O1251"/>
      <c r="P1251"/>
      <c r="Q1251"/>
    </row>
    <row r="1252" spans="15:17" x14ac:dyDescent="0.25">
      <c r="O1252"/>
      <c r="P1252"/>
      <c r="Q1252"/>
    </row>
    <row r="1253" spans="15:17" x14ac:dyDescent="0.25">
      <c r="O1253"/>
      <c r="P1253"/>
      <c r="Q1253"/>
    </row>
    <row r="1254" spans="15:17" x14ac:dyDescent="0.25">
      <c r="O1254"/>
      <c r="P1254"/>
      <c r="Q1254"/>
    </row>
    <row r="1255" spans="15:17" x14ac:dyDescent="0.25">
      <c r="O1255"/>
      <c r="P1255"/>
      <c r="Q1255"/>
    </row>
    <row r="1256" spans="15:17" x14ac:dyDescent="0.25">
      <c r="O1256"/>
      <c r="P1256"/>
      <c r="Q1256"/>
    </row>
    <row r="1257" spans="15:17" x14ac:dyDescent="0.25">
      <c r="O1257"/>
      <c r="P1257"/>
      <c r="Q1257"/>
    </row>
    <row r="1258" spans="15:17" x14ac:dyDescent="0.25">
      <c r="O1258"/>
      <c r="P1258"/>
      <c r="Q1258"/>
    </row>
    <row r="1259" spans="15:17" x14ac:dyDescent="0.25">
      <c r="O1259"/>
      <c r="P1259"/>
      <c r="Q1259"/>
    </row>
    <row r="1260" spans="15:17" x14ac:dyDescent="0.25">
      <c r="O1260"/>
      <c r="P1260"/>
      <c r="Q1260"/>
    </row>
    <row r="1261" spans="15:17" x14ac:dyDescent="0.25">
      <c r="O1261"/>
      <c r="P1261"/>
      <c r="Q1261"/>
    </row>
    <row r="1262" spans="15:17" x14ac:dyDescent="0.25">
      <c r="O1262"/>
      <c r="P1262"/>
      <c r="Q1262"/>
    </row>
    <row r="1263" spans="15:17" x14ac:dyDescent="0.25">
      <c r="O1263"/>
      <c r="P1263"/>
      <c r="Q1263"/>
    </row>
    <row r="1264" spans="15:17" x14ac:dyDescent="0.25">
      <c r="O1264"/>
      <c r="P1264"/>
      <c r="Q1264"/>
    </row>
    <row r="1265" spans="15:17" x14ac:dyDescent="0.25">
      <c r="O1265"/>
      <c r="P1265"/>
      <c r="Q1265"/>
    </row>
    <row r="1266" spans="15:17" x14ac:dyDescent="0.25">
      <c r="O1266"/>
      <c r="P1266"/>
      <c r="Q1266"/>
    </row>
    <row r="1267" spans="15:17" x14ac:dyDescent="0.25">
      <c r="O1267"/>
      <c r="P1267"/>
      <c r="Q1267"/>
    </row>
    <row r="1268" spans="15:17" x14ac:dyDescent="0.25">
      <c r="O1268"/>
      <c r="P1268"/>
      <c r="Q1268"/>
    </row>
    <row r="1269" spans="15:17" x14ac:dyDescent="0.25">
      <c r="O1269"/>
      <c r="P1269"/>
      <c r="Q1269"/>
    </row>
    <row r="1270" spans="15:17" x14ac:dyDescent="0.25">
      <c r="O1270"/>
      <c r="P1270"/>
      <c r="Q1270"/>
    </row>
    <row r="1271" spans="15:17" x14ac:dyDescent="0.25">
      <c r="O1271"/>
      <c r="P1271"/>
      <c r="Q1271"/>
    </row>
    <row r="1272" spans="15:17" x14ac:dyDescent="0.25">
      <c r="O1272"/>
      <c r="P1272"/>
      <c r="Q1272"/>
    </row>
    <row r="1273" spans="15:17" x14ac:dyDescent="0.25">
      <c r="O1273"/>
      <c r="P1273"/>
      <c r="Q1273"/>
    </row>
    <row r="1274" spans="15:17" x14ac:dyDescent="0.25">
      <c r="O1274"/>
      <c r="P1274"/>
      <c r="Q1274"/>
    </row>
    <row r="1275" spans="15:17" x14ac:dyDescent="0.25">
      <c r="O1275"/>
      <c r="P1275"/>
      <c r="Q1275"/>
    </row>
    <row r="1276" spans="15:17" x14ac:dyDescent="0.25">
      <c r="O1276"/>
      <c r="P1276"/>
      <c r="Q1276"/>
    </row>
    <row r="1277" spans="15:17" x14ac:dyDescent="0.25">
      <c r="O1277"/>
      <c r="P1277"/>
      <c r="Q1277"/>
    </row>
    <row r="1278" spans="15:17" x14ac:dyDescent="0.25">
      <c r="O1278"/>
      <c r="P1278"/>
      <c r="Q1278"/>
    </row>
    <row r="1279" spans="15:17" x14ac:dyDescent="0.25">
      <c r="O1279"/>
      <c r="P1279"/>
      <c r="Q1279"/>
    </row>
    <row r="1280" spans="15:17" x14ac:dyDescent="0.25">
      <c r="O1280"/>
      <c r="P1280"/>
      <c r="Q1280"/>
    </row>
    <row r="1281" spans="15:17" x14ac:dyDescent="0.25">
      <c r="O1281"/>
      <c r="P1281"/>
      <c r="Q1281"/>
    </row>
    <row r="1282" spans="15:17" x14ac:dyDescent="0.25">
      <c r="O1282"/>
      <c r="P1282"/>
      <c r="Q1282"/>
    </row>
    <row r="1283" spans="15:17" x14ac:dyDescent="0.25">
      <c r="O1283"/>
      <c r="P1283"/>
      <c r="Q1283"/>
    </row>
    <row r="1284" spans="15:17" x14ac:dyDescent="0.25">
      <c r="O1284"/>
      <c r="P1284"/>
      <c r="Q1284"/>
    </row>
    <row r="1285" spans="15:17" x14ac:dyDescent="0.25">
      <c r="O1285"/>
      <c r="P1285"/>
      <c r="Q1285"/>
    </row>
    <row r="1286" spans="15:17" x14ac:dyDescent="0.25">
      <c r="O1286"/>
      <c r="P1286"/>
      <c r="Q1286"/>
    </row>
    <row r="1287" spans="15:17" x14ac:dyDescent="0.25">
      <c r="O1287"/>
      <c r="P1287"/>
      <c r="Q1287"/>
    </row>
    <row r="1288" spans="15:17" x14ac:dyDescent="0.25">
      <c r="O1288"/>
      <c r="P1288"/>
      <c r="Q1288"/>
    </row>
    <row r="1289" spans="15:17" x14ac:dyDescent="0.25">
      <c r="O1289"/>
      <c r="P1289"/>
      <c r="Q1289"/>
    </row>
    <row r="1290" spans="15:17" x14ac:dyDescent="0.25">
      <c r="O1290"/>
      <c r="P1290"/>
      <c r="Q1290"/>
    </row>
    <row r="1291" spans="15:17" x14ac:dyDescent="0.25">
      <c r="O1291"/>
      <c r="P1291"/>
      <c r="Q1291"/>
    </row>
    <row r="1292" spans="15:17" x14ac:dyDescent="0.25">
      <c r="O1292"/>
      <c r="P1292"/>
      <c r="Q1292"/>
    </row>
    <row r="1293" spans="15:17" x14ac:dyDescent="0.25">
      <c r="O1293"/>
      <c r="P1293"/>
      <c r="Q1293"/>
    </row>
    <row r="1294" spans="15:17" x14ac:dyDescent="0.25">
      <c r="O1294"/>
      <c r="P1294"/>
      <c r="Q1294"/>
    </row>
    <row r="1295" spans="15:17" x14ac:dyDescent="0.25">
      <c r="O1295"/>
      <c r="P1295"/>
      <c r="Q1295"/>
    </row>
    <row r="1296" spans="15:17" x14ac:dyDescent="0.25">
      <c r="O1296"/>
      <c r="P1296"/>
      <c r="Q1296"/>
    </row>
    <row r="1297" spans="15:17" x14ac:dyDescent="0.25">
      <c r="O1297"/>
      <c r="P1297"/>
      <c r="Q1297"/>
    </row>
    <row r="1298" spans="15:17" x14ac:dyDescent="0.25">
      <c r="O1298"/>
      <c r="P1298"/>
      <c r="Q1298"/>
    </row>
    <row r="1299" spans="15:17" x14ac:dyDescent="0.25">
      <c r="O1299"/>
      <c r="P1299"/>
      <c r="Q1299"/>
    </row>
    <row r="1300" spans="15:17" x14ac:dyDescent="0.25">
      <c r="O1300"/>
      <c r="P1300"/>
      <c r="Q1300"/>
    </row>
    <row r="1301" spans="15:17" x14ac:dyDescent="0.25">
      <c r="O1301"/>
      <c r="P1301"/>
      <c r="Q1301"/>
    </row>
    <row r="1302" spans="15:17" x14ac:dyDescent="0.25">
      <c r="O1302"/>
      <c r="P1302"/>
      <c r="Q1302"/>
    </row>
    <row r="1303" spans="15:17" x14ac:dyDescent="0.25">
      <c r="O1303"/>
      <c r="P1303"/>
      <c r="Q1303"/>
    </row>
    <row r="1304" spans="15:17" x14ac:dyDescent="0.25">
      <c r="O1304"/>
      <c r="P1304"/>
      <c r="Q1304"/>
    </row>
    <row r="1305" spans="15:17" x14ac:dyDescent="0.25">
      <c r="O1305"/>
      <c r="P1305"/>
      <c r="Q1305"/>
    </row>
    <row r="1306" spans="15:17" x14ac:dyDescent="0.25">
      <c r="O1306"/>
      <c r="P1306"/>
    </row>
    <row r="1307" spans="15:17" x14ac:dyDescent="0.25">
      <c r="O1307"/>
      <c r="P1307"/>
    </row>
    <row r="1308" spans="15:17" x14ac:dyDescent="0.25">
      <c r="O1308"/>
      <c r="P1308"/>
      <c r="Q1308"/>
    </row>
    <row r="1309" spans="15:17" x14ac:dyDescent="0.25">
      <c r="O1309"/>
      <c r="P1309"/>
      <c r="Q1309"/>
    </row>
    <row r="1310" spans="15:17" x14ac:dyDescent="0.25">
      <c r="O1310"/>
      <c r="P1310"/>
    </row>
    <row r="1311" spans="15:17" x14ac:dyDescent="0.25">
      <c r="O1311"/>
      <c r="P1311"/>
      <c r="Q1311"/>
    </row>
    <row r="1312" spans="15:17" x14ac:dyDescent="0.25">
      <c r="O1312"/>
      <c r="P1312"/>
      <c r="Q1312"/>
    </row>
    <row r="1313" spans="15:17" x14ac:dyDescent="0.25">
      <c r="O1313"/>
      <c r="P1313"/>
      <c r="Q1313"/>
    </row>
    <row r="1314" spans="15:17" x14ac:dyDescent="0.25">
      <c r="O1314"/>
      <c r="P1314"/>
      <c r="Q1314"/>
    </row>
    <row r="1315" spans="15:17" x14ac:dyDescent="0.25">
      <c r="O1315"/>
      <c r="P1315"/>
      <c r="Q1315"/>
    </row>
    <row r="1316" spans="15:17" x14ac:dyDescent="0.25">
      <c r="O1316"/>
      <c r="P1316"/>
      <c r="Q1316"/>
    </row>
    <row r="1317" spans="15:17" x14ac:dyDescent="0.25">
      <c r="O1317"/>
      <c r="P1317"/>
      <c r="Q1317"/>
    </row>
    <row r="1318" spans="15:17" x14ac:dyDescent="0.25">
      <c r="O1318"/>
      <c r="P1318"/>
      <c r="Q1318"/>
    </row>
    <row r="1319" spans="15:17" x14ac:dyDescent="0.25">
      <c r="O1319"/>
      <c r="P1319"/>
      <c r="Q1319"/>
    </row>
    <row r="1320" spans="15:17" x14ac:dyDescent="0.25">
      <c r="O1320"/>
      <c r="P1320"/>
      <c r="Q1320"/>
    </row>
    <row r="1321" spans="15:17" x14ac:dyDescent="0.25">
      <c r="O1321"/>
      <c r="P1321"/>
      <c r="Q1321"/>
    </row>
    <row r="1322" spans="15:17" x14ac:dyDescent="0.25">
      <c r="O1322"/>
      <c r="P1322"/>
      <c r="Q1322"/>
    </row>
    <row r="1323" spans="15:17" x14ac:dyDescent="0.25">
      <c r="O1323"/>
      <c r="P1323"/>
      <c r="Q1323"/>
    </row>
    <row r="1324" spans="15:17" x14ac:dyDescent="0.25">
      <c r="O1324"/>
      <c r="P1324"/>
    </row>
    <row r="1325" spans="15:17" x14ac:dyDescent="0.25">
      <c r="O1325"/>
      <c r="P1325"/>
      <c r="Q1325"/>
    </row>
    <row r="1326" spans="15:17" x14ac:dyDescent="0.25">
      <c r="O1326"/>
      <c r="P1326"/>
      <c r="Q1326"/>
    </row>
    <row r="1327" spans="15:17" x14ac:dyDescent="0.25">
      <c r="O1327"/>
      <c r="P1327"/>
      <c r="Q1327"/>
    </row>
    <row r="1328" spans="15:17" x14ac:dyDescent="0.25">
      <c r="O1328"/>
      <c r="P1328"/>
      <c r="Q1328"/>
    </row>
    <row r="1329" spans="15:17" x14ac:dyDescent="0.25">
      <c r="O1329"/>
      <c r="P1329"/>
      <c r="Q1329"/>
    </row>
    <row r="1330" spans="15:17" x14ac:dyDescent="0.25">
      <c r="O1330"/>
      <c r="P1330"/>
      <c r="Q1330"/>
    </row>
    <row r="1331" spans="15:17" x14ac:dyDescent="0.25">
      <c r="O1331"/>
      <c r="P1331"/>
      <c r="Q1331"/>
    </row>
    <row r="1332" spans="15:17" x14ac:dyDescent="0.25">
      <c r="O1332"/>
      <c r="P1332"/>
      <c r="Q1332"/>
    </row>
    <row r="1333" spans="15:17" x14ac:dyDescent="0.25">
      <c r="O1333"/>
      <c r="P1333"/>
      <c r="Q1333"/>
    </row>
    <row r="1334" spans="15:17" x14ac:dyDescent="0.25">
      <c r="O1334"/>
      <c r="P1334"/>
      <c r="Q1334"/>
    </row>
    <row r="1335" spans="15:17" x14ac:dyDescent="0.25">
      <c r="O1335"/>
      <c r="P1335"/>
      <c r="Q1335"/>
    </row>
    <row r="1336" spans="15:17" x14ac:dyDescent="0.25">
      <c r="O1336"/>
      <c r="P1336"/>
      <c r="Q1336"/>
    </row>
    <row r="1337" spans="15:17" x14ac:dyDescent="0.25">
      <c r="O1337"/>
      <c r="P1337"/>
      <c r="Q1337"/>
    </row>
    <row r="1338" spans="15:17" x14ac:dyDescent="0.25">
      <c r="O1338"/>
      <c r="P1338"/>
      <c r="Q1338"/>
    </row>
    <row r="1339" spans="15:17" x14ac:dyDescent="0.25">
      <c r="O1339"/>
      <c r="P1339"/>
      <c r="Q1339"/>
    </row>
    <row r="1340" spans="15:17" x14ac:dyDescent="0.25">
      <c r="O1340"/>
      <c r="P1340"/>
      <c r="Q1340"/>
    </row>
    <row r="1341" spans="15:17" x14ac:dyDescent="0.25">
      <c r="O1341"/>
      <c r="P1341"/>
      <c r="Q1341"/>
    </row>
    <row r="1342" spans="15:17" x14ac:dyDescent="0.25">
      <c r="O1342"/>
      <c r="P1342"/>
      <c r="Q1342"/>
    </row>
    <row r="1343" spans="15:17" x14ac:dyDescent="0.25">
      <c r="O1343"/>
      <c r="P1343"/>
    </row>
    <row r="1344" spans="15:17" x14ac:dyDescent="0.25">
      <c r="O1344"/>
      <c r="P1344"/>
      <c r="Q1344"/>
    </row>
    <row r="1345" spans="15:17" x14ac:dyDescent="0.25">
      <c r="O1345"/>
      <c r="P1345"/>
      <c r="Q1345"/>
    </row>
    <row r="1346" spans="15:17" x14ac:dyDescent="0.25">
      <c r="O1346"/>
      <c r="P1346"/>
      <c r="Q1346"/>
    </row>
    <row r="1347" spans="15:17" x14ac:dyDescent="0.25">
      <c r="O1347"/>
      <c r="P1347"/>
      <c r="Q1347"/>
    </row>
    <row r="1348" spans="15:17" x14ac:dyDescent="0.25">
      <c r="O1348"/>
      <c r="P1348"/>
      <c r="Q1348"/>
    </row>
    <row r="1349" spans="15:17" x14ac:dyDescent="0.25">
      <c r="O1349"/>
      <c r="P1349"/>
      <c r="Q1349"/>
    </row>
    <row r="1350" spans="15:17" x14ac:dyDescent="0.25">
      <c r="O1350"/>
      <c r="P1350"/>
      <c r="Q1350"/>
    </row>
    <row r="1351" spans="15:17" x14ac:dyDescent="0.25">
      <c r="O1351"/>
      <c r="P1351"/>
      <c r="Q1351"/>
    </row>
    <row r="1352" spans="15:17" x14ac:dyDescent="0.25">
      <c r="O1352"/>
      <c r="P1352"/>
      <c r="Q1352"/>
    </row>
    <row r="1353" spans="15:17" x14ac:dyDescent="0.25">
      <c r="O1353"/>
      <c r="P1353"/>
      <c r="Q1353"/>
    </row>
    <row r="1354" spans="15:17" x14ac:dyDescent="0.25">
      <c r="O1354"/>
      <c r="P1354"/>
      <c r="Q1354"/>
    </row>
    <row r="1355" spans="15:17" x14ac:dyDescent="0.25">
      <c r="O1355"/>
      <c r="P1355"/>
      <c r="Q1355"/>
    </row>
    <row r="1356" spans="15:17" x14ac:dyDescent="0.25">
      <c r="O1356"/>
      <c r="P1356"/>
      <c r="Q1356"/>
    </row>
    <row r="1357" spans="15:17" x14ac:dyDescent="0.25">
      <c r="O1357"/>
      <c r="P1357"/>
      <c r="Q1357"/>
    </row>
    <row r="1358" spans="15:17" x14ac:dyDescent="0.25">
      <c r="O1358"/>
      <c r="P1358"/>
    </row>
    <row r="1359" spans="15:17" x14ac:dyDescent="0.25">
      <c r="O1359"/>
      <c r="P1359"/>
      <c r="Q1359"/>
    </row>
    <row r="1360" spans="15:17" x14ac:dyDescent="0.25">
      <c r="O1360"/>
      <c r="P1360"/>
    </row>
    <row r="1361" spans="15:17" x14ac:dyDescent="0.25">
      <c r="O1361"/>
      <c r="P1361"/>
      <c r="Q1361"/>
    </row>
    <row r="1362" spans="15:17" x14ac:dyDescent="0.25">
      <c r="O1362"/>
      <c r="P1362"/>
    </row>
    <row r="1363" spans="15:17" x14ac:dyDescent="0.25">
      <c r="O1363"/>
      <c r="P1363"/>
      <c r="Q1363"/>
    </row>
    <row r="1364" spans="15:17" x14ac:dyDescent="0.25">
      <c r="O1364"/>
      <c r="P1364"/>
    </row>
    <row r="1365" spans="15:17" x14ac:dyDescent="0.25">
      <c r="O1365"/>
      <c r="P1365"/>
      <c r="Q1365"/>
    </row>
    <row r="1366" spans="15:17" x14ac:dyDescent="0.25">
      <c r="O1366"/>
      <c r="P1366"/>
      <c r="Q1366"/>
    </row>
    <row r="1367" spans="15:17" x14ac:dyDescent="0.25">
      <c r="O1367"/>
      <c r="P1367"/>
      <c r="Q1367"/>
    </row>
    <row r="1368" spans="15:17" x14ac:dyDescent="0.25">
      <c r="O1368"/>
      <c r="P1368"/>
      <c r="Q1368"/>
    </row>
    <row r="1369" spans="15:17" x14ac:dyDescent="0.25">
      <c r="O1369"/>
      <c r="P1369"/>
      <c r="Q1369"/>
    </row>
    <row r="1370" spans="15:17" x14ac:dyDescent="0.25">
      <c r="O1370"/>
      <c r="P1370"/>
      <c r="Q1370"/>
    </row>
    <row r="1371" spans="15:17" x14ac:dyDescent="0.25">
      <c r="O1371"/>
      <c r="P1371"/>
      <c r="Q1371"/>
    </row>
    <row r="1372" spans="15:17" x14ac:dyDescent="0.25">
      <c r="O1372"/>
      <c r="P1372"/>
      <c r="Q1372"/>
    </row>
    <row r="1373" spans="15:17" x14ac:dyDescent="0.25">
      <c r="O1373"/>
      <c r="P1373"/>
      <c r="Q1373"/>
    </row>
    <row r="1374" spans="15:17" x14ac:dyDescent="0.25">
      <c r="O1374"/>
      <c r="P1374"/>
      <c r="Q1374"/>
    </row>
    <row r="1375" spans="15:17" x14ac:dyDescent="0.25">
      <c r="O1375"/>
      <c r="P1375"/>
      <c r="Q1375"/>
    </row>
    <row r="1376" spans="15:17" x14ac:dyDescent="0.25">
      <c r="O1376"/>
      <c r="P1376"/>
      <c r="Q1376"/>
    </row>
    <row r="1377" spans="15:17" x14ac:dyDescent="0.25">
      <c r="O1377"/>
      <c r="P1377"/>
      <c r="Q1377"/>
    </row>
    <row r="1378" spans="15:17" x14ac:dyDescent="0.25">
      <c r="O1378"/>
      <c r="P1378"/>
      <c r="Q1378"/>
    </row>
    <row r="1379" spans="15:17" x14ac:dyDescent="0.25">
      <c r="O1379"/>
      <c r="P1379"/>
      <c r="Q1379"/>
    </row>
    <row r="1380" spans="15:17" x14ac:dyDescent="0.25">
      <c r="O1380"/>
      <c r="P1380"/>
      <c r="Q1380"/>
    </row>
    <row r="1381" spans="15:17" x14ac:dyDescent="0.25">
      <c r="O1381"/>
      <c r="P1381"/>
      <c r="Q1381"/>
    </row>
    <row r="1382" spans="15:17" x14ac:dyDescent="0.25">
      <c r="O1382"/>
      <c r="P1382"/>
      <c r="Q1382"/>
    </row>
    <row r="1383" spans="15:17" x14ac:dyDescent="0.25">
      <c r="O1383"/>
      <c r="P1383"/>
      <c r="Q1383"/>
    </row>
    <row r="1384" spans="15:17" x14ac:dyDescent="0.25">
      <c r="O1384"/>
      <c r="P1384"/>
      <c r="Q1384"/>
    </row>
    <row r="1385" spans="15:17" x14ac:dyDescent="0.25">
      <c r="O1385"/>
      <c r="P1385"/>
      <c r="Q1385"/>
    </row>
    <row r="1386" spans="15:17" x14ac:dyDescent="0.25">
      <c r="O1386"/>
      <c r="P1386"/>
      <c r="Q1386"/>
    </row>
    <row r="1387" spans="15:17" x14ac:dyDescent="0.25">
      <c r="O1387"/>
      <c r="P1387"/>
      <c r="Q1387"/>
    </row>
    <row r="1388" spans="15:17" x14ac:dyDescent="0.25">
      <c r="O1388"/>
      <c r="P1388"/>
      <c r="Q1388"/>
    </row>
    <row r="1389" spans="15:17" x14ac:dyDescent="0.25">
      <c r="O1389"/>
      <c r="P1389"/>
      <c r="Q1389"/>
    </row>
    <row r="1390" spans="15:17" x14ac:dyDescent="0.25">
      <c r="O1390"/>
      <c r="P1390"/>
      <c r="Q1390"/>
    </row>
    <row r="1391" spans="15:17" x14ac:dyDescent="0.25">
      <c r="O1391"/>
      <c r="P1391"/>
      <c r="Q1391"/>
    </row>
    <row r="1392" spans="15:17" x14ac:dyDescent="0.25">
      <c r="O1392"/>
      <c r="P1392"/>
      <c r="Q1392"/>
    </row>
    <row r="1393" spans="15:17" x14ac:dyDescent="0.25">
      <c r="O1393"/>
      <c r="P1393"/>
      <c r="Q1393"/>
    </row>
    <row r="1394" spans="15:17" x14ac:dyDescent="0.25">
      <c r="O1394"/>
      <c r="P1394"/>
      <c r="Q1394"/>
    </row>
    <row r="1395" spans="15:17" x14ac:dyDescent="0.25">
      <c r="O1395"/>
      <c r="P1395"/>
      <c r="Q1395"/>
    </row>
    <row r="1396" spans="15:17" x14ac:dyDescent="0.25">
      <c r="O1396"/>
      <c r="P1396"/>
      <c r="Q1396"/>
    </row>
    <row r="1397" spans="15:17" x14ac:dyDescent="0.25">
      <c r="O1397"/>
      <c r="P1397"/>
      <c r="Q1397"/>
    </row>
    <row r="1398" spans="15:17" x14ac:dyDescent="0.25">
      <c r="O1398"/>
      <c r="P1398"/>
      <c r="Q1398"/>
    </row>
    <row r="1399" spans="15:17" x14ac:dyDescent="0.25">
      <c r="O1399"/>
      <c r="P1399"/>
      <c r="Q1399"/>
    </row>
    <row r="1400" spans="15:17" x14ac:dyDescent="0.25">
      <c r="O1400"/>
      <c r="P1400"/>
      <c r="Q1400"/>
    </row>
    <row r="1401" spans="15:17" x14ac:dyDescent="0.25">
      <c r="O1401"/>
      <c r="P1401"/>
      <c r="Q1401"/>
    </row>
    <row r="1402" spans="15:17" x14ac:dyDescent="0.25">
      <c r="O1402"/>
      <c r="P1402"/>
      <c r="Q1402"/>
    </row>
    <row r="1403" spans="15:17" x14ac:dyDescent="0.25">
      <c r="O1403"/>
      <c r="P1403"/>
      <c r="Q1403"/>
    </row>
    <row r="1404" spans="15:17" x14ac:dyDescent="0.25">
      <c r="O1404"/>
      <c r="P1404"/>
      <c r="Q1404"/>
    </row>
    <row r="1405" spans="15:17" x14ac:dyDescent="0.25">
      <c r="O1405"/>
      <c r="P1405"/>
      <c r="Q1405"/>
    </row>
    <row r="1406" spans="15:17" x14ac:dyDescent="0.25">
      <c r="O1406"/>
      <c r="P1406"/>
      <c r="Q1406"/>
    </row>
    <row r="1407" spans="15:17" x14ac:dyDescent="0.25">
      <c r="O1407"/>
      <c r="P1407"/>
      <c r="Q1407"/>
    </row>
    <row r="1408" spans="15:17" x14ac:dyDescent="0.25">
      <c r="O1408"/>
      <c r="P1408"/>
      <c r="Q1408"/>
    </row>
    <row r="1409" spans="15:17" x14ac:dyDescent="0.25">
      <c r="O1409"/>
      <c r="P1409"/>
      <c r="Q1409"/>
    </row>
    <row r="1410" spans="15:17" x14ac:dyDescent="0.25">
      <c r="O1410"/>
      <c r="P1410"/>
    </row>
    <row r="1411" spans="15:17" x14ac:dyDescent="0.25">
      <c r="O1411"/>
      <c r="P1411"/>
      <c r="Q1411"/>
    </row>
    <row r="1412" spans="15:17" x14ac:dyDescent="0.25">
      <c r="O1412"/>
      <c r="P1412"/>
      <c r="Q1412"/>
    </row>
    <row r="1413" spans="15:17" x14ac:dyDescent="0.25">
      <c r="O1413"/>
      <c r="P1413"/>
      <c r="Q1413"/>
    </row>
    <row r="1414" spans="15:17" x14ac:dyDescent="0.25">
      <c r="O1414"/>
      <c r="P1414"/>
      <c r="Q1414"/>
    </row>
    <row r="1415" spans="15:17" x14ac:dyDescent="0.25">
      <c r="O1415"/>
      <c r="P1415"/>
      <c r="Q1415"/>
    </row>
    <row r="1416" spans="15:17" x14ac:dyDescent="0.25">
      <c r="O1416"/>
      <c r="P1416"/>
      <c r="Q1416"/>
    </row>
    <row r="1417" spans="15:17" x14ac:dyDescent="0.25">
      <c r="O1417"/>
      <c r="P1417"/>
      <c r="Q1417"/>
    </row>
    <row r="1418" spans="15:17" x14ac:dyDescent="0.25">
      <c r="O1418"/>
      <c r="P1418"/>
      <c r="Q1418"/>
    </row>
    <row r="1419" spans="15:17" x14ac:dyDescent="0.25">
      <c r="O1419"/>
      <c r="P1419"/>
      <c r="Q1419"/>
    </row>
    <row r="1420" spans="15:17" x14ac:dyDescent="0.25">
      <c r="O1420"/>
      <c r="P1420"/>
      <c r="Q1420"/>
    </row>
    <row r="1421" spans="15:17" x14ac:dyDescent="0.25">
      <c r="O1421"/>
      <c r="P1421"/>
      <c r="Q1421"/>
    </row>
    <row r="1422" spans="15:17" x14ac:dyDescent="0.25">
      <c r="O1422"/>
      <c r="P1422"/>
      <c r="Q1422"/>
    </row>
    <row r="1423" spans="15:17" x14ac:dyDescent="0.25">
      <c r="O1423"/>
      <c r="P1423"/>
      <c r="Q1423"/>
    </row>
    <row r="1424" spans="15:17" x14ac:dyDescent="0.25">
      <c r="O1424"/>
      <c r="P1424"/>
      <c r="Q1424"/>
    </row>
    <row r="1425" spans="15:17" x14ac:dyDescent="0.25">
      <c r="O1425"/>
      <c r="P1425"/>
      <c r="Q1425"/>
    </row>
    <row r="1426" spans="15:17" x14ac:dyDescent="0.25">
      <c r="O1426"/>
      <c r="P1426"/>
      <c r="Q1426"/>
    </row>
    <row r="1427" spans="15:17" x14ac:dyDescent="0.25">
      <c r="O1427"/>
      <c r="P1427"/>
      <c r="Q1427"/>
    </row>
    <row r="1428" spans="15:17" x14ac:dyDescent="0.25">
      <c r="O1428"/>
      <c r="P1428"/>
      <c r="Q1428"/>
    </row>
    <row r="1429" spans="15:17" x14ac:dyDescent="0.25">
      <c r="O1429"/>
      <c r="P1429"/>
      <c r="Q1429"/>
    </row>
    <row r="1430" spans="15:17" x14ac:dyDescent="0.25">
      <c r="O1430"/>
      <c r="P1430"/>
      <c r="Q1430"/>
    </row>
    <row r="1431" spans="15:17" x14ac:dyDescent="0.25">
      <c r="O1431"/>
      <c r="P1431"/>
      <c r="Q1431"/>
    </row>
    <row r="1432" spans="15:17" x14ac:dyDescent="0.25">
      <c r="O1432"/>
      <c r="P1432"/>
      <c r="Q1432"/>
    </row>
    <row r="1433" spans="15:17" x14ac:dyDescent="0.25">
      <c r="O1433"/>
      <c r="P1433"/>
      <c r="Q1433"/>
    </row>
    <row r="1434" spans="15:17" x14ac:dyDescent="0.25">
      <c r="O1434"/>
      <c r="P1434"/>
      <c r="Q1434"/>
    </row>
    <row r="1435" spans="15:17" x14ac:dyDescent="0.25">
      <c r="O1435"/>
      <c r="P1435"/>
      <c r="Q1435"/>
    </row>
    <row r="1436" spans="15:17" x14ac:dyDescent="0.25">
      <c r="O1436"/>
      <c r="P1436"/>
      <c r="Q1436"/>
    </row>
    <row r="1437" spans="15:17" x14ac:dyDescent="0.25">
      <c r="O1437"/>
      <c r="P1437"/>
      <c r="Q1437"/>
    </row>
    <row r="1438" spans="15:17" x14ac:dyDescent="0.25">
      <c r="O1438"/>
      <c r="P1438"/>
      <c r="Q1438"/>
    </row>
    <row r="1439" spans="15:17" x14ac:dyDescent="0.25">
      <c r="O1439"/>
      <c r="P1439"/>
      <c r="Q1439"/>
    </row>
    <row r="1440" spans="15:17" x14ac:dyDescent="0.25">
      <c r="O1440"/>
      <c r="P1440"/>
      <c r="Q1440"/>
    </row>
    <row r="1441" spans="15:17" x14ac:dyDescent="0.25">
      <c r="O1441"/>
      <c r="P1441"/>
      <c r="Q1441"/>
    </row>
    <row r="1442" spans="15:17" x14ac:dyDescent="0.25">
      <c r="O1442"/>
      <c r="P1442"/>
      <c r="Q1442"/>
    </row>
    <row r="1443" spans="15:17" x14ac:dyDescent="0.25">
      <c r="O1443"/>
      <c r="P1443"/>
      <c r="Q1443"/>
    </row>
    <row r="1444" spans="15:17" x14ac:dyDescent="0.25">
      <c r="O1444"/>
      <c r="P1444"/>
      <c r="Q1444"/>
    </row>
    <row r="1445" spans="15:17" x14ac:dyDescent="0.25">
      <c r="O1445"/>
      <c r="P1445"/>
      <c r="Q1445"/>
    </row>
    <row r="1446" spans="15:17" x14ac:dyDescent="0.25">
      <c r="O1446"/>
      <c r="P1446"/>
      <c r="Q1446"/>
    </row>
    <row r="1447" spans="15:17" x14ac:dyDescent="0.25">
      <c r="O1447"/>
      <c r="P1447"/>
      <c r="Q1447"/>
    </row>
    <row r="1448" spans="15:17" x14ac:dyDescent="0.25">
      <c r="O1448"/>
      <c r="P1448"/>
      <c r="Q1448"/>
    </row>
    <row r="1449" spans="15:17" x14ac:dyDescent="0.25">
      <c r="O1449"/>
      <c r="P1449"/>
      <c r="Q1449"/>
    </row>
    <row r="1450" spans="15:17" x14ac:dyDescent="0.25">
      <c r="O1450"/>
      <c r="P1450"/>
      <c r="Q1450"/>
    </row>
    <row r="1451" spans="15:17" x14ac:dyDescent="0.25">
      <c r="O1451"/>
      <c r="P1451"/>
      <c r="Q1451"/>
    </row>
    <row r="1452" spans="15:17" x14ac:dyDescent="0.25">
      <c r="O1452"/>
      <c r="P1452"/>
      <c r="Q1452"/>
    </row>
    <row r="1453" spans="15:17" x14ac:dyDescent="0.25">
      <c r="O1453"/>
      <c r="P1453"/>
      <c r="Q1453"/>
    </row>
    <row r="1454" spans="15:17" x14ac:dyDescent="0.25">
      <c r="O1454"/>
      <c r="P1454"/>
      <c r="Q1454"/>
    </row>
    <row r="1455" spans="15:17" x14ac:dyDescent="0.25">
      <c r="O1455"/>
      <c r="P1455"/>
      <c r="Q1455"/>
    </row>
    <row r="1456" spans="15:17" x14ac:dyDescent="0.25">
      <c r="O1456"/>
      <c r="P1456"/>
      <c r="Q1456"/>
    </row>
    <row r="1457" spans="15:17" x14ac:dyDescent="0.25">
      <c r="O1457"/>
      <c r="P1457"/>
      <c r="Q1457"/>
    </row>
    <row r="1458" spans="15:17" x14ac:dyDescent="0.25">
      <c r="O1458"/>
      <c r="P1458"/>
      <c r="Q1458"/>
    </row>
    <row r="1459" spans="15:17" x14ac:dyDescent="0.25">
      <c r="O1459"/>
      <c r="P1459"/>
      <c r="Q1459"/>
    </row>
    <row r="1460" spans="15:17" x14ac:dyDescent="0.25">
      <c r="O1460"/>
      <c r="P1460"/>
      <c r="Q1460"/>
    </row>
    <row r="1461" spans="15:17" x14ac:dyDescent="0.25">
      <c r="O1461"/>
      <c r="P1461"/>
      <c r="Q1461"/>
    </row>
    <row r="1462" spans="15:17" x14ac:dyDescent="0.25">
      <c r="O1462"/>
      <c r="P1462"/>
      <c r="Q1462"/>
    </row>
    <row r="1463" spans="15:17" x14ac:dyDescent="0.25">
      <c r="O1463"/>
      <c r="P1463"/>
      <c r="Q1463"/>
    </row>
    <row r="1464" spans="15:17" x14ac:dyDescent="0.25">
      <c r="O1464"/>
      <c r="P1464"/>
      <c r="Q1464"/>
    </row>
    <row r="1465" spans="15:17" x14ac:dyDescent="0.25">
      <c r="O1465"/>
      <c r="P1465"/>
      <c r="Q1465"/>
    </row>
    <row r="1466" spans="15:17" x14ac:dyDescent="0.25">
      <c r="O1466"/>
      <c r="P1466"/>
      <c r="Q1466"/>
    </row>
    <row r="1467" spans="15:17" x14ac:dyDescent="0.25">
      <c r="O1467"/>
      <c r="P1467"/>
      <c r="Q1467"/>
    </row>
    <row r="1468" spans="15:17" x14ac:dyDescent="0.25">
      <c r="O1468"/>
      <c r="P1468"/>
      <c r="Q1468"/>
    </row>
    <row r="1469" spans="15:17" x14ac:dyDescent="0.25">
      <c r="O1469"/>
      <c r="P1469"/>
      <c r="Q1469"/>
    </row>
    <row r="1470" spans="15:17" x14ac:dyDescent="0.25">
      <c r="O1470"/>
      <c r="P1470"/>
      <c r="Q1470"/>
    </row>
    <row r="1471" spans="15:17" x14ac:dyDescent="0.25">
      <c r="O1471"/>
      <c r="P1471"/>
      <c r="Q1471"/>
    </row>
    <row r="1472" spans="15:17" x14ac:dyDescent="0.25">
      <c r="O1472"/>
      <c r="P1472"/>
      <c r="Q1472"/>
    </row>
    <row r="1473" spans="15:17" x14ac:dyDescent="0.25">
      <c r="O1473"/>
      <c r="P1473"/>
      <c r="Q1473"/>
    </row>
    <row r="1474" spans="15:17" x14ac:dyDescent="0.25">
      <c r="O1474"/>
      <c r="P1474"/>
      <c r="Q1474"/>
    </row>
    <row r="1475" spans="15:17" x14ac:dyDescent="0.25">
      <c r="O1475"/>
      <c r="P1475"/>
    </row>
    <row r="1476" spans="15:17" x14ac:dyDescent="0.25">
      <c r="O1476"/>
      <c r="P1476"/>
      <c r="Q1476"/>
    </row>
    <row r="1477" spans="15:17" x14ac:dyDescent="0.25">
      <c r="O1477"/>
      <c r="P1477"/>
      <c r="Q1477"/>
    </row>
    <row r="1478" spans="15:17" x14ac:dyDescent="0.25">
      <c r="O1478"/>
      <c r="P1478"/>
      <c r="Q1478"/>
    </row>
    <row r="1479" spans="15:17" x14ac:dyDescent="0.25">
      <c r="O1479"/>
      <c r="P1479"/>
      <c r="Q1479"/>
    </row>
    <row r="1480" spans="15:17" x14ac:dyDescent="0.25">
      <c r="O1480"/>
      <c r="P1480"/>
    </row>
    <row r="1481" spans="15:17" x14ac:dyDescent="0.25">
      <c r="O1481"/>
      <c r="P1481"/>
    </row>
    <row r="1482" spans="15:17" x14ac:dyDescent="0.25">
      <c r="O1482"/>
      <c r="P1482"/>
    </row>
    <row r="1483" spans="15:17" x14ac:dyDescent="0.25">
      <c r="O1483"/>
      <c r="P1483"/>
      <c r="Q1483"/>
    </row>
    <row r="1484" spans="15:17" x14ac:dyDescent="0.25">
      <c r="O1484"/>
      <c r="P1484"/>
      <c r="Q1484"/>
    </row>
    <row r="1485" spans="15:17" x14ac:dyDescent="0.25">
      <c r="O1485"/>
      <c r="P1485"/>
      <c r="Q1485"/>
    </row>
    <row r="1486" spans="15:17" x14ac:dyDescent="0.25">
      <c r="O1486"/>
      <c r="P1486"/>
      <c r="Q1486"/>
    </row>
    <row r="1487" spans="15:17" x14ac:dyDescent="0.25">
      <c r="O1487"/>
      <c r="P1487"/>
      <c r="Q1487"/>
    </row>
    <row r="1488" spans="15:17" x14ac:dyDescent="0.25">
      <c r="O1488"/>
      <c r="P1488"/>
      <c r="Q1488"/>
    </row>
    <row r="1489" spans="15:17" x14ac:dyDescent="0.25">
      <c r="O1489"/>
      <c r="P1489"/>
      <c r="Q1489"/>
    </row>
    <row r="1490" spans="15:17" x14ac:dyDescent="0.25">
      <c r="O1490"/>
      <c r="P1490"/>
    </row>
    <row r="1491" spans="15:17" x14ac:dyDescent="0.25">
      <c r="O1491"/>
      <c r="P1491"/>
      <c r="Q1491"/>
    </row>
    <row r="1492" spans="15:17" x14ac:dyDescent="0.25">
      <c r="O1492"/>
      <c r="P1492"/>
      <c r="Q1492"/>
    </row>
    <row r="1493" spans="15:17" x14ac:dyDescent="0.25">
      <c r="O1493"/>
      <c r="P1493"/>
      <c r="Q1493"/>
    </row>
    <row r="1494" spans="15:17" x14ac:dyDescent="0.25">
      <c r="O1494"/>
      <c r="P1494"/>
      <c r="Q1494"/>
    </row>
    <row r="1495" spans="15:17" x14ac:dyDescent="0.25">
      <c r="O1495"/>
      <c r="P1495"/>
      <c r="Q1495"/>
    </row>
    <row r="1496" spans="15:17" x14ac:dyDescent="0.25">
      <c r="O1496"/>
      <c r="P1496"/>
      <c r="Q1496"/>
    </row>
    <row r="1497" spans="15:17" x14ac:dyDescent="0.25">
      <c r="O1497"/>
      <c r="P1497"/>
      <c r="Q1497"/>
    </row>
    <row r="1498" spans="15:17" x14ac:dyDescent="0.25">
      <c r="O1498"/>
      <c r="P1498"/>
      <c r="Q1498"/>
    </row>
    <row r="1499" spans="15:17" x14ac:dyDescent="0.25">
      <c r="O1499"/>
      <c r="P1499"/>
      <c r="Q1499"/>
    </row>
    <row r="1500" spans="15:17" x14ac:dyDescent="0.25">
      <c r="O1500"/>
      <c r="P1500"/>
    </row>
    <row r="1501" spans="15:17" x14ac:dyDescent="0.25">
      <c r="O1501"/>
      <c r="P1501"/>
      <c r="Q1501"/>
    </row>
    <row r="1502" spans="15:17" x14ac:dyDescent="0.25">
      <c r="O1502"/>
      <c r="P1502"/>
      <c r="Q1502"/>
    </row>
    <row r="1503" spans="15:17" x14ac:dyDescent="0.25">
      <c r="O1503"/>
      <c r="P1503"/>
      <c r="Q1503"/>
    </row>
    <row r="1504" spans="15:17" x14ac:dyDescent="0.25">
      <c r="O1504"/>
      <c r="P1504"/>
    </row>
    <row r="1505" spans="15:17" x14ac:dyDescent="0.25">
      <c r="O1505"/>
      <c r="P1505"/>
      <c r="Q1505"/>
    </row>
    <row r="1506" spans="15:17" x14ac:dyDescent="0.25">
      <c r="O1506"/>
      <c r="P1506"/>
      <c r="Q1506"/>
    </row>
    <row r="1507" spans="15:17" x14ac:dyDescent="0.25">
      <c r="O1507"/>
      <c r="P1507"/>
      <c r="Q1507"/>
    </row>
    <row r="1508" spans="15:17" x14ac:dyDescent="0.25">
      <c r="O1508"/>
      <c r="P1508"/>
      <c r="Q1508"/>
    </row>
    <row r="1509" spans="15:17" x14ac:dyDescent="0.25">
      <c r="O1509"/>
      <c r="P1509"/>
      <c r="Q1509"/>
    </row>
    <row r="1510" spans="15:17" x14ac:dyDescent="0.25">
      <c r="O1510"/>
      <c r="P1510"/>
      <c r="Q1510"/>
    </row>
    <row r="1511" spans="15:17" x14ac:dyDescent="0.25">
      <c r="O1511"/>
      <c r="P1511"/>
      <c r="Q1511"/>
    </row>
    <row r="1512" spans="15:17" x14ac:dyDescent="0.25">
      <c r="O1512"/>
      <c r="P1512"/>
      <c r="Q1512"/>
    </row>
    <row r="1513" spans="15:17" x14ac:dyDescent="0.25">
      <c r="O1513"/>
      <c r="P1513"/>
      <c r="Q1513"/>
    </row>
    <row r="1514" spans="15:17" x14ac:dyDescent="0.25">
      <c r="O1514"/>
      <c r="P1514"/>
      <c r="Q1514"/>
    </row>
    <row r="1515" spans="15:17" x14ac:dyDescent="0.25">
      <c r="O1515"/>
      <c r="P1515"/>
      <c r="Q1515"/>
    </row>
    <row r="1516" spans="15:17" x14ac:dyDescent="0.25">
      <c r="O1516"/>
      <c r="P1516"/>
      <c r="Q1516"/>
    </row>
    <row r="1517" spans="15:17" x14ac:dyDescent="0.25">
      <c r="O1517"/>
      <c r="P1517"/>
      <c r="Q1517"/>
    </row>
    <row r="1518" spans="15:17" x14ac:dyDescent="0.25">
      <c r="O1518"/>
      <c r="P1518"/>
      <c r="Q1518"/>
    </row>
    <row r="1519" spans="15:17" x14ac:dyDescent="0.25">
      <c r="O1519"/>
      <c r="P1519"/>
      <c r="Q1519"/>
    </row>
    <row r="1520" spans="15:17" x14ac:dyDescent="0.25">
      <c r="O1520"/>
      <c r="P1520"/>
      <c r="Q1520"/>
    </row>
    <row r="1521" spans="15:17" x14ac:dyDescent="0.25">
      <c r="O1521"/>
      <c r="P1521"/>
      <c r="Q1521"/>
    </row>
    <row r="1522" spans="15:17" x14ac:dyDescent="0.25">
      <c r="O1522"/>
      <c r="P1522"/>
      <c r="Q1522"/>
    </row>
    <row r="1523" spans="15:17" x14ac:dyDescent="0.25">
      <c r="O1523"/>
      <c r="P1523"/>
      <c r="Q1523"/>
    </row>
    <row r="1524" spans="15:17" x14ac:dyDescent="0.25">
      <c r="O1524"/>
      <c r="P1524"/>
      <c r="Q1524"/>
    </row>
    <row r="1525" spans="15:17" x14ac:dyDescent="0.25">
      <c r="O1525"/>
      <c r="P1525"/>
      <c r="Q1525"/>
    </row>
    <row r="1526" spans="15:17" x14ac:dyDescent="0.25">
      <c r="O1526"/>
      <c r="P1526"/>
      <c r="Q1526"/>
    </row>
    <row r="1527" spans="15:17" x14ac:dyDescent="0.25">
      <c r="O1527"/>
      <c r="P1527"/>
      <c r="Q1527"/>
    </row>
    <row r="1528" spans="15:17" x14ac:dyDescent="0.25">
      <c r="O1528"/>
      <c r="P1528"/>
      <c r="Q1528"/>
    </row>
    <row r="1529" spans="15:17" x14ac:dyDescent="0.25">
      <c r="O1529"/>
      <c r="P1529"/>
      <c r="Q1529"/>
    </row>
    <row r="1530" spans="15:17" x14ac:dyDescent="0.25">
      <c r="O1530"/>
      <c r="P1530"/>
      <c r="Q1530"/>
    </row>
    <row r="1531" spans="15:17" x14ac:dyDescent="0.25">
      <c r="O1531"/>
      <c r="P1531"/>
      <c r="Q1531"/>
    </row>
    <row r="1532" spans="15:17" x14ac:dyDescent="0.25">
      <c r="O1532"/>
      <c r="P1532"/>
      <c r="Q1532"/>
    </row>
    <row r="1533" spans="15:17" x14ac:dyDescent="0.25">
      <c r="O1533"/>
      <c r="P1533"/>
      <c r="Q1533"/>
    </row>
    <row r="1534" spans="15:17" x14ac:dyDescent="0.25">
      <c r="O1534"/>
      <c r="P1534"/>
      <c r="Q1534"/>
    </row>
    <row r="1535" spans="15:17" x14ac:dyDescent="0.25">
      <c r="O1535"/>
      <c r="P1535"/>
      <c r="Q1535"/>
    </row>
    <row r="1536" spans="15:17" x14ac:dyDescent="0.25">
      <c r="O1536"/>
      <c r="P1536"/>
      <c r="Q1536"/>
    </row>
    <row r="1537" spans="15:26" x14ac:dyDescent="0.25">
      <c r="O1537"/>
      <c r="P1537"/>
      <c r="Q1537"/>
    </row>
    <row r="1538" spans="15:26" x14ac:dyDescent="0.25">
      <c r="O1538"/>
      <c r="P1538"/>
      <c r="Q1538"/>
    </row>
    <row r="1539" spans="15:26" x14ac:dyDescent="0.25">
      <c r="O1539"/>
      <c r="P1539"/>
      <c r="Q1539"/>
    </row>
    <row r="1540" spans="15:26" x14ac:dyDescent="0.25">
      <c r="O1540"/>
      <c r="P1540"/>
      <c r="Q1540"/>
    </row>
    <row r="1541" spans="15:26" x14ac:dyDescent="0.25">
      <c r="O1541"/>
      <c r="P1541"/>
      <c r="Q1541"/>
    </row>
    <row r="1542" spans="15:26" x14ac:dyDescent="0.25">
      <c r="O1542"/>
      <c r="P1542"/>
      <c r="Q1542"/>
    </row>
    <row r="1543" spans="15:26" x14ac:dyDescent="0.25">
      <c r="O1543"/>
      <c r="P1543"/>
      <c r="Q1543"/>
    </row>
    <row r="1544" spans="15:26" x14ac:dyDescent="0.25">
      <c r="O1544"/>
      <c r="P1544"/>
      <c r="Q1544"/>
    </row>
    <row r="1545" spans="15:26" x14ac:dyDescent="0.25">
      <c r="O1545"/>
      <c r="P1545"/>
      <c r="Q1545"/>
      <c r="W1545" t="str">
        <f>IF(B1545="","",_xll.BDP(B1545,"INDUSTRY_SECTOR"))</f>
        <v/>
      </c>
      <c r="X1545" t="str">
        <f>IF($B1545="","",_xll.BDP($B1545,"INDUSTRY_GROUP"))</f>
        <v/>
      </c>
      <c r="Y1545" t="str">
        <f>IF($B1545="","",_xll.BDP($B1545,"INDUSTRY_SUBGROUP"))</f>
        <v/>
      </c>
      <c r="Z1545" t="str">
        <f>IF($B1545="","",_xll.BDP($B1545,"COUNTRY_FULL_NAME"))</f>
        <v/>
      </c>
    </row>
    <row r="1546" spans="15:26" x14ac:dyDescent="0.25">
      <c r="O1546"/>
      <c r="P1546"/>
      <c r="Q1546"/>
      <c r="W1546" t="str">
        <f>IF(B1546="","",_xll.BDP(B1546,"INDUSTRY_SECTOR"))</f>
        <v/>
      </c>
      <c r="X1546" t="str">
        <f>IF($B1546="","",_xll.BDP($B1546,"INDUSTRY_GROUP"))</f>
        <v/>
      </c>
      <c r="Y1546" t="str">
        <f>IF($B1546="","",_xll.BDP($B1546,"INDUSTRY_SUBGROUP"))</f>
        <v/>
      </c>
      <c r="Z1546" t="str">
        <f>IF($B1546="","",_xll.BDP($B1546,"COUNTRY_FULL_NAME"))</f>
        <v/>
      </c>
    </row>
    <row r="1547" spans="15:26" x14ac:dyDescent="0.25">
      <c r="O1547"/>
      <c r="P1547"/>
      <c r="Q1547"/>
      <c r="W1547" t="str">
        <f>IF(B1547="","",_xll.BDP(B1547,"INDUSTRY_SECTOR"))</f>
        <v/>
      </c>
      <c r="X1547" t="str">
        <f>IF($B1547="","",_xll.BDP($B1547,"INDUSTRY_GROUP"))</f>
        <v/>
      </c>
      <c r="Y1547" t="str">
        <f>IF($B1547="","",_xll.BDP($B1547,"INDUSTRY_SUBGROUP"))</f>
        <v/>
      </c>
      <c r="Z1547" t="str">
        <f>IF($B1547="","",_xll.BDP($B1547,"COUNTRY_FULL_NAME"))</f>
        <v/>
      </c>
    </row>
    <row r="1548" spans="15:26" x14ac:dyDescent="0.25">
      <c r="O1548"/>
      <c r="P1548"/>
      <c r="Q1548"/>
      <c r="W1548" t="str">
        <f>IF(B1548="","",_xll.BDP(B1548,"INDUSTRY_SECTOR"))</f>
        <v/>
      </c>
      <c r="X1548" t="str">
        <f>IF($B1548="","",_xll.BDP($B1548,"INDUSTRY_GROUP"))</f>
        <v/>
      </c>
      <c r="Y1548" t="str">
        <f>IF($B1548="","",_xll.BDP($B1548,"INDUSTRY_SUBGROUP"))</f>
        <v/>
      </c>
      <c r="Z1548" t="str">
        <f>IF($B1548="","",_xll.BDP($B1548,"COUNTRY_FULL_NAME"))</f>
        <v/>
      </c>
    </row>
    <row r="1549" spans="15:26" x14ac:dyDescent="0.25">
      <c r="O1549"/>
      <c r="P1549"/>
      <c r="Q1549"/>
      <c r="W1549" t="str">
        <f>IF(B1549="","",_xll.BDP(B1549,"INDUSTRY_SECTOR"))</f>
        <v/>
      </c>
      <c r="X1549" t="str">
        <f>IF($B1549="","",_xll.BDP($B1549,"INDUSTRY_GROUP"))</f>
        <v/>
      </c>
      <c r="Y1549" t="str">
        <f>IF($B1549="","",_xll.BDP($B1549,"INDUSTRY_SUBGROUP"))</f>
        <v/>
      </c>
      <c r="Z1549" t="str">
        <f>IF($B1549="","",_xll.BDP($B1549,"COUNTRY_FULL_NAME"))</f>
        <v/>
      </c>
    </row>
    <row r="1550" spans="15:26" x14ac:dyDescent="0.25">
      <c r="O1550"/>
      <c r="P1550"/>
      <c r="Q1550"/>
      <c r="W1550" t="str">
        <f>IF(B1550="","",_xll.BDP(B1550,"INDUSTRY_SECTOR"))</f>
        <v/>
      </c>
      <c r="X1550" t="str">
        <f>IF($B1550="","",_xll.BDP($B1550,"INDUSTRY_GROUP"))</f>
        <v/>
      </c>
      <c r="Y1550" t="str">
        <f>IF($B1550="","",_xll.BDP($B1550,"INDUSTRY_SUBGROUP"))</f>
        <v/>
      </c>
      <c r="Z1550" t="str">
        <f>IF($B1550="","",_xll.BDP($B1550,"COUNTRY_FULL_NAME"))</f>
        <v/>
      </c>
    </row>
    <row r="1551" spans="15:26" x14ac:dyDescent="0.25">
      <c r="O1551"/>
      <c r="P1551"/>
      <c r="Q1551"/>
      <c r="W1551" t="str">
        <f>IF(B1551="","",_xll.BDP(B1551,"INDUSTRY_SECTOR"))</f>
        <v/>
      </c>
      <c r="X1551" t="str">
        <f>IF($B1551="","",_xll.BDP($B1551,"INDUSTRY_GROUP"))</f>
        <v/>
      </c>
      <c r="Y1551" t="str">
        <f>IF($B1551="","",_xll.BDP($B1551,"INDUSTRY_SUBGROUP"))</f>
        <v/>
      </c>
      <c r="Z1551" t="str">
        <f>IF($B1551="","",_xll.BDP($B1551,"COUNTRY_FULL_NAME"))</f>
        <v/>
      </c>
    </row>
    <row r="1552" spans="15:26" x14ac:dyDescent="0.25">
      <c r="O1552"/>
      <c r="P1552"/>
      <c r="W1552" t="str">
        <f>IF(B1552="","",_xll.BDP(B1552,"INDUSTRY_SECTOR"))</f>
        <v/>
      </c>
      <c r="X1552" t="str">
        <f>IF($B1552="","",_xll.BDP($B1552,"INDUSTRY_GROUP"))</f>
        <v/>
      </c>
      <c r="Y1552" t="str">
        <f>IF($B1552="","",_xll.BDP($B1552,"INDUSTRY_SUBGROUP"))</f>
        <v/>
      </c>
      <c r="Z1552" t="str">
        <f>IF($B1552="","",_xll.BDP($B1552,"COUNTRY_FULL_NAME"))</f>
        <v/>
      </c>
    </row>
    <row r="1553" spans="15:26" x14ac:dyDescent="0.25">
      <c r="O1553"/>
      <c r="P1553"/>
      <c r="Q1553"/>
      <c r="W1553" t="str">
        <f>IF(B1553="","",_xll.BDP(B1553,"INDUSTRY_SECTOR"))</f>
        <v/>
      </c>
      <c r="X1553" t="str">
        <f>IF($B1553="","",_xll.BDP($B1553,"INDUSTRY_GROUP"))</f>
        <v/>
      </c>
      <c r="Y1553" t="str">
        <f>IF($B1553="","",_xll.BDP($B1553,"INDUSTRY_SUBGROUP"))</f>
        <v/>
      </c>
      <c r="Z1553" t="str">
        <f>IF($B1553="","",_xll.BDP($B1553,"COUNTRY_FULL_NAME"))</f>
        <v/>
      </c>
    </row>
    <row r="1554" spans="15:26" x14ac:dyDescent="0.25">
      <c r="O1554"/>
      <c r="P1554"/>
      <c r="Q1554"/>
      <c r="W1554" t="str">
        <f>IF(B1554="","",_xll.BDP(B1554,"INDUSTRY_SECTOR"))</f>
        <v/>
      </c>
      <c r="X1554" t="str">
        <f>IF($B1554="","",_xll.BDP($B1554,"INDUSTRY_GROUP"))</f>
        <v/>
      </c>
      <c r="Y1554" t="str">
        <f>IF($B1554="","",_xll.BDP($B1554,"INDUSTRY_SUBGROUP"))</f>
        <v/>
      </c>
      <c r="Z1554" t="str">
        <f>IF($B1554="","",_xll.BDP($B1554,"COUNTRY_FULL_NAME"))</f>
        <v/>
      </c>
    </row>
    <row r="1555" spans="15:26" x14ac:dyDescent="0.25">
      <c r="O1555"/>
      <c r="P1555"/>
      <c r="Q1555"/>
      <c r="W1555" t="str">
        <f>IF(B1555="","",_xll.BDP(B1555,"INDUSTRY_SECTOR"))</f>
        <v/>
      </c>
      <c r="X1555" t="str">
        <f>IF($B1555="","",_xll.BDP($B1555,"INDUSTRY_GROUP"))</f>
        <v/>
      </c>
      <c r="Y1555" t="str">
        <f>IF($B1555="","",_xll.BDP($B1555,"INDUSTRY_SUBGROUP"))</f>
        <v/>
      </c>
      <c r="Z1555" t="str">
        <f>IF($B1555="","",_xll.BDP($B1555,"COUNTRY_FULL_NAME"))</f>
        <v/>
      </c>
    </row>
    <row r="1556" spans="15:26" x14ac:dyDescent="0.25">
      <c r="O1556"/>
      <c r="P1556"/>
      <c r="Q1556"/>
      <c r="W1556" t="str">
        <f>IF(B1556="","",_xll.BDP(B1556,"INDUSTRY_SECTOR"))</f>
        <v/>
      </c>
      <c r="X1556" t="str">
        <f>IF($B1556="","",_xll.BDP($B1556,"INDUSTRY_GROUP"))</f>
        <v/>
      </c>
      <c r="Y1556" t="str">
        <f>IF($B1556="","",_xll.BDP($B1556,"INDUSTRY_SUBGROUP"))</f>
        <v/>
      </c>
      <c r="Z1556" t="str">
        <f>IF($B1556="","",_xll.BDP($B1556,"COUNTRY_FULL_NAME"))</f>
        <v/>
      </c>
    </row>
    <row r="1557" spans="15:26" x14ac:dyDescent="0.25">
      <c r="O1557"/>
      <c r="P1557"/>
      <c r="Q1557"/>
      <c r="W1557" t="str">
        <f>IF(B1557="","",_xll.BDP(B1557,"INDUSTRY_SECTOR"))</f>
        <v/>
      </c>
      <c r="X1557" t="str">
        <f>IF($B1557="","",_xll.BDP($B1557,"INDUSTRY_GROUP"))</f>
        <v/>
      </c>
      <c r="Y1557" t="str">
        <f>IF($B1557="","",_xll.BDP($B1557,"INDUSTRY_SUBGROUP"))</f>
        <v/>
      </c>
      <c r="Z1557" t="str">
        <f>IF($B1557="","",_xll.BDP($B1557,"COUNTRY_FULL_NAME"))</f>
        <v/>
      </c>
    </row>
    <row r="1558" spans="15:26" x14ac:dyDescent="0.25">
      <c r="O1558"/>
      <c r="P1558"/>
      <c r="Q1558"/>
      <c r="W1558" t="str">
        <f>IF(B1558="","",_xll.BDP(B1558,"INDUSTRY_SECTOR"))</f>
        <v/>
      </c>
      <c r="X1558" t="str">
        <f>IF($B1558="","",_xll.BDP($B1558,"INDUSTRY_GROUP"))</f>
        <v/>
      </c>
      <c r="Y1558" t="str">
        <f>IF($B1558="","",_xll.BDP($B1558,"INDUSTRY_SUBGROUP"))</f>
        <v/>
      </c>
      <c r="Z1558" t="str">
        <f>IF($B1558="","",_xll.BDP($B1558,"COUNTRY_FULL_NAME"))</f>
        <v/>
      </c>
    </row>
    <row r="1559" spans="15:26" x14ac:dyDescent="0.25">
      <c r="O1559"/>
      <c r="P1559"/>
      <c r="Q1559"/>
      <c r="W1559" t="str">
        <f>IF(B1559="","",_xll.BDP(B1559,"INDUSTRY_SECTOR"))</f>
        <v/>
      </c>
      <c r="X1559" t="str">
        <f>IF($B1559="","",_xll.BDP($B1559,"INDUSTRY_GROUP"))</f>
        <v/>
      </c>
      <c r="Y1559" t="str">
        <f>IF($B1559="","",_xll.BDP($B1559,"INDUSTRY_SUBGROUP"))</f>
        <v/>
      </c>
      <c r="Z1559" t="str">
        <f>IF($B1559="","",_xll.BDP($B1559,"COUNTRY_FULL_NAME"))</f>
        <v/>
      </c>
    </row>
    <row r="1560" spans="15:26" x14ac:dyDescent="0.25">
      <c r="O1560"/>
      <c r="P1560"/>
      <c r="W1560" t="str">
        <f>IF(B1560="","",_xll.BDP(B1560,"INDUSTRY_SECTOR"))</f>
        <v/>
      </c>
      <c r="X1560" t="str">
        <f>IF($B1560="","",_xll.BDP($B1560,"INDUSTRY_GROUP"))</f>
        <v/>
      </c>
      <c r="Y1560" t="str">
        <f>IF($B1560="","",_xll.BDP($B1560,"INDUSTRY_SUBGROUP"))</f>
        <v/>
      </c>
      <c r="Z1560" t="str">
        <f>IF($B1560="","",_xll.BDP($B1560,"COUNTRY_FULL_NAME"))</f>
        <v/>
      </c>
    </row>
    <row r="1561" spans="15:26" x14ac:dyDescent="0.25">
      <c r="O1561"/>
      <c r="P1561"/>
      <c r="Q1561"/>
      <c r="W1561" t="str">
        <f>IF(B1561="","",_xll.BDP(B1561,"INDUSTRY_SECTOR"))</f>
        <v/>
      </c>
      <c r="X1561" t="str">
        <f>IF($B1561="","",_xll.BDP($B1561,"INDUSTRY_GROUP"))</f>
        <v/>
      </c>
      <c r="Y1561" t="str">
        <f>IF($B1561="","",_xll.BDP($B1561,"INDUSTRY_SUBGROUP"))</f>
        <v/>
      </c>
      <c r="Z1561" t="str">
        <f>IF($B1561="","",_xll.BDP($B1561,"COUNTRY_FULL_NAME"))</f>
        <v/>
      </c>
    </row>
    <row r="1562" spans="15:26" x14ac:dyDescent="0.25">
      <c r="O1562"/>
      <c r="P1562"/>
      <c r="Q1562"/>
      <c r="W1562" t="str">
        <f>IF(B1562="","",_xll.BDP(B1562,"INDUSTRY_SECTOR"))</f>
        <v/>
      </c>
      <c r="X1562" t="str">
        <f>IF($B1562="","",_xll.BDP($B1562,"INDUSTRY_GROUP"))</f>
        <v/>
      </c>
      <c r="Y1562" t="str">
        <f>IF($B1562="","",_xll.BDP($B1562,"INDUSTRY_SUBGROUP"))</f>
        <v/>
      </c>
      <c r="Z1562" t="str">
        <f>IF($B1562="","",_xll.BDP($B1562,"COUNTRY_FULL_NAME"))</f>
        <v/>
      </c>
    </row>
    <row r="1563" spans="15:26" x14ac:dyDescent="0.25">
      <c r="O1563"/>
      <c r="P1563"/>
      <c r="Q1563"/>
      <c r="W1563" t="str">
        <f>IF(B1563="","",_xll.BDP(B1563,"INDUSTRY_SECTOR"))</f>
        <v/>
      </c>
      <c r="X1563" t="str">
        <f>IF($B1563="","",_xll.BDP($B1563,"INDUSTRY_GROUP"))</f>
        <v/>
      </c>
      <c r="Y1563" t="str">
        <f>IF($B1563="","",_xll.BDP($B1563,"INDUSTRY_SUBGROUP"))</f>
        <v/>
      </c>
      <c r="Z1563" t="str">
        <f>IF($B1563="","",_xll.BDP($B1563,"COUNTRY_FULL_NAME"))</f>
        <v/>
      </c>
    </row>
    <row r="1564" spans="15:26" x14ac:dyDescent="0.25">
      <c r="O1564"/>
      <c r="P1564"/>
      <c r="W1564" t="str">
        <f>IF(B1564="","",_xll.BDP(B1564,"INDUSTRY_SECTOR"))</f>
        <v/>
      </c>
      <c r="X1564" t="str">
        <f>IF($B1564="","",_xll.BDP($B1564,"INDUSTRY_GROUP"))</f>
        <v/>
      </c>
      <c r="Y1564" t="str">
        <f>IF($B1564="","",_xll.BDP($B1564,"INDUSTRY_SUBGROUP"))</f>
        <v/>
      </c>
      <c r="Z1564" t="str">
        <f>IF($B1564="","",_xll.BDP($B1564,"COUNTRY_FULL_NAME"))</f>
        <v/>
      </c>
    </row>
    <row r="1565" spans="15:26" x14ac:dyDescent="0.25">
      <c r="O1565"/>
      <c r="P1565"/>
      <c r="Q1565"/>
      <c r="W1565" t="str">
        <f>IF(B1565="","",_xll.BDP(B1565,"INDUSTRY_SECTOR"))</f>
        <v/>
      </c>
      <c r="X1565" t="str">
        <f>IF($B1565="","",_xll.BDP($B1565,"INDUSTRY_GROUP"))</f>
        <v/>
      </c>
      <c r="Y1565" t="str">
        <f>IF($B1565="","",_xll.BDP($B1565,"INDUSTRY_SUBGROUP"))</f>
        <v/>
      </c>
      <c r="Z1565" t="str">
        <f>IF($B1565="","",_xll.BDP($B1565,"COUNTRY_FULL_NAME"))</f>
        <v/>
      </c>
    </row>
    <row r="1566" spans="15:26" x14ac:dyDescent="0.25">
      <c r="O1566"/>
      <c r="P1566"/>
      <c r="Q1566"/>
      <c r="W1566" t="str">
        <f>IF(B1566="","",_xll.BDP(B1566,"INDUSTRY_SECTOR"))</f>
        <v/>
      </c>
      <c r="X1566" t="str">
        <f>IF($B1566="","",_xll.BDP($B1566,"INDUSTRY_GROUP"))</f>
        <v/>
      </c>
      <c r="Y1566" t="str">
        <f>IF($B1566="","",_xll.BDP($B1566,"INDUSTRY_SUBGROUP"))</f>
        <v/>
      </c>
      <c r="Z1566" t="str">
        <f>IF($B1566="","",_xll.BDP($B1566,"COUNTRY_FULL_NAME"))</f>
        <v/>
      </c>
    </row>
    <row r="1567" spans="15:26" x14ac:dyDescent="0.25">
      <c r="O1567"/>
      <c r="P1567"/>
      <c r="Q1567"/>
      <c r="W1567" t="str">
        <f>IF(B1567="","",_xll.BDP(B1567,"INDUSTRY_SECTOR"))</f>
        <v/>
      </c>
      <c r="X1567" t="str">
        <f>IF($B1567="","",_xll.BDP($B1567,"INDUSTRY_GROUP"))</f>
        <v/>
      </c>
      <c r="Y1567" t="str">
        <f>IF($B1567="","",_xll.BDP($B1567,"INDUSTRY_SUBGROUP"))</f>
        <v/>
      </c>
      <c r="Z1567" t="str">
        <f>IF($B1567="","",_xll.BDP($B1567,"COUNTRY_FULL_NAME"))</f>
        <v/>
      </c>
    </row>
    <row r="1568" spans="15:26" x14ac:dyDescent="0.25">
      <c r="O1568"/>
      <c r="P1568"/>
      <c r="W1568" t="str">
        <f>IF(B1568="","",_xll.BDP(B1568,"INDUSTRY_SECTOR"))</f>
        <v/>
      </c>
      <c r="X1568" t="str">
        <f>IF($B1568="","",_xll.BDP($B1568,"INDUSTRY_GROUP"))</f>
        <v/>
      </c>
      <c r="Y1568" t="str">
        <f>IF($B1568="","",_xll.BDP($B1568,"INDUSTRY_SUBGROUP"))</f>
        <v/>
      </c>
      <c r="Z1568" t="str">
        <f>IF($B1568="","",_xll.BDP($B1568,"COUNTRY_FULL_NAME"))</f>
        <v/>
      </c>
    </row>
    <row r="1569" spans="15:26" x14ac:dyDescent="0.25">
      <c r="O1569"/>
      <c r="P1569"/>
      <c r="Q1569"/>
      <c r="W1569" t="str">
        <f>IF(B1569="","",_xll.BDP(B1569,"INDUSTRY_SECTOR"))</f>
        <v/>
      </c>
      <c r="X1569" t="str">
        <f>IF($B1569="","",_xll.BDP($B1569,"INDUSTRY_GROUP"))</f>
        <v/>
      </c>
      <c r="Y1569" t="str">
        <f>IF($B1569="","",_xll.BDP($B1569,"INDUSTRY_SUBGROUP"))</f>
        <v/>
      </c>
      <c r="Z1569" t="str">
        <f>IF($B1569="","",_xll.BDP($B1569,"COUNTRY_FULL_NAME"))</f>
        <v/>
      </c>
    </row>
    <row r="1570" spans="15:26" x14ac:dyDescent="0.25">
      <c r="O1570"/>
      <c r="P1570"/>
      <c r="Q1570"/>
      <c r="W1570" t="str">
        <f>IF(B1570="","",_xll.BDP(B1570,"INDUSTRY_SECTOR"))</f>
        <v/>
      </c>
      <c r="X1570" t="str">
        <f>IF($B1570="","",_xll.BDP($B1570,"INDUSTRY_GROUP"))</f>
        <v/>
      </c>
      <c r="Y1570" t="str">
        <f>IF($B1570="","",_xll.BDP($B1570,"INDUSTRY_SUBGROUP"))</f>
        <v/>
      </c>
      <c r="Z1570" t="str">
        <f>IF($B1570="","",_xll.BDP($B1570,"COUNTRY_FULL_NAME"))</f>
        <v/>
      </c>
    </row>
    <row r="1571" spans="15:26" x14ac:dyDescent="0.25">
      <c r="O1571"/>
      <c r="P1571"/>
      <c r="Q1571"/>
      <c r="W1571" t="str">
        <f>IF(B1571="","",_xll.BDP(B1571,"INDUSTRY_SECTOR"))</f>
        <v/>
      </c>
      <c r="X1571" t="str">
        <f>IF($B1571="","",_xll.BDP($B1571,"INDUSTRY_GROUP"))</f>
        <v/>
      </c>
      <c r="Y1571" t="str">
        <f>IF($B1571="","",_xll.BDP($B1571,"INDUSTRY_SUBGROUP"))</f>
        <v/>
      </c>
      <c r="Z1571" t="str">
        <f>IF($B1571="","",_xll.BDP($B1571,"COUNTRY_FULL_NAME"))</f>
        <v/>
      </c>
    </row>
    <row r="1572" spans="15:26" x14ac:dyDescent="0.25">
      <c r="O1572"/>
      <c r="P1572"/>
      <c r="Q1572"/>
      <c r="W1572" t="str">
        <f>IF(B1572="","",_xll.BDP(B1572,"INDUSTRY_SECTOR"))</f>
        <v/>
      </c>
      <c r="X1572" t="str">
        <f>IF($B1572="","",_xll.BDP($B1572,"INDUSTRY_GROUP"))</f>
        <v/>
      </c>
      <c r="Y1572" t="str">
        <f>IF($B1572="","",_xll.BDP($B1572,"INDUSTRY_SUBGROUP"))</f>
        <v/>
      </c>
      <c r="Z1572" t="str">
        <f>IF($B1572="","",_xll.BDP($B1572,"COUNTRY_FULL_NAME"))</f>
        <v/>
      </c>
    </row>
    <row r="1573" spans="15:26" x14ac:dyDescent="0.25">
      <c r="O1573"/>
      <c r="P1573"/>
      <c r="Q1573"/>
      <c r="W1573" t="str">
        <f>IF(B1573="","",_xll.BDP(B1573,"INDUSTRY_SECTOR"))</f>
        <v/>
      </c>
      <c r="X1573" t="str">
        <f>IF($B1573="","",_xll.BDP($B1573,"INDUSTRY_GROUP"))</f>
        <v/>
      </c>
      <c r="Y1573" t="str">
        <f>IF($B1573="","",_xll.BDP($B1573,"INDUSTRY_SUBGROUP"))</f>
        <v/>
      </c>
      <c r="Z1573" t="str">
        <f>IF($B1573="","",_xll.BDP($B1573,"COUNTRY_FULL_NAME"))</f>
        <v/>
      </c>
    </row>
    <row r="1574" spans="15:26" x14ac:dyDescent="0.25">
      <c r="O1574"/>
      <c r="P1574"/>
      <c r="Q1574"/>
      <c r="W1574" t="str">
        <f>IF(B1574="","",_xll.BDP(B1574,"INDUSTRY_SECTOR"))</f>
        <v/>
      </c>
      <c r="X1574" t="str">
        <f>IF($B1574="","",_xll.BDP($B1574,"INDUSTRY_GROUP"))</f>
        <v/>
      </c>
      <c r="Y1574" t="str">
        <f>IF($B1574="","",_xll.BDP($B1574,"INDUSTRY_SUBGROUP"))</f>
        <v/>
      </c>
      <c r="Z1574" t="str">
        <f>IF($B1574="","",_xll.BDP($B1574,"COUNTRY_FULL_NAME"))</f>
        <v/>
      </c>
    </row>
    <row r="1575" spans="15:26" x14ac:dyDescent="0.25">
      <c r="O1575"/>
      <c r="P1575"/>
      <c r="Q1575"/>
      <c r="W1575" t="str">
        <f>IF(B1575="","",_xll.BDP(B1575,"INDUSTRY_SECTOR"))</f>
        <v/>
      </c>
      <c r="X1575" t="str">
        <f>IF($B1575="","",_xll.BDP($B1575,"INDUSTRY_GROUP"))</f>
        <v/>
      </c>
      <c r="Y1575" t="str">
        <f>IF($B1575="","",_xll.BDP($B1575,"INDUSTRY_SUBGROUP"))</f>
        <v/>
      </c>
      <c r="Z1575" t="str">
        <f>IF($B1575="","",_xll.BDP($B1575,"COUNTRY_FULL_NAME"))</f>
        <v/>
      </c>
    </row>
    <row r="1576" spans="15:26" x14ac:dyDescent="0.25">
      <c r="O1576"/>
      <c r="P1576"/>
      <c r="Q1576"/>
      <c r="W1576" t="str">
        <f>IF(B1576="","",_xll.BDP(B1576,"INDUSTRY_SECTOR"))</f>
        <v/>
      </c>
      <c r="X1576" t="str">
        <f>IF($B1576="","",_xll.BDP($B1576,"INDUSTRY_GROUP"))</f>
        <v/>
      </c>
      <c r="Y1576" t="str">
        <f>IF($B1576="","",_xll.BDP($B1576,"INDUSTRY_SUBGROUP"))</f>
        <v/>
      </c>
      <c r="Z1576" t="str">
        <f>IF($B1576="","",_xll.BDP($B1576,"COUNTRY_FULL_NAME"))</f>
        <v/>
      </c>
    </row>
    <row r="1577" spans="15:26" x14ac:dyDescent="0.25">
      <c r="O1577"/>
      <c r="P1577"/>
      <c r="Q1577"/>
      <c r="W1577" t="str">
        <f>IF(B1577="","",_xll.BDP(B1577,"INDUSTRY_SECTOR"))</f>
        <v/>
      </c>
      <c r="X1577" t="str">
        <f>IF($B1577="","",_xll.BDP($B1577,"INDUSTRY_GROUP"))</f>
        <v/>
      </c>
      <c r="Y1577" t="str">
        <f>IF($B1577="","",_xll.BDP($B1577,"INDUSTRY_SUBGROUP"))</f>
        <v/>
      </c>
      <c r="Z1577" t="str">
        <f>IF($B1577="","",_xll.BDP($B1577,"COUNTRY_FULL_NAME"))</f>
        <v/>
      </c>
    </row>
    <row r="1578" spans="15:26" x14ac:dyDescent="0.25">
      <c r="O1578"/>
      <c r="P1578"/>
      <c r="Q1578"/>
      <c r="W1578" t="str">
        <f>IF(B1578="","",_xll.BDP(B1578,"INDUSTRY_SECTOR"))</f>
        <v/>
      </c>
      <c r="X1578" t="str">
        <f>IF($B1578="","",_xll.BDP($B1578,"INDUSTRY_GROUP"))</f>
        <v/>
      </c>
      <c r="Y1578" t="str">
        <f>IF($B1578="","",_xll.BDP($B1578,"INDUSTRY_SUBGROUP"))</f>
        <v/>
      </c>
      <c r="Z1578" t="str">
        <f>IF($B1578="","",_xll.BDP($B1578,"COUNTRY_FULL_NAME"))</f>
        <v/>
      </c>
    </row>
    <row r="1579" spans="15:26" x14ac:dyDescent="0.25">
      <c r="O1579"/>
      <c r="P1579"/>
      <c r="Q1579"/>
      <c r="W1579" t="str">
        <f>IF(B1579="","",_xll.BDP(B1579,"INDUSTRY_SECTOR"))</f>
        <v/>
      </c>
      <c r="X1579" t="str">
        <f>IF($B1579="","",_xll.BDP($B1579,"INDUSTRY_GROUP"))</f>
        <v/>
      </c>
      <c r="Y1579" t="str">
        <f>IF($B1579="","",_xll.BDP($B1579,"INDUSTRY_SUBGROUP"))</f>
        <v/>
      </c>
      <c r="Z1579" t="str">
        <f>IF($B1579="","",_xll.BDP($B1579,"COUNTRY_FULL_NAME"))</f>
        <v/>
      </c>
    </row>
    <row r="1580" spans="15:26" x14ac:dyDescent="0.25">
      <c r="O1580"/>
      <c r="P1580"/>
      <c r="Q1580"/>
      <c r="W1580" t="str">
        <f>IF(B1580="","",_xll.BDP(B1580,"INDUSTRY_SECTOR"))</f>
        <v/>
      </c>
      <c r="X1580" t="str">
        <f>IF($B1580="","",_xll.BDP($B1580,"INDUSTRY_GROUP"))</f>
        <v/>
      </c>
      <c r="Y1580" t="str">
        <f>IF($B1580="","",_xll.BDP($B1580,"INDUSTRY_SUBGROUP"))</f>
        <v/>
      </c>
      <c r="Z1580" t="str">
        <f>IF($B1580="","",_xll.BDP($B1580,"COUNTRY_FULL_NAME"))</f>
        <v/>
      </c>
    </row>
    <row r="1581" spans="15:26" x14ac:dyDescent="0.25">
      <c r="O1581"/>
      <c r="P1581"/>
      <c r="Q1581"/>
      <c r="W1581" t="str">
        <f>IF(B1581="","",_xll.BDP(B1581,"INDUSTRY_SECTOR"))</f>
        <v/>
      </c>
      <c r="X1581" t="str">
        <f>IF($B1581="","",_xll.BDP($B1581,"INDUSTRY_GROUP"))</f>
        <v/>
      </c>
      <c r="Y1581" t="str">
        <f>IF($B1581="","",_xll.BDP($B1581,"INDUSTRY_SUBGROUP"))</f>
        <v/>
      </c>
      <c r="Z1581" t="str">
        <f>IF($B1581="","",_xll.BDP($B1581,"COUNTRY_FULL_NAME"))</f>
        <v/>
      </c>
    </row>
    <row r="1582" spans="15:26" x14ac:dyDescent="0.25">
      <c r="O1582"/>
      <c r="P1582"/>
      <c r="Q1582"/>
      <c r="W1582" t="str">
        <f>IF(B1582="","",_xll.BDP(B1582,"INDUSTRY_SECTOR"))</f>
        <v/>
      </c>
      <c r="X1582" t="str">
        <f>IF($B1582="","",_xll.BDP($B1582,"INDUSTRY_GROUP"))</f>
        <v/>
      </c>
      <c r="Y1582" t="str">
        <f>IF($B1582="","",_xll.BDP($B1582,"INDUSTRY_SUBGROUP"))</f>
        <v/>
      </c>
      <c r="Z1582" t="str">
        <f>IF($B1582="","",_xll.BDP($B1582,"COUNTRY_FULL_NAME"))</f>
        <v/>
      </c>
    </row>
    <row r="1583" spans="15:26" x14ac:dyDescent="0.25">
      <c r="O1583"/>
      <c r="P1583"/>
      <c r="W1583" t="str">
        <f>IF(B1583="","",_xll.BDP(B1583,"INDUSTRY_SECTOR"))</f>
        <v/>
      </c>
      <c r="X1583" t="str">
        <f>IF($B1583="","",_xll.BDP($B1583,"INDUSTRY_GROUP"))</f>
        <v/>
      </c>
      <c r="Y1583" t="str">
        <f>IF($B1583="","",_xll.BDP($B1583,"INDUSTRY_SUBGROUP"))</f>
        <v/>
      </c>
      <c r="Z1583" t="str">
        <f>IF($B1583="","",_xll.BDP($B1583,"COUNTRY_FULL_NAME"))</f>
        <v/>
      </c>
    </row>
    <row r="1584" spans="15:26" x14ac:dyDescent="0.25">
      <c r="O1584"/>
      <c r="P1584"/>
      <c r="Q1584"/>
      <c r="W1584" t="str">
        <f>IF(B1584="","",_xll.BDP(B1584,"INDUSTRY_SECTOR"))</f>
        <v/>
      </c>
      <c r="X1584" t="str">
        <f>IF($B1584="","",_xll.BDP($B1584,"INDUSTRY_GROUP"))</f>
        <v/>
      </c>
      <c r="Y1584" t="str">
        <f>IF($B1584="","",_xll.BDP($B1584,"INDUSTRY_SUBGROUP"))</f>
        <v/>
      </c>
      <c r="Z1584" t="str">
        <f>IF($B1584="","",_xll.BDP($B1584,"COUNTRY_FULL_NAME"))</f>
        <v/>
      </c>
    </row>
    <row r="1585" spans="15:26" x14ac:dyDescent="0.25">
      <c r="O1585"/>
      <c r="P1585"/>
      <c r="Q1585"/>
      <c r="W1585" t="str">
        <f>IF(B1585="","",_xll.BDP(B1585,"INDUSTRY_SECTOR"))</f>
        <v/>
      </c>
      <c r="X1585" t="str">
        <f>IF($B1585="","",_xll.BDP($B1585,"INDUSTRY_GROUP"))</f>
        <v/>
      </c>
      <c r="Y1585" t="str">
        <f>IF($B1585="","",_xll.BDP($B1585,"INDUSTRY_SUBGROUP"))</f>
        <v/>
      </c>
      <c r="Z1585" t="str">
        <f>IF($B1585="","",_xll.BDP($B1585,"COUNTRY_FULL_NAME"))</f>
        <v/>
      </c>
    </row>
    <row r="1586" spans="15:26" x14ac:dyDescent="0.25">
      <c r="O1586"/>
      <c r="P1586"/>
      <c r="Q1586"/>
      <c r="W1586" t="str">
        <f>IF(B1586="","",_xll.BDP(B1586,"INDUSTRY_SECTOR"))</f>
        <v/>
      </c>
      <c r="X1586" t="str">
        <f>IF($B1586="","",_xll.BDP($B1586,"INDUSTRY_GROUP"))</f>
        <v/>
      </c>
      <c r="Y1586" t="str">
        <f>IF($B1586="","",_xll.BDP($B1586,"INDUSTRY_SUBGROUP"))</f>
        <v/>
      </c>
      <c r="Z1586" t="str">
        <f>IF($B1586="","",_xll.BDP($B1586,"COUNTRY_FULL_NAME"))</f>
        <v/>
      </c>
    </row>
    <row r="1587" spans="15:26" x14ac:dyDescent="0.25">
      <c r="O1587"/>
      <c r="P1587"/>
      <c r="Q1587"/>
      <c r="W1587" t="str">
        <f>IF(B1587="","",_xll.BDP(B1587,"INDUSTRY_SECTOR"))</f>
        <v/>
      </c>
      <c r="X1587" t="str">
        <f>IF($B1587="","",_xll.BDP($B1587,"INDUSTRY_GROUP"))</f>
        <v/>
      </c>
      <c r="Y1587" t="str">
        <f>IF($B1587="","",_xll.BDP($B1587,"INDUSTRY_SUBGROUP"))</f>
        <v/>
      </c>
      <c r="Z1587" t="str">
        <f>IF($B1587="","",_xll.BDP($B1587,"COUNTRY_FULL_NAME"))</f>
        <v/>
      </c>
    </row>
    <row r="1588" spans="15:26" x14ac:dyDescent="0.25">
      <c r="O1588"/>
      <c r="P1588"/>
      <c r="Q1588"/>
      <c r="W1588" t="str">
        <f>IF(B1588="","",_xll.BDP(B1588,"INDUSTRY_SECTOR"))</f>
        <v/>
      </c>
      <c r="X1588" t="str">
        <f>IF($B1588="","",_xll.BDP($B1588,"INDUSTRY_GROUP"))</f>
        <v/>
      </c>
      <c r="Y1588" t="str">
        <f>IF($B1588="","",_xll.BDP($B1588,"INDUSTRY_SUBGROUP"))</f>
        <v/>
      </c>
      <c r="Z1588" t="str">
        <f>IF($B1588="","",_xll.BDP($B1588,"COUNTRY_FULL_NAME"))</f>
        <v/>
      </c>
    </row>
    <row r="1589" spans="15:26" x14ac:dyDescent="0.25">
      <c r="O1589"/>
      <c r="P1589"/>
      <c r="Q1589"/>
      <c r="W1589" t="str">
        <f>IF(B1589="","",_xll.BDP(B1589,"INDUSTRY_SECTOR"))</f>
        <v/>
      </c>
      <c r="X1589" t="str">
        <f>IF($B1589="","",_xll.BDP($B1589,"INDUSTRY_GROUP"))</f>
        <v/>
      </c>
      <c r="Y1589" t="str">
        <f>IF($B1589="","",_xll.BDP($B1589,"INDUSTRY_SUBGROUP"))</f>
        <v/>
      </c>
      <c r="Z1589" t="str">
        <f>IF($B1589="","",_xll.BDP($B1589,"COUNTRY_FULL_NAME"))</f>
        <v/>
      </c>
    </row>
    <row r="1590" spans="15:26" x14ac:dyDescent="0.25">
      <c r="O1590"/>
      <c r="P1590"/>
      <c r="Q1590"/>
      <c r="W1590" t="str">
        <f>IF(B1590="","",_xll.BDP(B1590,"INDUSTRY_SECTOR"))</f>
        <v/>
      </c>
      <c r="X1590" t="str">
        <f>IF($B1590="","",_xll.BDP($B1590,"INDUSTRY_GROUP"))</f>
        <v/>
      </c>
      <c r="Y1590" t="str">
        <f>IF($B1590="","",_xll.BDP($B1590,"INDUSTRY_SUBGROUP"))</f>
        <v/>
      </c>
      <c r="Z1590" t="str">
        <f>IF($B1590="","",_xll.BDP($B1590,"COUNTRY_FULL_NAME"))</f>
        <v/>
      </c>
    </row>
    <row r="1591" spans="15:26" x14ac:dyDescent="0.25">
      <c r="O1591"/>
      <c r="P1591"/>
      <c r="Q1591"/>
      <c r="W1591" t="str">
        <f>IF(B1591="","",_xll.BDP(B1591,"INDUSTRY_SECTOR"))</f>
        <v/>
      </c>
      <c r="X1591" t="str">
        <f>IF($B1591="","",_xll.BDP($B1591,"INDUSTRY_GROUP"))</f>
        <v/>
      </c>
      <c r="Y1591" t="str">
        <f>IF($B1591="","",_xll.BDP($B1591,"INDUSTRY_SUBGROUP"))</f>
        <v/>
      </c>
      <c r="Z1591" t="str">
        <f>IF($B1591="","",_xll.BDP($B1591,"COUNTRY_FULL_NAME"))</f>
        <v/>
      </c>
    </row>
    <row r="1592" spans="15:26" x14ac:dyDescent="0.25">
      <c r="O1592"/>
      <c r="P1592"/>
      <c r="Q1592"/>
      <c r="W1592" t="str">
        <f>IF(B1592="","",_xll.BDP(B1592,"INDUSTRY_SECTOR"))</f>
        <v/>
      </c>
      <c r="X1592" t="str">
        <f>IF($B1592="","",_xll.BDP($B1592,"INDUSTRY_GROUP"))</f>
        <v/>
      </c>
      <c r="Y1592" t="str">
        <f>IF($B1592="","",_xll.BDP($B1592,"INDUSTRY_SUBGROUP"))</f>
        <v/>
      </c>
      <c r="Z1592" t="str">
        <f>IF($B1592="","",_xll.BDP($B1592,"COUNTRY_FULL_NAME"))</f>
        <v/>
      </c>
    </row>
    <row r="1593" spans="15:26" x14ac:dyDescent="0.25">
      <c r="O1593"/>
      <c r="P1593"/>
      <c r="Q1593"/>
      <c r="W1593" t="str">
        <f>IF(B1593="","",_xll.BDP(B1593,"INDUSTRY_SECTOR"))</f>
        <v/>
      </c>
      <c r="X1593" t="str">
        <f>IF($B1593="","",_xll.BDP($B1593,"INDUSTRY_GROUP"))</f>
        <v/>
      </c>
      <c r="Y1593" t="str">
        <f>IF($B1593="","",_xll.BDP($B1593,"INDUSTRY_SUBGROUP"))</f>
        <v/>
      </c>
      <c r="Z1593" t="str">
        <f>IF($B1593="","",_xll.BDP($B1593,"COUNTRY_FULL_NAME"))</f>
        <v/>
      </c>
    </row>
    <row r="1594" spans="15:26" x14ac:dyDescent="0.25">
      <c r="O1594"/>
      <c r="P1594"/>
      <c r="Q1594"/>
      <c r="W1594" t="str">
        <f>IF(B1594="","",_xll.BDP(B1594,"INDUSTRY_SECTOR"))</f>
        <v/>
      </c>
      <c r="X1594" t="str">
        <f>IF($B1594="","",_xll.BDP($B1594,"INDUSTRY_GROUP"))</f>
        <v/>
      </c>
      <c r="Y1594" t="str">
        <f>IF($B1594="","",_xll.BDP($B1594,"INDUSTRY_SUBGROUP"))</f>
        <v/>
      </c>
      <c r="Z1594" t="str">
        <f>IF($B1594="","",_xll.BDP($B1594,"COUNTRY_FULL_NAME"))</f>
        <v/>
      </c>
    </row>
    <row r="1595" spans="15:26" x14ac:dyDescent="0.25">
      <c r="O1595"/>
      <c r="P1595"/>
      <c r="Q1595"/>
      <c r="W1595" t="str">
        <f>IF(B1595="","",_xll.BDP(B1595,"INDUSTRY_SECTOR"))</f>
        <v/>
      </c>
      <c r="X1595" t="str">
        <f>IF($B1595="","",_xll.BDP($B1595,"INDUSTRY_GROUP"))</f>
        <v/>
      </c>
      <c r="Y1595" t="str">
        <f>IF($B1595="","",_xll.BDP($B1595,"INDUSTRY_SUBGROUP"))</f>
        <v/>
      </c>
      <c r="Z1595" t="str">
        <f>IF($B1595="","",_xll.BDP($B1595,"COUNTRY_FULL_NAME"))</f>
        <v/>
      </c>
    </row>
    <row r="1596" spans="15:26" x14ac:dyDescent="0.25">
      <c r="O1596"/>
      <c r="P1596"/>
      <c r="Q1596"/>
      <c r="W1596" t="str">
        <f>IF(B1596="","",_xll.BDP(B1596,"INDUSTRY_SECTOR"))</f>
        <v/>
      </c>
      <c r="X1596" t="str">
        <f>IF($B1596="","",_xll.BDP($B1596,"INDUSTRY_GROUP"))</f>
        <v/>
      </c>
      <c r="Y1596" t="str">
        <f>IF($B1596="","",_xll.BDP($B1596,"INDUSTRY_SUBGROUP"))</f>
        <v/>
      </c>
      <c r="Z1596" t="str">
        <f>IF($B1596="","",_xll.BDP($B1596,"COUNTRY_FULL_NAME"))</f>
        <v/>
      </c>
    </row>
    <row r="1597" spans="15:26" x14ac:dyDescent="0.25">
      <c r="O1597"/>
      <c r="P1597"/>
      <c r="Q1597"/>
      <c r="W1597" t="str">
        <f>IF(B1597="","",_xll.BDP(B1597,"INDUSTRY_SECTOR"))</f>
        <v/>
      </c>
      <c r="X1597" t="str">
        <f>IF($B1597="","",_xll.BDP($B1597,"INDUSTRY_GROUP"))</f>
        <v/>
      </c>
      <c r="Y1597" t="str">
        <f>IF($B1597="","",_xll.BDP($B1597,"INDUSTRY_SUBGROUP"))</f>
        <v/>
      </c>
      <c r="Z1597" t="str">
        <f>IF($B1597="","",_xll.BDP($B1597,"COUNTRY_FULL_NAME"))</f>
        <v/>
      </c>
    </row>
    <row r="1598" spans="15:26" x14ac:dyDescent="0.25">
      <c r="O1598"/>
      <c r="P1598"/>
      <c r="Q1598"/>
      <c r="W1598" t="str">
        <f>IF(B1598="","",_xll.BDP(B1598,"INDUSTRY_SECTOR"))</f>
        <v/>
      </c>
      <c r="X1598" t="str">
        <f>IF($B1598="","",_xll.BDP($B1598,"INDUSTRY_GROUP"))</f>
        <v/>
      </c>
      <c r="Y1598" t="str">
        <f>IF($B1598="","",_xll.BDP($B1598,"INDUSTRY_SUBGROUP"))</f>
        <v/>
      </c>
      <c r="Z1598" t="str">
        <f>IF($B1598="","",_xll.BDP($B1598,"COUNTRY_FULL_NAME"))</f>
        <v/>
      </c>
    </row>
    <row r="1599" spans="15:26" x14ac:dyDescent="0.25">
      <c r="O1599"/>
      <c r="P1599"/>
      <c r="Q1599"/>
      <c r="W1599" t="str">
        <f>IF(B1599="","",_xll.BDP(B1599,"INDUSTRY_SECTOR"))</f>
        <v/>
      </c>
      <c r="X1599" t="str">
        <f>IF($B1599="","",_xll.BDP($B1599,"INDUSTRY_GROUP"))</f>
        <v/>
      </c>
      <c r="Y1599" t="str">
        <f>IF($B1599="","",_xll.BDP($B1599,"INDUSTRY_SUBGROUP"))</f>
        <v/>
      </c>
      <c r="Z1599" t="str">
        <f>IF($B1599="","",_xll.BDP($B1599,"COUNTRY_FULL_NAME"))</f>
        <v/>
      </c>
    </row>
    <row r="1600" spans="15:26" x14ac:dyDescent="0.25">
      <c r="O1600"/>
      <c r="P1600"/>
      <c r="Q1600"/>
      <c r="W1600" t="str">
        <f>IF(B1600="","",_xll.BDP(B1600,"INDUSTRY_SECTOR"))</f>
        <v/>
      </c>
      <c r="X1600" t="str">
        <f>IF($B1600="","",_xll.BDP($B1600,"INDUSTRY_GROUP"))</f>
        <v/>
      </c>
      <c r="Y1600" t="str">
        <f>IF($B1600="","",_xll.BDP($B1600,"INDUSTRY_SUBGROUP"))</f>
        <v/>
      </c>
      <c r="Z1600" t="str">
        <f>IF($B1600="","",_xll.BDP($B1600,"COUNTRY_FULL_NAME"))</f>
        <v/>
      </c>
    </row>
    <row r="1601" spans="15:26" x14ac:dyDescent="0.25">
      <c r="O1601"/>
      <c r="P1601"/>
      <c r="Q1601"/>
      <c r="W1601" t="str">
        <f>IF(B1601="","",_xll.BDP(B1601,"INDUSTRY_SECTOR"))</f>
        <v/>
      </c>
      <c r="X1601" t="str">
        <f>IF($B1601="","",_xll.BDP($B1601,"INDUSTRY_GROUP"))</f>
        <v/>
      </c>
      <c r="Y1601" t="str">
        <f>IF($B1601="","",_xll.BDP($B1601,"INDUSTRY_SUBGROUP"))</f>
        <v/>
      </c>
      <c r="Z1601" t="str">
        <f>IF($B1601="","",_xll.BDP($B1601,"COUNTRY_FULL_NAME"))</f>
        <v/>
      </c>
    </row>
    <row r="1602" spans="15:26" x14ac:dyDescent="0.25">
      <c r="O1602"/>
      <c r="P1602"/>
      <c r="Q1602"/>
      <c r="W1602" t="str">
        <f>IF(B1602="","",_xll.BDP(B1602,"INDUSTRY_SECTOR"))</f>
        <v/>
      </c>
      <c r="X1602" t="str">
        <f>IF($B1602="","",_xll.BDP($B1602,"INDUSTRY_GROUP"))</f>
        <v/>
      </c>
      <c r="Y1602" t="str">
        <f>IF($B1602="","",_xll.BDP($B1602,"INDUSTRY_SUBGROUP"))</f>
        <v/>
      </c>
      <c r="Z1602" t="str">
        <f>IF($B1602="","",_xll.BDP($B1602,"COUNTRY_FULL_NAME"))</f>
        <v/>
      </c>
    </row>
    <row r="1603" spans="15:26" x14ac:dyDescent="0.25">
      <c r="O1603"/>
      <c r="P1603"/>
      <c r="Q1603"/>
      <c r="W1603" t="str">
        <f>IF(B1603="","",_xll.BDP(B1603,"INDUSTRY_SECTOR"))</f>
        <v/>
      </c>
      <c r="X1603" t="str">
        <f>IF($B1603="","",_xll.BDP($B1603,"INDUSTRY_GROUP"))</f>
        <v/>
      </c>
      <c r="Y1603" t="str">
        <f>IF($B1603="","",_xll.BDP($B1603,"INDUSTRY_SUBGROUP"))</f>
        <v/>
      </c>
      <c r="Z1603" t="str">
        <f>IF($B1603="","",_xll.BDP($B1603,"COUNTRY_FULL_NAME"))</f>
        <v/>
      </c>
    </row>
    <row r="1604" spans="15:26" x14ac:dyDescent="0.25">
      <c r="O1604"/>
      <c r="P1604"/>
      <c r="Q1604"/>
      <c r="W1604" t="str">
        <f>IF(B1604="","",_xll.BDP(B1604,"INDUSTRY_SECTOR"))</f>
        <v/>
      </c>
      <c r="X1604" t="str">
        <f>IF($B1604="","",_xll.BDP($B1604,"INDUSTRY_GROUP"))</f>
        <v/>
      </c>
      <c r="Y1604" t="str">
        <f>IF($B1604="","",_xll.BDP($B1604,"INDUSTRY_SUBGROUP"))</f>
        <v/>
      </c>
      <c r="Z1604" t="str">
        <f>IF($B1604="","",_xll.BDP($B1604,"COUNTRY_FULL_NAME"))</f>
        <v/>
      </c>
    </row>
    <row r="1605" spans="15:26" x14ac:dyDescent="0.25">
      <c r="O1605"/>
      <c r="P1605"/>
      <c r="W1605" t="str">
        <f>IF(B1605="","",_xll.BDP(B1605,"INDUSTRY_SECTOR"))</f>
        <v/>
      </c>
      <c r="X1605" t="str">
        <f>IF($B1605="","",_xll.BDP($B1605,"INDUSTRY_GROUP"))</f>
        <v/>
      </c>
      <c r="Y1605" t="str">
        <f>IF($B1605="","",_xll.BDP($B1605,"INDUSTRY_SUBGROUP"))</f>
        <v/>
      </c>
      <c r="Z1605" t="str">
        <f>IF($B1605="","",_xll.BDP($B1605,"COUNTRY_FULL_NAME"))</f>
        <v/>
      </c>
    </row>
    <row r="1606" spans="15:26" x14ac:dyDescent="0.25">
      <c r="O1606"/>
      <c r="P1606"/>
      <c r="Q1606"/>
      <c r="W1606" t="str">
        <f>IF(B1606="","",_xll.BDP(B1606,"INDUSTRY_SECTOR"))</f>
        <v/>
      </c>
      <c r="X1606" t="str">
        <f>IF($B1606="","",_xll.BDP($B1606,"INDUSTRY_GROUP"))</f>
        <v/>
      </c>
      <c r="Y1606" t="str">
        <f>IF($B1606="","",_xll.BDP($B1606,"INDUSTRY_SUBGROUP"))</f>
        <v/>
      </c>
      <c r="Z1606" t="str">
        <f>IF($B1606="","",_xll.BDP($B1606,"COUNTRY_FULL_NAME"))</f>
        <v/>
      </c>
    </row>
    <row r="1607" spans="15:26" x14ac:dyDescent="0.25">
      <c r="O1607"/>
      <c r="P1607"/>
      <c r="Q1607"/>
      <c r="W1607" t="str">
        <f>IF(B1607="","",_xll.BDP(B1607,"INDUSTRY_SECTOR"))</f>
        <v/>
      </c>
      <c r="X1607" t="str">
        <f>IF($B1607="","",_xll.BDP($B1607,"INDUSTRY_GROUP"))</f>
        <v/>
      </c>
      <c r="Y1607" t="str">
        <f>IF($B1607="","",_xll.BDP($B1607,"INDUSTRY_SUBGROUP"))</f>
        <v/>
      </c>
      <c r="Z1607" t="str">
        <f>IF($B1607="","",_xll.BDP($B1607,"COUNTRY_FULL_NAME"))</f>
        <v/>
      </c>
    </row>
    <row r="1608" spans="15:26" x14ac:dyDescent="0.25">
      <c r="O1608"/>
      <c r="P1608"/>
      <c r="Q1608"/>
      <c r="W1608" t="str">
        <f>IF(B1608="","",_xll.BDP(B1608,"INDUSTRY_SECTOR"))</f>
        <v/>
      </c>
      <c r="X1608" t="str">
        <f>IF($B1608="","",_xll.BDP($B1608,"INDUSTRY_GROUP"))</f>
        <v/>
      </c>
      <c r="Y1608" t="str">
        <f>IF($B1608="","",_xll.BDP($B1608,"INDUSTRY_SUBGROUP"))</f>
        <v/>
      </c>
      <c r="Z1608" t="str">
        <f>IF($B1608="","",_xll.BDP($B1608,"COUNTRY_FULL_NAME"))</f>
        <v/>
      </c>
    </row>
    <row r="1609" spans="15:26" x14ac:dyDescent="0.25">
      <c r="O1609"/>
      <c r="P1609"/>
      <c r="Q1609"/>
      <c r="W1609" t="str">
        <f>IF(B1609="","",_xll.BDP(B1609,"INDUSTRY_SECTOR"))</f>
        <v/>
      </c>
      <c r="X1609" t="str">
        <f>IF($B1609="","",_xll.BDP($B1609,"INDUSTRY_GROUP"))</f>
        <v/>
      </c>
      <c r="Y1609" t="str">
        <f>IF($B1609="","",_xll.BDP($B1609,"INDUSTRY_SUBGROUP"))</f>
        <v/>
      </c>
      <c r="Z1609" t="str">
        <f>IF($B1609="","",_xll.BDP($B1609,"COUNTRY_FULL_NAME"))</f>
        <v/>
      </c>
    </row>
    <row r="1610" spans="15:26" x14ac:dyDescent="0.25">
      <c r="O1610"/>
      <c r="P1610"/>
      <c r="Q1610"/>
      <c r="W1610" t="str">
        <f>IF(B1610="","",_xll.BDP(B1610,"INDUSTRY_SECTOR"))</f>
        <v/>
      </c>
      <c r="X1610" t="str">
        <f>IF($B1610="","",_xll.BDP($B1610,"INDUSTRY_GROUP"))</f>
        <v/>
      </c>
      <c r="Y1610" t="str">
        <f>IF($B1610="","",_xll.BDP($B1610,"INDUSTRY_SUBGROUP"))</f>
        <v/>
      </c>
      <c r="Z1610" t="str">
        <f>IF($B1610="","",_xll.BDP($B1610,"COUNTRY_FULL_NAME"))</f>
        <v/>
      </c>
    </row>
    <row r="1611" spans="15:26" x14ac:dyDescent="0.25">
      <c r="O1611"/>
      <c r="P1611"/>
      <c r="Q1611"/>
      <c r="W1611" t="str">
        <f>IF(B1611="","",_xll.BDP(B1611,"INDUSTRY_SECTOR"))</f>
        <v/>
      </c>
      <c r="X1611" t="str">
        <f>IF($B1611="","",_xll.BDP($B1611,"INDUSTRY_GROUP"))</f>
        <v/>
      </c>
      <c r="Y1611" t="str">
        <f>IF($B1611="","",_xll.BDP($B1611,"INDUSTRY_SUBGROUP"))</f>
        <v/>
      </c>
      <c r="Z1611" t="str">
        <f>IF($B1611="","",_xll.BDP($B1611,"COUNTRY_FULL_NAME"))</f>
        <v/>
      </c>
    </row>
    <row r="1612" spans="15:26" x14ac:dyDescent="0.25">
      <c r="O1612"/>
      <c r="P1612"/>
      <c r="Q1612"/>
      <c r="W1612" t="str">
        <f>IF(B1612="","",_xll.BDP(B1612,"INDUSTRY_SECTOR"))</f>
        <v/>
      </c>
      <c r="X1612" t="str">
        <f>IF($B1612="","",_xll.BDP($B1612,"INDUSTRY_GROUP"))</f>
        <v/>
      </c>
      <c r="Y1612" t="str">
        <f>IF($B1612="","",_xll.BDP($B1612,"INDUSTRY_SUBGROUP"))</f>
        <v/>
      </c>
      <c r="Z1612" t="str">
        <f>IF($B1612="","",_xll.BDP($B1612,"COUNTRY_FULL_NAME"))</f>
        <v/>
      </c>
    </row>
    <row r="1613" spans="15:26" x14ac:dyDescent="0.25">
      <c r="O1613"/>
      <c r="P1613"/>
      <c r="Q1613"/>
      <c r="W1613" t="str">
        <f>IF(B1613="","",_xll.BDP(B1613,"INDUSTRY_SECTOR"))</f>
        <v/>
      </c>
      <c r="X1613" t="str">
        <f>IF($B1613="","",_xll.BDP($B1613,"INDUSTRY_GROUP"))</f>
        <v/>
      </c>
      <c r="Y1613" t="str">
        <f>IF($B1613="","",_xll.BDP($B1613,"INDUSTRY_SUBGROUP"))</f>
        <v/>
      </c>
      <c r="Z1613" t="str">
        <f>IF($B1613="","",_xll.BDP($B1613,"COUNTRY_FULL_NAME"))</f>
        <v/>
      </c>
    </row>
    <row r="1614" spans="15:26" x14ac:dyDescent="0.25">
      <c r="O1614"/>
      <c r="P1614"/>
      <c r="Q1614"/>
      <c r="W1614" t="str">
        <f>IF(B1614="","",_xll.BDP(B1614,"INDUSTRY_SECTOR"))</f>
        <v/>
      </c>
      <c r="X1614" t="str">
        <f>IF($B1614="","",_xll.BDP($B1614,"INDUSTRY_GROUP"))</f>
        <v/>
      </c>
      <c r="Y1614" t="str">
        <f>IF($B1614="","",_xll.BDP($B1614,"INDUSTRY_SUBGROUP"))</f>
        <v/>
      </c>
      <c r="Z1614" t="str">
        <f>IF($B1614="","",_xll.BDP($B1614,"COUNTRY_FULL_NAME"))</f>
        <v/>
      </c>
    </row>
    <row r="1615" spans="15:26" x14ac:dyDescent="0.25">
      <c r="O1615"/>
      <c r="P1615"/>
      <c r="Q1615"/>
      <c r="W1615" t="str">
        <f>IF(B1615="","",_xll.BDP(B1615,"INDUSTRY_SECTOR"))</f>
        <v/>
      </c>
      <c r="X1615" t="str">
        <f>IF($B1615="","",_xll.BDP($B1615,"INDUSTRY_GROUP"))</f>
        <v/>
      </c>
      <c r="Y1615" t="str">
        <f>IF($B1615="","",_xll.BDP($B1615,"INDUSTRY_SUBGROUP"))</f>
        <v/>
      </c>
      <c r="Z1615" t="str">
        <f>IF($B1615="","",_xll.BDP($B1615,"COUNTRY_FULL_NAME"))</f>
        <v/>
      </c>
    </row>
    <row r="1616" spans="15:26" x14ac:dyDescent="0.25">
      <c r="O1616"/>
      <c r="P1616"/>
      <c r="Q1616"/>
      <c r="W1616" t="str">
        <f>IF(B1616="","",_xll.BDP(B1616,"INDUSTRY_SECTOR"))</f>
        <v/>
      </c>
      <c r="X1616" t="str">
        <f>IF($B1616="","",_xll.BDP($B1616,"INDUSTRY_GROUP"))</f>
        <v/>
      </c>
      <c r="Y1616" t="str">
        <f>IF($B1616="","",_xll.BDP($B1616,"INDUSTRY_SUBGROUP"))</f>
        <v/>
      </c>
      <c r="Z1616" t="str">
        <f>IF($B1616="","",_xll.BDP($B1616,"COUNTRY_FULL_NAME"))</f>
        <v/>
      </c>
    </row>
    <row r="1617" spans="15:26" x14ac:dyDescent="0.25">
      <c r="O1617"/>
      <c r="P1617"/>
      <c r="Q1617"/>
      <c r="W1617" t="str">
        <f>IF(B1617="","",_xll.BDP(B1617,"INDUSTRY_SECTOR"))</f>
        <v/>
      </c>
      <c r="X1617" t="str">
        <f>IF($B1617="","",_xll.BDP($B1617,"INDUSTRY_GROUP"))</f>
        <v/>
      </c>
      <c r="Y1617" t="str">
        <f>IF($B1617="","",_xll.BDP($B1617,"INDUSTRY_SUBGROUP"))</f>
        <v/>
      </c>
      <c r="Z1617" t="str">
        <f>IF($B1617="","",_xll.BDP($B1617,"COUNTRY_FULL_NAME"))</f>
        <v/>
      </c>
    </row>
    <row r="1618" spans="15:26" x14ac:dyDescent="0.25">
      <c r="O1618"/>
      <c r="P1618"/>
      <c r="Q1618"/>
      <c r="W1618" t="str">
        <f>IF(B1618="","",_xll.BDP(B1618,"INDUSTRY_SECTOR"))</f>
        <v/>
      </c>
      <c r="X1618" t="str">
        <f>IF($B1618="","",_xll.BDP($B1618,"INDUSTRY_GROUP"))</f>
        <v/>
      </c>
      <c r="Y1618" t="str">
        <f>IF($B1618="","",_xll.BDP($B1618,"INDUSTRY_SUBGROUP"))</f>
        <v/>
      </c>
      <c r="Z1618" t="str">
        <f>IF($B1618="","",_xll.BDP($B1618,"COUNTRY_FULL_NAME"))</f>
        <v/>
      </c>
    </row>
    <row r="1619" spans="15:26" x14ac:dyDescent="0.25">
      <c r="O1619"/>
      <c r="P1619"/>
      <c r="W1619" t="str">
        <f>IF(B1619="","",_xll.BDP(B1619,"INDUSTRY_SECTOR"))</f>
        <v/>
      </c>
      <c r="X1619" t="str">
        <f>IF($B1619="","",_xll.BDP($B1619,"INDUSTRY_GROUP"))</f>
        <v/>
      </c>
      <c r="Y1619" t="str">
        <f>IF($B1619="","",_xll.BDP($B1619,"INDUSTRY_SUBGROUP"))</f>
        <v/>
      </c>
      <c r="Z1619" t="str">
        <f>IF($B1619="","",_xll.BDP($B1619,"COUNTRY_FULL_NAME"))</f>
        <v/>
      </c>
    </row>
    <row r="1620" spans="15:26" x14ac:dyDescent="0.25">
      <c r="O1620"/>
      <c r="P1620"/>
      <c r="Q1620"/>
      <c r="W1620" t="str">
        <f>IF(B1620="","",_xll.BDP(B1620,"INDUSTRY_SECTOR"))</f>
        <v/>
      </c>
      <c r="X1620" t="str">
        <f>IF($B1620="","",_xll.BDP($B1620,"INDUSTRY_GROUP"))</f>
        <v/>
      </c>
      <c r="Y1620" t="str">
        <f>IF($B1620="","",_xll.BDP($B1620,"INDUSTRY_SUBGROUP"))</f>
        <v/>
      </c>
      <c r="Z1620" t="str">
        <f>IF($B1620="","",_xll.BDP($B1620,"COUNTRY_FULL_NAME"))</f>
        <v/>
      </c>
    </row>
    <row r="1621" spans="15:26" x14ac:dyDescent="0.25">
      <c r="O1621"/>
      <c r="P1621"/>
      <c r="Q1621"/>
      <c r="W1621" t="str">
        <f>IF(B1621="","",_xll.BDP(B1621,"INDUSTRY_SECTOR"))</f>
        <v/>
      </c>
      <c r="X1621" t="str">
        <f>IF($B1621="","",_xll.BDP($B1621,"INDUSTRY_GROUP"))</f>
        <v/>
      </c>
      <c r="Y1621" t="str">
        <f>IF($B1621="","",_xll.BDP($B1621,"INDUSTRY_SUBGROUP"))</f>
        <v/>
      </c>
      <c r="Z1621" t="str">
        <f>IF($B1621="","",_xll.BDP($B1621,"COUNTRY_FULL_NAME"))</f>
        <v/>
      </c>
    </row>
    <row r="1622" spans="15:26" x14ac:dyDescent="0.25">
      <c r="O1622"/>
      <c r="P1622"/>
      <c r="Q1622"/>
      <c r="W1622" t="str">
        <f>IF(B1622="","",_xll.BDP(B1622,"INDUSTRY_SECTOR"))</f>
        <v/>
      </c>
      <c r="X1622" t="str">
        <f>IF($B1622="","",_xll.BDP($B1622,"INDUSTRY_GROUP"))</f>
        <v/>
      </c>
      <c r="Y1622" t="str">
        <f>IF($B1622="","",_xll.BDP($B1622,"INDUSTRY_SUBGROUP"))</f>
        <v/>
      </c>
      <c r="Z1622" t="str">
        <f>IF($B1622="","",_xll.BDP($B1622,"COUNTRY_FULL_NAME"))</f>
        <v/>
      </c>
    </row>
    <row r="1623" spans="15:26" x14ac:dyDescent="0.25">
      <c r="O1623"/>
      <c r="P1623"/>
      <c r="Q1623"/>
      <c r="W1623" t="str">
        <f>IF(B1623="","",_xll.BDP(B1623,"INDUSTRY_SECTOR"))</f>
        <v/>
      </c>
      <c r="X1623" t="str">
        <f>IF($B1623="","",_xll.BDP($B1623,"INDUSTRY_GROUP"))</f>
        <v/>
      </c>
      <c r="Y1623" t="str">
        <f>IF($B1623="","",_xll.BDP($B1623,"INDUSTRY_SUBGROUP"))</f>
        <v/>
      </c>
      <c r="Z1623" t="str">
        <f>IF($B1623="","",_xll.BDP($B1623,"COUNTRY_FULL_NAME"))</f>
        <v/>
      </c>
    </row>
    <row r="1624" spans="15:26" x14ac:dyDescent="0.25">
      <c r="O1624"/>
      <c r="P1624"/>
      <c r="Q1624"/>
      <c r="W1624" t="str">
        <f>IF(B1624="","",_xll.BDP(B1624,"INDUSTRY_SECTOR"))</f>
        <v/>
      </c>
      <c r="X1624" t="str">
        <f>IF($B1624="","",_xll.BDP($B1624,"INDUSTRY_GROUP"))</f>
        <v/>
      </c>
      <c r="Y1624" t="str">
        <f>IF($B1624="","",_xll.BDP($B1624,"INDUSTRY_SUBGROUP"))</f>
        <v/>
      </c>
      <c r="Z1624" t="str">
        <f>IF($B1624="","",_xll.BDP($B1624,"COUNTRY_FULL_NAME"))</f>
        <v/>
      </c>
    </row>
    <row r="1625" spans="15:26" x14ac:dyDescent="0.25">
      <c r="O1625"/>
      <c r="P1625"/>
      <c r="Q1625"/>
      <c r="W1625" t="str">
        <f>IF(B1625="","",_xll.BDP(B1625,"INDUSTRY_SECTOR"))</f>
        <v/>
      </c>
      <c r="X1625" t="str">
        <f>IF($B1625="","",_xll.BDP($B1625,"INDUSTRY_GROUP"))</f>
        <v/>
      </c>
      <c r="Y1625" t="str">
        <f>IF($B1625="","",_xll.BDP($B1625,"INDUSTRY_SUBGROUP"))</f>
        <v/>
      </c>
      <c r="Z1625" t="str">
        <f>IF($B1625="","",_xll.BDP($B1625,"COUNTRY_FULL_NAME"))</f>
        <v/>
      </c>
    </row>
    <row r="1626" spans="15:26" x14ac:dyDescent="0.25">
      <c r="O1626"/>
      <c r="P1626"/>
      <c r="W1626" t="str">
        <f>IF(B1626="","",_xll.BDP(B1626,"INDUSTRY_SECTOR"))</f>
        <v/>
      </c>
      <c r="X1626" t="str">
        <f>IF($B1626="","",_xll.BDP($B1626,"INDUSTRY_GROUP"))</f>
        <v/>
      </c>
      <c r="Y1626" t="str">
        <f>IF($B1626="","",_xll.BDP($B1626,"INDUSTRY_SUBGROUP"))</f>
        <v/>
      </c>
      <c r="Z1626" t="str">
        <f>IF($B1626="","",_xll.BDP($B1626,"COUNTRY_FULL_NAME"))</f>
        <v/>
      </c>
    </row>
    <row r="1627" spans="15:26" x14ac:dyDescent="0.25">
      <c r="O1627"/>
      <c r="P1627"/>
      <c r="Q1627"/>
      <c r="W1627" t="str">
        <f>IF(B1627="","",_xll.BDP(B1627,"INDUSTRY_SECTOR"))</f>
        <v/>
      </c>
      <c r="X1627" t="str">
        <f>IF($B1627="","",_xll.BDP($B1627,"INDUSTRY_GROUP"))</f>
        <v/>
      </c>
      <c r="Y1627" t="str">
        <f>IF($B1627="","",_xll.BDP($B1627,"INDUSTRY_SUBGROUP"))</f>
        <v/>
      </c>
      <c r="Z1627" t="str">
        <f>IF($B1627="","",_xll.BDP($B1627,"COUNTRY_FULL_NAME"))</f>
        <v/>
      </c>
    </row>
    <row r="1628" spans="15:26" x14ac:dyDescent="0.25">
      <c r="O1628"/>
      <c r="P1628"/>
      <c r="Q1628"/>
      <c r="W1628" t="str">
        <f>IF(B1628="","",_xll.BDP(B1628,"INDUSTRY_SECTOR"))</f>
        <v/>
      </c>
      <c r="X1628" t="str">
        <f>IF($B1628="","",_xll.BDP($B1628,"INDUSTRY_GROUP"))</f>
        <v/>
      </c>
      <c r="Y1628" t="str">
        <f>IF($B1628="","",_xll.BDP($B1628,"INDUSTRY_SUBGROUP"))</f>
        <v/>
      </c>
      <c r="Z1628" t="str">
        <f>IF($B1628="","",_xll.BDP($B1628,"COUNTRY_FULL_NAME"))</f>
        <v/>
      </c>
    </row>
    <row r="1629" spans="15:26" x14ac:dyDescent="0.25">
      <c r="O1629"/>
      <c r="P1629"/>
      <c r="Q1629"/>
      <c r="W1629" t="str">
        <f>IF(B1629="","",_xll.BDP(B1629,"INDUSTRY_SECTOR"))</f>
        <v/>
      </c>
      <c r="X1629" t="str">
        <f>IF($B1629="","",_xll.BDP($B1629,"INDUSTRY_GROUP"))</f>
        <v/>
      </c>
      <c r="Y1629" t="str">
        <f>IF($B1629="","",_xll.BDP($B1629,"INDUSTRY_SUBGROUP"))</f>
        <v/>
      </c>
      <c r="Z1629" t="str">
        <f>IF($B1629="","",_xll.BDP($B1629,"COUNTRY_FULL_NAME"))</f>
        <v/>
      </c>
    </row>
    <row r="1630" spans="15:26" x14ac:dyDescent="0.25">
      <c r="O1630"/>
      <c r="P1630"/>
      <c r="Q1630"/>
      <c r="W1630" t="str">
        <f>IF(B1630="","",_xll.BDP(B1630,"INDUSTRY_SECTOR"))</f>
        <v/>
      </c>
      <c r="X1630" t="str">
        <f>IF($B1630="","",_xll.BDP($B1630,"INDUSTRY_GROUP"))</f>
        <v/>
      </c>
      <c r="Y1630" t="str">
        <f>IF($B1630="","",_xll.BDP($B1630,"INDUSTRY_SUBGROUP"))</f>
        <v/>
      </c>
      <c r="Z1630" t="str">
        <f>IF($B1630="","",_xll.BDP($B1630,"COUNTRY_FULL_NAME"))</f>
        <v/>
      </c>
    </row>
    <row r="1631" spans="15:26" x14ac:dyDescent="0.25">
      <c r="O1631"/>
      <c r="P1631"/>
      <c r="Q1631"/>
      <c r="W1631" t="str">
        <f>IF(B1631="","",_xll.BDP(B1631,"INDUSTRY_SECTOR"))</f>
        <v/>
      </c>
      <c r="X1631" t="str">
        <f>IF($B1631="","",_xll.BDP($B1631,"INDUSTRY_GROUP"))</f>
        <v/>
      </c>
      <c r="Y1631" t="str">
        <f>IF($B1631="","",_xll.BDP($B1631,"INDUSTRY_SUBGROUP"))</f>
        <v/>
      </c>
      <c r="Z1631" t="str">
        <f>IF($B1631="","",_xll.BDP($B1631,"COUNTRY_FULL_NAME"))</f>
        <v/>
      </c>
    </row>
    <row r="1632" spans="15:26" x14ac:dyDescent="0.25">
      <c r="O1632"/>
      <c r="P1632"/>
      <c r="Q1632"/>
      <c r="W1632" t="str">
        <f>IF(B1632="","",_xll.BDP(B1632,"INDUSTRY_SECTOR"))</f>
        <v/>
      </c>
      <c r="X1632" t="str">
        <f>IF($B1632="","",_xll.BDP($B1632,"INDUSTRY_GROUP"))</f>
        <v/>
      </c>
      <c r="Y1632" t="str">
        <f>IF($B1632="","",_xll.BDP($B1632,"INDUSTRY_SUBGROUP"))</f>
        <v/>
      </c>
      <c r="Z1632" t="str">
        <f>IF($B1632="","",_xll.BDP($B1632,"COUNTRY_FULL_NAME"))</f>
        <v/>
      </c>
    </row>
    <row r="1633" spans="15:26" x14ac:dyDescent="0.25">
      <c r="O1633"/>
      <c r="P1633"/>
      <c r="Q1633"/>
      <c r="W1633" t="str">
        <f>IF(B1633="","",_xll.BDP(B1633,"INDUSTRY_SECTOR"))</f>
        <v/>
      </c>
      <c r="X1633" t="str">
        <f>IF($B1633="","",_xll.BDP($B1633,"INDUSTRY_GROUP"))</f>
        <v/>
      </c>
      <c r="Y1633" t="str">
        <f>IF($B1633="","",_xll.BDP($B1633,"INDUSTRY_SUBGROUP"))</f>
        <v/>
      </c>
      <c r="Z1633" t="str">
        <f>IF($B1633="","",_xll.BDP($B1633,"COUNTRY_FULL_NAME"))</f>
        <v/>
      </c>
    </row>
    <row r="1634" spans="15:26" x14ac:dyDescent="0.25">
      <c r="O1634"/>
      <c r="P1634"/>
      <c r="Q1634"/>
      <c r="W1634" t="str">
        <f>IF(B1634="","",_xll.BDP(B1634,"INDUSTRY_SECTOR"))</f>
        <v/>
      </c>
      <c r="X1634" t="str">
        <f>IF($B1634="","",_xll.BDP($B1634,"INDUSTRY_GROUP"))</f>
        <v/>
      </c>
      <c r="Y1634" t="str">
        <f>IF($B1634="","",_xll.BDP($B1634,"INDUSTRY_SUBGROUP"))</f>
        <v/>
      </c>
      <c r="Z1634" t="str">
        <f>IF($B1634="","",_xll.BDP($B1634,"COUNTRY_FULL_NAME"))</f>
        <v/>
      </c>
    </row>
    <row r="1635" spans="15:26" x14ac:dyDescent="0.25">
      <c r="O1635"/>
      <c r="P1635"/>
      <c r="Q1635"/>
      <c r="W1635" t="str">
        <f>IF(B1635="","",_xll.BDP(B1635,"INDUSTRY_SECTOR"))</f>
        <v/>
      </c>
      <c r="X1635" t="str">
        <f>IF($B1635="","",_xll.BDP($B1635,"INDUSTRY_GROUP"))</f>
        <v/>
      </c>
      <c r="Y1635" t="str">
        <f>IF($B1635="","",_xll.BDP($B1635,"INDUSTRY_SUBGROUP"))</f>
        <v/>
      </c>
      <c r="Z1635" t="str">
        <f>IF($B1635="","",_xll.BDP($B1635,"COUNTRY_FULL_NAME"))</f>
        <v/>
      </c>
    </row>
    <row r="1636" spans="15:26" x14ac:dyDescent="0.25">
      <c r="O1636"/>
      <c r="P1636"/>
      <c r="Q1636"/>
      <c r="W1636" t="str">
        <f>IF(B1636="","",_xll.BDP(B1636,"INDUSTRY_SECTOR"))</f>
        <v/>
      </c>
      <c r="X1636" t="str">
        <f>IF($B1636="","",_xll.BDP($B1636,"INDUSTRY_GROUP"))</f>
        <v/>
      </c>
      <c r="Y1636" t="str">
        <f>IF($B1636="","",_xll.BDP($B1636,"INDUSTRY_SUBGROUP"))</f>
        <v/>
      </c>
      <c r="Z1636" t="str">
        <f>IF($B1636="","",_xll.BDP($B1636,"COUNTRY_FULL_NAME"))</f>
        <v/>
      </c>
    </row>
    <row r="1637" spans="15:26" x14ac:dyDescent="0.25">
      <c r="O1637"/>
      <c r="P1637"/>
      <c r="Q1637"/>
      <c r="W1637" t="str">
        <f>IF(B1637="","",_xll.BDP(B1637,"INDUSTRY_SECTOR"))</f>
        <v/>
      </c>
      <c r="X1637" t="str">
        <f>IF($B1637="","",_xll.BDP($B1637,"INDUSTRY_GROUP"))</f>
        <v/>
      </c>
      <c r="Y1637" t="str">
        <f>IF($B1637="","",_xll.BDP($B1637,"INDUSTRY_SUBGROUP"))</f>
        <v/>
      </c>
      <c r="Z1637" t="str">
        <f>IF($B1637="","",_xll.BDP($B1637,"COUNTRY_FULL_NAME"))</f>
        <v/>
      </c>
    </row>
    <row r="1638" spans="15:26" x14ac:dyDescent="0.25">
      <c r="O1638"/>
      <c r="P1638"/>
      <c r="Q1638"/>
      <c r="W1638" t="str">
        <f>IF(B1638="","",_xll.BDP(B1638,"INDUSTRY_SECTOR"))</f>
        <v/>
      </c>
      <c r="X1638" t="str">
        <f>IF($B1638="","",_xll.BDP($B1638,"INDUSTRY_GROUP"))</f>
        <v/>
      </c>
      <c r="Y1638" t="str">
        <f>IF($B1638="","",_xll.BDP($B1638,"INDUSTRY_SUBGROUP"))</f>
        <v/>
      </c>
      <c r="Z1638" t="str">
        <f>IF($B1638="","",_xll.BDP($B1638,"COUNTRY_FULL_NAME"))</f>
        <v/>
      </c>
    </row>
    <row r="1639" spans="15:26" x14ac:dyDescent="0.25">
      <c r="O1639"/>
      <c r="P1639"/>
      <c r="Q1639"/>
      <c r="W1639" t="str">
        <f>IF(B1639="","",_xll.BDP(B1639,"INDUSTRY_SECTOR"))</f>
        <v/>
      </c>
      <c r="X1639" t="str">
        <f>IF($B1639="","",_xll.BDP($B1639,"INDUSTRY_GROUP"))</f>
        <v/>
      </c>
      <c r="Y1639" t="str">
        <f>IF($B1639="","",_xll.BDP($B1639,"INDUSTRY_SUBGROUP"))</f>
        <v/>
      </c>
      <c r="Z1639" t="str">
        <f>IF($B1639="","",_xll.BDP($B1639,"COUNTRY_FULL_NAME"))</f>
        <v/>
      </c>
    </row>
    <row r="1640" spans="15:26" x14ac:dyDescent="0.25">
      <c r="O1640"/>
      <c r="P1640"/>
      <c r="W1640" t="str">
        <f>IF(B1640="","",_xll.BDP(B1640,"INDUSTRY_SECTOR"))</f>
        <v/>
      </c>
      <c r="X1640" t="str">
        <f>IF($B1640="","",_xll.BDP($B1640,"INDUSTRY_GROUP"))</f>
        <v/>
      </c>
      <c r="Y1640" t="str">
        <f>IF($B1640="","",_xll.BDP($B1640,"INDUSTRY_SUBGROUP"))</f>
        <v/>
      </c>
      <c r="Z1640" t="str">
        <f>IF($B1640="","",_xll.BDP($B1640,"COUNTRY_FULL_NAME"))</f>
        <v/>
      </c>
    </row>
    <row r="1641" spans="15:26" x14ac:dyDescent="0.25">
      <c r="O1641"/>
      <c r="P1641"/>
      <c r="Q1641"/>
      <c r="W1641" t="str">
        <f>IF(B1641="","",_xll.BDP(B1641,"INDUSTRY_SECTOR"))</f>
        <v/>
      </c>
      <c r="X1641" t="str">
        <f>IF($B1641="","",_xll.BDP($B1641,"INDUSTRY_GROUP"))</f>
        <v/>
      </c>
      <c r="Y1641" t="str">
        <f>IF($B1641="","",_xll.BDP($B1641,"INDUSTRY_SUBGROUP"))</f>
        <v/>
      </c>
      <c r="Z1641" t="str">
        <f>IF($B1641="","",_xll.BDP($B1641,"COUNTRY_FULL_NAME"))</f>
        <v/>
      </c>
    </row>
    <row r="1642" spans="15:26" x14ac:dyDescent="0.25">
      <c r="O1642"/>
      <c r="P1642"/>
      <c r="Q1642"/>
      <c r="W1642" t="str">
        <f>IF(B1642="","",_xll.BDP(B1642,"INDUSTRY_SECTOR"))</f>
        <v/>
      </c>
      <c r="X1642" t="str">
        <f>IF($B1642="","",_xll.BDP($B1642,"INDUSTRY_GROUP"))</f>
        <v/>
      </c>
      <c r="Y1642" t="str">
        <f>IF($B1642="","",_xll.BDP($B1642,"INDUSTRY_SUBGROUP"))</f>
        <v/>
      </c>
      <c r="Z1642" t="str">
        <f>IF($B1642="","",_xll.BDP($B1642,"COUNTRY_FULL_NAME"))</f>
        <v/>
      </c>
    </row>
    <row r="1643" spans="15:26" x14ac:dyDescent="0.25">
      <c r="O1643"/>
      <c r="P1643"/>
      <c r="Q1643"/>
      <c r="W1643" t="str">
        <f>IF(B1643="","",_xll.BDP(B1643,"INDUSTRY_SECTOR"))</f>
        <v/>
      </c>
      <c r="X1643" t="str">
        <f>IF($B1643="","",_xll.BDP($B1643,"INDUSTRY_GROUP"))</f>
        <v/>
      </c>
      <c r="Y1643" t="str">
        <f>IF($B1643="","",_xll.BDP($B1643,"INDUSTRY_SUBGROUP"))</f>
        <v/>
      </c>
      <c r="Z1643" t="str">
        <f>IF($B1643="","",_xll.BDP($B1643,"COUNTRY_FULL_NAME"))</f>
        <v/>
      </c>
    </row>
    <row r="1644" spans="15:26" x14ac:dyDescent="0.25">
      <c r="O1644"/>
      <c r="P1644"/>
      <c r="W1644" t="str">
        <f>IF(B1644="","",_xll.BDP(B1644,"INDUSTRY_SECTOR"))</f>
        <v/>
      </c>
      <c r="X1644" t="str">
        <f>IF($B1644="","",_xll.BDP($B1644,"INDUSTRY_GROUP"))</f>
        <v/>
      </c>
      <c r="Y1644" t="str">
        <f>IF($B1644="","",_xll.BDP($B1644,"INDUSTRY_SUBGROUP"))</f>
        <v/>
      </c>
      <c r="Z1644" t="str">
        <f>IF($B1644="","",_xll.BDP($B1644,"COUNTRY_FULL_NAME"))</f>
        <v/>
      </c>
    </row>
    <row r="1645" spans="15:26" x14ac:dyDescent="0.25">
      <c r="O1645"/>
      <c r="P1645"/>
      <c r="Q1645"/>
      <c r="W1645" t="str">
        <f>IF(B1645="","",_xll.BDP(B1645,"INDUSTRY_SECTOR"))</f>
        <v/>
      </c>
      <c r="X1645" t="str">
        <f>IF($B1645="","",_xll.BDP($B1645,"INDUSTRY_GROUP"))</f>
        <v/>
      </c>
      <c r="Y1645" t="str">
        <f>IF($B1645="","",_xll.BDP($B1645,"INDUSTRY_SUBGROUP"))</f>
        <v/>
      </c>
      <c r="Z1645" t="str">
        <f>IF($B1645="","",_xll.BDP($B1645,"COUNTRY_FULL_NAME"))</f>
        <v/>
      </c>
    </row>
    <row r="1646" spans="15:26" x14ac:dyDescent="0.25">
      <c r="O1646"/>
      <c r="P1646"/>
      <c r="Q1646"/>
      <c r="W1646" t="str">
        <f>IF(B1646="","",_xll.BDP(B1646,"INDUSTRY_SECTOR"))</f>
        <v/>
      </c>
      <c r="X1646" t="str">
        <f>IF($B1646="","",_xll.BDP($B1646,"INDUSTRY_GROUP"))</f>
        <v/>
      </c>
      <c r="Y1646" t="str">
        <f>IF($B1646="","",_xll.BDP($B1646,"INDUSTRY_SUBGROUP"))</f>
        <v/>
      </c>
      <c r="Z1646" t="str">
        <f>IF($B1646="","",_xll.BDP($B1646,"COUNTRY_FULL_NAME"))</f>
        <v/>
      </c>
    </row>
    <row r="1647" spans="15:26" x14ac:dyDescent="0.25">
      <c r="O1647"/>
      <c r="P1647"/>
      <c r="Q1647"/>
      <c r="W1647" t="str">
        <f>IF(B1647="","",_xll.BDP(B1647,"INDUSTRY_SECTOR"))</f>
        <v/>
      </c>
      <c r="X1647" t="str">
        <f>IF($B1647="","",_xll.BDP($B1647,"INDUSTRY_GROUP"))</f>
        <v/>
      </c>
      <c r="Y1647" t="str">
        <f>IF($B1647="","",_xll.BDP($B1647,"INDUSTRY_SUBGROUP"))</f>
        <v/>
      </c>
      <c r="Z1647" t="str">
        <f>IF($B1647="","",_xll.BDP($B1647,"COUNTRY_FULL_NAME"))</f>
        <v/>
      </c>
    </row>
    <row r="1648" spans="15:26" x14ac:dyDescent="0.25">
      <c r="O1648"/>
      <c r="P1648"/>
      <c r="Q1648"/>
      <c r="W1648" t="str">
        <f>IF(B1648="","",_xll.BDP(B1648,"INDUSTRY_SECTOR"))</f>
        <v/>
      </c>
      <c r="X1648" t="str">
        <f>IF($B1648="","",_xll.BDP($B1648,"INDUSTRY_GROUP"))</f>
        <v/>
      </c>
      <c r="Y1648" t="str">
        <f>IF($B1648="","",_xll.BDP($B1648,"INDUSTRY_SUBGROUP"))</f>
        <v/>
      </c>
      <c r="Z1648" t="str">
        <f>IF($B1648="","",_xll.BDP($B1648,"COUNTRY_FULL_NAME"))</f>
        <v/>
      </c>
    </row>
    <row r="1649" spans="15:26" x14ac:dyDescent="0.25">
      <c r="O1649"/>
      <c r="P1649"/>
      <c r="Q1649"/>
      <c r="W1649" t="str">
        <f>IF(B1649="","",_xll.BDP(B1649,"INDUSTRY_SECTOR"))</f>
        <v/>
      </c>
      <c r="X1649" t="str">
        <f>IF($B1649="","",_xll.BDP($B1649,"INDUSTRY_GROUP"))</f>
        <v/>
      </c>
      <c r="Y1649" t="str">
        <f>IF($B1649="","",_xll.BDP($B1649,"INDUSTRY_SUBGROUP"))</f>
        <v/>
      </c>
      <c r="Z1649" t="str">
        <f>IF($B1649="","",_xll.BDP($B1649,"COUNTRY_FULL_NAME"))</f>
        <v/>
      </c>
    </row>
    <row r="1650" spans="15:26" x14ac:dyDescent="0.25">
      <c r="O1650"/>
      <c r="P1650"/>
      <c r="Q1650"/>
      <c r="W1650" t="str">
        <f>IF(B1650="","",_xll.BDP(B1650,"INDUSTRY_SECTOR"))</f>
        <v/>
      </c>
      <c r="X1650" t="str">
        <f>IF($B1650="","",_xll.BDP($B1650,"INDUSTRY_GROUP"))</f>
        <v/>
      </c>
      <c r="Y1650" t="str">
        <f>IF($B1650="","",_xll.BDP($B1650,"INDUSTRY_SUBGROUP"))</f>
        <v/>
      </c>
      <c r="Z1650" t="str">
        <f>IF($B1650="","",_xll.BDP($B1650,"COUNTRY_FULL_NAME"))</f>
        <v/>
      </c>
    </row>
    <row r="1651" spans="15:26" x14ac:dyDescent="0.25">
      <c r="O1651"/>
      <c r="P1651"/>
      <c r="Q1651"/>
      <c r="W1651" t="str">
        <f>IF(B1651="","",_xll.BDP(B1651,"INDUSTRY_SECTOR"))</f>
        <v/>
      </c>
      <c r="X1651" t="str">
        <f>IF($B1651="","",_xll.BDP($B1651,"INDUSTRY_GROUP"))</f>
        <v/>
      </c>
      <c r="Y1651" t="str">
        <f>IF($B1651="","",_xll.BDP($B1651,"INDUSTRY_SUBGROUP"))</f>
        <v/>
      </c>
      <c r="Z1651" t="str">
        <f>IF($B1651="","",_xll.BDP($B1651,"COUNTRY_FULL_NAME"))</f>
        <v/>
      </c>
    </row>
    <row r="1652" spans="15:26" x14ac:dyDescent="0.25">
      <c r="O1652"/>
      <c r="P1652"/>
      <c r="Q1652"/>
      <c r="W1652" t="str">
        <f>IF(B1652="","",_xll.BDP(B1652,"INDUSTRY_SECTOR"))</f>
        <v/>
      </c>
      <c r="X1652" t="str">
        <f>IF($B1652="","",_xll.BDP($B1652,"INDUSTRY_GROUP"))</f>
        <v/>
      </c>
      <c r="Y1652" t="str">
        <f>IF($B1652="","",_xll.BDP($B1652,"INDUSTRY_SUBGROUP"))</f>
        <v/>
      </c>
      <c r="Z1652" t="str">
        <f>IF($B1652="","",_xll.BDP($B1652,"COUNTRY_FULL_NAME"))</f>
        <v/>
      </c>
    </row>
    <row r="1653" spans="15:26" x14ac:dyDescent="0.25">
      <c r="O1653"/>
      <c r="P1653"/>
      <c r="Q1653"/>
      <c r="W1653" t="str">
        <f>IF(B1653="","",_xll.BDP(B1653,"INDUSTRY_SECTOR"))</f>
        <v/>
      </c>
      <c r="X1653" t="str">
        <f>IF($B1653="","",_xll.BDP($B1653,"INDUSTRY_GROUP"))</f>
        <v/>
      </c>
      <c r="Y1653" t="str">
        <f>IF($B1653="","",_xll.BDP($B1653,"INDUSTRY_SUBGROUP"))</f>
        <v/>
      </c>
      <c r="Z1653" t="str">
        <f>IF($B1653="","",_xll.BDP($B1653,"COUNTRY_FULL_NAME"))</f>
        <v/>
      </c>
    </row>
    <row r="1654" spans="15:26" x14ac:dyDescent="0.25">
      <c r="O1654"/>
      <c r="P1654"/>
      <c r="Q1654"/>
      <c r="W1654" t="str">
        <f>IF(B1654="","",_xll.BDP(B1654,"INDUSTRY_SECTOR"))</f>
        <v/>
      </c>
      <c r="X1654" t="str">
        <f>IF($B1654="","",_xll.BDP($B1654,"INDUSTRY_GROUP"))</f>
        <v/>
      </c>
      <c r="Y1654" t="str">
        <f>IF($B1654="","",_xll.BDP($B1654,"INDUSTRY_SUBGROUP"))</f>
        <v/>
      </c>
      <c r="Z1654" t="str">
        <f>IF($B1654="","",_xll.BDP($B1654,"COUNTRY_FULL_NAME"))</f>
        <v/>
      </c>
    </row>
    <row r="1655" spans="15:26" x14ac:dyDescent="0.25">
      <c r="O1655"/>
      <c r="P1655"/>
      <c r="Q1655"/>
      <c r="W1655" t="str">
        <f>IF(B1655="","",_xll.BDP(B1655,"INDUSTRY_SECTOR"))</f>
        <v/>
      </c>
      <c r="X1655" t="str">
        <f>IF($B1655="","",_xll.BDP($B1655,"INDUSTRY_GROUP"))</f>
        <v/>
      </c>
      <c r="Y1655" t="str">
        <f>IF($B1655="","",_xll.BDP($B1655,"INDUSTRY_SUBGROUP"))</f>
        <v/>
      </c>
      <c r="Z1655" t="str">
        <f>IF($B1655="","",_xll.BDP($B1655,"COUNTRY_FULL_NAME"))</f>
        <v/>
      </c>
    </row>
    <row r="1656" spans="15:26" x14ac:dyDescent="0.25">
      <c r="O1656"/>
      <c r="P1656"/>
      <c r="Q1656"/>
      <c r="W1656" t="str">
        <f>IF(B1656="","",_xll.BDP(B1656,"INDUSTRY_SECTOR"))</f>
        <v/>
      </c>
      <c r="X1656" t="str">
        <f>IF($B1656="","",_xll.BDP($B1656,"INDUSTRY_GROUP"))</f>
        <v/>
      </c>
      <c r="Y1656" t="str">
        <f>IF($B1656="","",_xll.BDP($B1656,"INDUSTRY_SUBGROUP"))</f>
        <v/>
      </c>
      <c r="Z1656" t="str">
        <f>IF($B1656="","",_xll.BDP($B1656,"COUNTRY_FULL_NAME"))</f>
        <v/>
      </c>
    </row>
    <row r="1657" spans="15:26" x14ac:dyDescent="0.25">
      <c r="O1657"/>
      <c r="P1657"/>
      <c r="Q1657"/>
      <c r="W1657" t="str">
        <f>IF(B1657="","",_xll.BDP(B1657,"INDUSTRY_SECTOR"))</f>
        <v/>
      </c>
      <c r="X1657" t="str">
        <f>IF($B1657="","",_xll.BDP($B1657,"INDUSTRY_GROUP"))</f>
        <v/>
      </c>
      <c r="Y1657" t="str">
        <f>IF($B1657="","",_xll.BDP($B1657,"INDUSTRY_SUBGROUP"))</f>
        <v/>
      </c>
      <c r="Z1657" t="str">
        <f>IF($B1657="","",_xll.BDP($B1657,"COUNTRY_FULL_NAME"))</f>
        <v/>
      </c>
    </row>
    <row r="1658" spans="15:26" x14ac:dyDescent="0.25">
      <c r="O1658"/>
      <c r="P1658"/>
      <c r="Q1658"/>
      <c r="W1658" t="str">
        <f>IF(B1658="","",_xll.BDP(B1658,"INDUSTRY_SECTOR"))</f>
        <v/>
      </c>
      <c r="X1658" t="str">
        <f>IF($B1658="","",_xll.BDP($B1658,"INDUSTRY_GROUP"))</f>
        <v/>
      </c>
      <c r="Y1658" t="str">
        <f>IF($B1658="","",_xll.BDP($B1658,"INDUSTRY_SUBGROUP"))</f>
        <v/>
      </c>
      <c r="Z1658" t="str">
        <f>IF($B1658="","",_xll.BDP($B1658,"COUNTRY_FULL_NAME"))</f>
        <v/>
      </c>
    </row>
    <row r="1659" spans="15:26" x14ac:dyDescent="0.25">
      <c r="O1659"/>
      <c r="P1659"/>
      <c r="Q1659"/>
      <c r="W1659" t="str">
        <f>IF(B1659="","",_xll.BDP(B1659,"INDUSTRY_SECTOR"))</f>
        <v/>
      </c>
      <c r="X1659" t="str">
        <f>IF($B1659="","",_xll.BDP($B1659,"INDUSTRY_GROUP"))</f>
        <v/>
      </c>
      <c r="Y1659" t="str">
        <f>IF($B1659="","",_xll.BDP($B1659,"INDUSTRY_SUBGROUP"))</f>
        <v/>
      </c>
      <c r="Z1659" t="str">
        <f>IF($B1659="","",_xll.BDP($B1659,"COUNTRY_FULL_NAME"))</f>
        <v/>
      </c>
    </row>
    <row r="1660" spans="15:26" x14ac:dyDescent="0.25">
      <c r="O1660"/>
      <c r="P1660"/>
      <c r="W1660" t="str">
        <f>IF(B1660="","",_xll.BDP(B1660,"INDUSTRY_SECTOR"))</f>
        <v/>
      </c>
      <c r="X1660" t="str">
        <f>IF($B1660="","",_xll.BDP($B1660,"INDUSTRY_GROUP"))</f>
        <v/>
      </c>
      <c r="Y1660" t="str">
        <f>IF($B1660="","",_xll.BDP($B1660,"INDUSTRY_SUBGROUP"))</f>
        <v/>
      </c>
      <c r="Z1660" t="str">
        <f>IF($B1660="","",_xll.BDP($B1660,"COUNTRY_FULL_NAME"))</f>
        <v/>
      </c>
    </row>
    <row r="1661" spans="15:26" x14ac:dyDescent="0.25">
      <c r="O1661"/>
      <c r="P1661"/>
      <c r="Q1661"/>
      <c r="W1661" t="str">
        <f>IF(B1661="","",_xll.BDP(B1661,"INDUSTRY_SECTOR"))</f>
        <v/>
      </c>
      <c r="X1661" t="str">
        <f>IF($B1661="","",_xll.BDP($B1661,"INDUSTRY_GROUP"))</f>
        <v/>
      </c>
      <c r="Y1661" t="str">
        <f>IF($B1661="","",_xll.BDP($B1661,"INDUSTRY_SUBGROUP"))</f>
        <v/>
      </c>
      <c r="Z1661" t="str">
        <f>IF($B1661="","",_xll.BDP($B1661,"COUNTRY_FULL_NAME"))</f>
        <v/>
      </c>
    </row>
    <row r="1662" spans="15:26" x14ac:dyDescent="0.25">
      <c r="O1662"/>
      <c r="P1662"/>
      <c r="Q1662"/>
      <c r="W1662" t="str">
        <f>IF(B1662="","",_xll.BDP(B1662,"INDUSTRY_SECTOR"))</f>
        <v/>
      </c>
      <c r="X1662" t="str">
        <f>IF($B1662="","",_xll.BDP($B1662,"INDUSTRY_GROUP"))</f>
        <v/>
      </c>
      <c r="Y1662" t="str">
        <f>IF($B1662="","",_xll.BDP($B1662,"INDUSTRY_SUBGROUP"))</f>
        <v/>
      </c>
      <c r="Z1662" t="str">
        <f>IF($B1662="","",_xll.BDP($B1662,"COUNTRY_FULL_NAME"))</f>
        <v/>
      </c>
    </row>
    <row r="1663" spans="15:26" x14ac:dyDescent="0.25">
      <c r="O1663"/>
      <c r="P1663"/>
      <c r="Q1663"/>
      <c r="W1663" t="str">
        <f>IF(B1663="","",_xll.BDP(B1663,"INDUSTRY_SECTOR"))</f>
        <v/>
      </c>
      <c r="X1663" t="str">
        <f>IF($B1663="","",_xll.BDP($B1663,"INDUSTRY_GROUP"))</f>
        <v/>
      </c>
      <c r="Y1663" t="str">
        <f>IF($B1663="","",_xll.BDP($B1663,"INDUSTRY_SUBGROUP"))</f>
        <v/>
      </c>
      <c r="Z1663" t="str">
        <f>IF($B1663="","",_xll.BDP($B1663,"COUNTRY_FULL_NAME"))</f>
        <v/>
      </c>
    </row>
    <row r="1664" spans="15:26" x14ac:dyDescent="0.25">
      <c r="O1664"/>
      <c r="P1664"/>
      <c r="Q1664"/>
      <c r="W1664" t="str">
        <f>IF(B1664="","",_xll.BDP(B1664,"INDUSTRY_SECTOR"))</f>
        <v/>
      </c>
      <c r="X1664" t="str">
        <f>IF($B1664="","",_xll.BDP($B1664,"INDUSTRY_GROUP"))</f>
        <v/>
      </c>
      <c r="Y1664" t="str">
        <f>IF($B1664="","",_xll.BDP($B1664,"INDUSTRY_SUBGROUP"))</f>
        <v/>
      </c>
      <c r="Z1664" t="str">
        <f>IF($B1664="","",_xll.BDP($B1664,"COUNTRY_FULL_NAME"))</f>
        <v/>
      </c>
    </row>
    <row r="1665" spans="15:26" x14ac:dyDescent="0.25">
      <c r="O1665"/>
      <c r="P1665"/>
      <c r="Q1665"/>
      <c r="W1665" t="str">
        <f>IF(B1665="","",_xll.BDP(B1665,"INDUSTRY_SECTOR"))</f>
        <v/>
      </c>
      <c r="X1665" t="str">
        <f>IF($B1665="","",_xll.BDP($B1665,"INDUSTRY_GROUP"))</f>
        <v/>
      </c>
      <c r="Y1665" t="str">
        <f>IF($B1665="","",_xll.BDP($B1665,"INDUSTRY_SUBGROUP"))</f>
        <v/>
      </c>
      <c r="Z1665" t="str">
        <f>IF($B1665="","",_xll.BDP($B1665,"COUNTRY_FULL_NAME"))</f>
        <v/>
      </c>
    </row>
    <row r="1666" spans="15:26" x14ac:dyDescent="0.25">
      <c r="O1666"/>
      <c r="P1666"/>
      <c r="Q1666"/>
      <c r="W1666" t="str">
        <f>IF(B1666="","",_xll.BDP(B1666,"INDUSTRY_SECTOR"))</f>
        <v/>
      </c>
      <c r="X1666" t="str">
        <f>IF($B1666="","",_xll.BDP($B1666,"INDUSTRY_GROUP"))</f>
        <v/>
      </c>
      <c r="Y1666" t="str">
        <f>IF($B1666="","",_xll.BDP($B1666,"INDUSTRY_SUBGROUP"))</f>
        <v/>
      </c>
      <c r="Z1666" t="str">
        <f>IF($B1666="","",_xll.BDP($B1666,"COUNTRY_FULL_NAME"))</f>
        <v/>
      </c>
    </row>
    <row r="1667" spans="15:26" x14ac:dyDescent="0.25">
      <c r="O1667"/>
      <c r="P1667"/>
      <c r="Q1667"/>
      <c r="W1667" t="str">
        <f>IF(B1667="","",_xll.BDP(B1667,"INDUSTRY_SECTOR"))</f>
        <v/>
      </c>
      <c r="X1667" t="str">
        <f>IF($B1667="","",_xll.BDP($B1667,"INDUSTRY_GROUP"))</f>
        <v/>
      </c>
      <c r="Y1667" t="str">
        <f>IF($B1667="","",_xll.BDP($B1667,"INDUSTRY_SUBGROUP"))</f>
        <v/>
      </c>
      <c r="Z1667" t="str">
        <f>IF($B1667="","",_xll.BDP($B1667,"COUNTRY_FULL_NAME"))</f>
        <v/>
      </c>
    </row>
    <row r="1668" spans="15:26" x14ac:dyDescent="0.25">
      <c r="O1668"/>
      <c r="P1668"/>
      <c r="Q1668"/>
      <c r="W1668" t="str">
        <f>IF(B1668="","",_xll.BDP(B1668,"INDUSTRY_SECTOR"))</f>
        <v/>
      </c>
      <c r="X1668" t="str">
        <f>IF($B1668="","",_xll.BDP($B1668,"INDUSTRY_GROUP"))</f>
        <v/>
      </c>
      <c r="Y1668" t="str">
        <f>IF($B1668="","",_xll.BDP($B1668,"INDUSTRY_SUBGROUP"))</f>
        <v/>
      </c>
      <c r="Z1668" t="str">
        <f>IF($B1668="","",_xll.BDP($B1668,"COUNTRY_FULL_NAME"))</f>
        <v/>
      </c>
    </row>
    <row r="1669" spans="15:26" x14ac:dyDescent="0.25">
      <c r="O1669"/>
      <c r="P1669"/>
      <c r="Q1669"/>
      <c r="W1669" t="str">
        <f>IF(B1669="","",_xll.BDP(B1669,"INDUSTRY_SECTOR"))</f>
        <v/>
      </c>
      <c r="X1669" t="str">
        <f>IF($B1669="","",_xll.BDP($B1669,"INDUSTRY_GROUP"))</f>
        <v/>
      </c>
      <c r="Y1669" t="str">
        <f>IF($B1669="","",_xll.BDP($B1669,"INDUSTRY_SUBGROUP"))</f>
        <v/>
      </c>
      <c r="Z1669" t="str">
        <f>IF($B1669="","",_xll.BDP($B1669,"COUNTRY_FULL_NAME"))</f>
        <v/>
      </c>
    </row>
    <row r="1670" spans="15:26" x14ac:dyDescent="0.25">
      <c r="O1670"/>
      <c r="P1670"/>
      <c r="Q1670"/>
      <c r="W1670" t="str">
        <f>IF(B1670="","",_xll.BDP(B1670,"INDUSTRY_SECTOR"))</f>
        <v/>
      </c>
      <c r="X1670" t="str">
        <f>IF($B1670="","",_xll.BDP($B1670,"INDUSTRY_GROUP"))</f>
        <v/>
      </c>
      <c r="Y1670" t="str">
        <f>IF($B1670="","",_xll.BDP($B1670,"INDUSTRY_SUBGROUP"))</f>
        <v/>
      </c>
      <c r="Z1670" t="str">
        <f>IF($B1670="","",_xll.BDP($B1670,"COUNTRY_FULL_NAME"))</f>
        <v/>
      </c>
    </row>
    <row r="1671" spans="15:26" x14ac:dyDescent="0.25">
      <c r="O1671"/>
      <c r="P1671"/>
      <c r="Q1671"/>
      <c r="W1671" t="str">
        <f>IF(B1671="","",_xll.BDP(B1671,"INDUSTRY_SECTOR"))</f>
        <v/>
      </c>
      <c r="X1671" t="str">
        <f>IF($B1671="","",_xll.BDP($B1671,"INDUSTRY_GROUP"))</f>
        <v/>
      </c>
      <c r="Y1671" t="str">
        <f>IF($B1671="","",_xll.BDP($B1671,"INDUSTRY_SUBGROUP"))</f>
        <v/>
      </c>
      <c r="Z1671" t="str">
        <f>IF($B1671="","",_xll.BDP($B1671,"COUNTRY_FULL_NAME"))</f>
        <v/>
      </c>
    </row>
    <row r="1672" spans="15:26" x14ac:dyDescent="0.25">
      <c r="O1672"/>
      <c r="P1672"/>
      <c r="Q1672"/>
      <c r="W1672" t="str">
        <f>IF(B1672="","",_xll.BDP(B1672,"INDUSTRY_SECTOR"))</f>
        <v/>
      </c>
      <c r="X1672" t="str">
        <f>IF($B1672="","",_xll.BDP($B1672,"INDUSTRY_GROUP"))</f>
        <v/>
      </c>
      <c r="Y1672" t="str">
        <f>IF($B1672="","",_xll.BDP($B1672,"INDUSTRY_SUBGROUP"))</f>
        <v/>
      </c>
      <c r="Z1672" t="str">
        <f>IF($B1672="","",_xll.BDP($B1672,"COUNTRY_FULL_NAME"))</f>
        <v/>
      </c>
    </row>
    <row r="1673" spans="15:26" x14ac:dyDescent="0.25">
      <c r="O1673"/>
      <c r="P1673"/>
      <c r="Q1673"/>
      <c r="W1673" t="str">
        <f>IF(B1673="","",_xll.BDP(B1673,"INDUSTRY_SECTOR"))</f>
        <v/>
      </c>
      <c r="X1673" t="str">
        <f>IF($B1673="","",_xll.BDP($B1673,"INDUSTRY_GROUP"))</f>
        <v/>
      </c>
      <c r="Y1673" t="str">
        <f>IF($B1673="","",_xll.BDP($B1673,"INDUSTRY_SUBGROUP"))</f>
        <v/>
      </c>
      <c r="Z1673" t="str">
        <f>IF($B1673="","",_xll.BDP($B1673,"COUNTRY_FULL_NAME"))</f>
        <v/>
      </c>
    </row>
    <row r="1674" spans="15:26" x14ac:dyDescent="0.25">
      <c r="O1674"/>
      <c r="P1674"/>
      <c r="Q1674"/>
      <c r="W1674" t="str">
        <f>IF(B1674="","",_xll.BDP(B1674,"INDUSTRY_SECTOR"))</f>
        <v/>
      </c>
      <c r="X1674" t="str">
        <f>IF($B1674="","",_xll.BDP($B1674,"INDUSTRY_GROUP"))</f>
        <v/>
      </c>
      <c r="Y1674" t="str">
        <f>IF($B1674="","",_xll.BDP($B1674,"INDUSTRY_SUBGROUP"))</f>
        <v/>
      </c>
      <c r="Z1674" t="str">
        <f>IF($B1674="","",_xll.BDP($B1674,"COUNTRY_FULL_NAME"))</f>
        <v/>
      </c>
    </row>
    <row r="1675" spans="15:26" x14ac:dyDescent="0.25">
      <c r="O1675"/>
      <c r="P1675"/>
      <c r="Q1675"/>
      <c r="W1675" t="str">
        <f>IF(B1675="","",_xll.BDP(B1675,"INDUSTRY_SECTOR"))</f>
        <v/>
      </c>
      <c r="X1675" t="str">
        <f>IF($B1675="","",_xll.BDP($B1675,"INDUSTRY_GROUP"))</f>
        <v/>
      </c>
      <c r="Y1675" t="str">
        <f>IF($B1675="","",_xll.BDP($B1675,"INDUSTRY_SUBGROUP"))</f>
        <v/>
      </c>
      <c r="Z1675" t="str">
        <f>IF($B1675="","",_xll.BDP($B1675,"COUNTRY_FULL_NAME"))</f>
        <v/>
      </c>
    </row>
    <row r="1676" spans="15:26" x14ac:dyDescent="0.25">
      <c r="O1676"/>
      <c r="P1676"/>
      <c r="Q1676"/>
      <c r="W1676" t="str">
        <f>IF(B1676="","",_xll.BDP(B1676,"INDUSTRY_SECTOR"))</f>
        <v/>
      </c>
      <c r="X1676" t="str">
        <f>IF($B1676="","",_xll.BDP($B1676,"INDUSTRY_GROUP"))</f>
        <v/>
      </c>
      <c r="Y1676" t="str">
        <f>IF($B1676="","",_xll.BDP($B1676,"INDUSTRY_SUBGROUP"))</f>
        <v/>
      </c>
      <c r="Z1676" t="str">
        <f>IF($B1676="","",_xll.BDP($B1676,"COUNTRY_FULL_NAME"))</f>
        <v/>
      </c>
    </row>
    <row r="1677" spans="15:26" x14ac:dyDescent="0.25">
      <c r="O1677"/>
      <c r="P1677"/>
      <c r="Q1677"/>
      <c r="W1677" t="str">
        <f>IF(B1677="","",_xll.BDP(B1677,"INDUSTRY_SECTOR"))</f>
        <v/>
      </c>
      <c r="X1677" t="str">
        <f>IF($B1677="","",_xll.BDP($B1677,"INDUSTRY_GROUP"))</f>
        <v/>
      </c>
      <c r="Y1677" t="str">
        <f>IF($B1677="","",_xll.BDP($B1677,"INDUSTRY_SUBGROUP"))</f>
        <v/>
      </c>
      <c r="Z1677" t="str">
        <f>IF($B1677="","",_xll.BDP($B1677,"COUNTRY_FULL_NAME"))</f>
        <v/>
      </c>
    </row>
    <row r="1678" spans="15:26" x14ac:dyDescent="0.25">
      <c r="O1678"/>
      <c r="P1678"/>
      <c r="Q1678"/>
      <c r="W1678" t="str">
        <f>IF(B1678="","",_xll.BDP(B1678,"INDUSTRY_SECTOR"))</f>
        <v/>
      </c>
      <c r="X1678" t="str">
        <f>IF($B1678="","",_xll.BDP($B1678,"INDUSTRY_GROUP"))</f>
        <v/>
      </c>
      <c r="Y1678" t="str">
        <f>IF($B1678="","",_xll.BDP($B1678,"INDUSTRY_SUBGROUP"))</f>
        <v/>
      </c>
      <c r="Z1678" t="str">
        <f>IF($B1678="","",_xll.BDP($B1678,"COUNTRY_FULL_NAME"))</f>
        <v/>
      </c>
    </row>
    <row r="1679" spans="15:26" x14ac:dyDescent="0.25">
      <c r="O1679"/>
      <c r="P1679"/>
      <c r="Q1679"/>
      <c r="W1679" t="str">
        <f>IF(B1679="","",_xll.BDP(B1679,"INDUSTRY_SECTOR"))</f>
        <v/>
      </c>
      <c r="X1679" t="str">
        <f>IF($B1679="","",_xll.BDP($B1679,"INDUSTRY_GROUP"))</f>
        <v/>
      </c>
      <c r="Y1679" t="str">
        <f>IF($B1679="","",_xll.BDP($B1679,"INDUSTRY_SUBGROUP"))</f>
        <v/>
      </c>
      <c r="Z1679" t="str">
        <f>IF($B1679="","",_xll.BDP($B1679,"COUNTRY_FULL_NAME"))</f>
        <v/>
      </c>
    </row>
    <row r="1680" spans="15:26" x14ac:dyDescent="0.25">
      <c r="O1680"/>
      <c r="P1680"/>
      <c r="Q1680"/>
      <c r="W1680" t="str">
        <f>IF(B1680="","",_xll.BDP(B1680,"INDUSTRY_SECTOR"))</f>
        <v/>
      </c>
      <c r="X1680" t="str">
        <f>IF($B1680="","",_xll.BDP($B1680,"INDUSTRY_GROUP"))</f>
        <v/>
      </c>
      <c r="Y1680" t="str">
        <f>IF($B1680="","",_xll.BDP($B1680,"INDUSTRY_SUBGROUP"))</f>
        <v/>
      </c>
      <c r="Z1680" t="str">
        <f>IF($B1680="","",_xll.BDP($B1680,"COUNTRY_FULL_NAME"))</f>
        <v/>
      </c>
    </row>
    <row r="1681" spans="15:26" x14ac:dyDescent="0.25">
      <c r="O1681"/>
      <c r="P1681"/>
      <c r="Q1681"/>
      <c r="W1681" t="str">
        <f>IF(B1681="","",_xll.BDP(B1681,"INDUSTRY_SECTOR"))</f>
        <v/>
      </c>
      <c r="X1681" t="str">
        <f>IF($B1681="","",_xll.BDP($B1681,"INDUSTRY_GROUP"))</f>
        <v/>
      </c>
      <c r="Y1681" t="str">
        <f>IF($B1681="","",_xll.BDP($B1681,"INDUSTRY_SUBGROUP"))</f>
        <v/>
      </c>
      <c r="Z1681" t="str">
        <f>IF($B1681="","",_xll.BDP($B1681,"COUNTRY_FULL_NAME"))</f>
        <v/>
      </c>
    </row>
    <row r="1682" spans="15:26" x14ac:dyDescent="0.25">
      <c r="O1682"/>
      <c r="P1682"/>
      <c r="Q1682"/>
      <c r="W1682" t="str">
        <f>IF(B1682="","",_xll.BDP(B1682,"INDUSTRY_SECTOR"))</f>
        <v/>
      </c>
      <c r="X1682" t="str">
        <f>IF($B1682="","",_xll.BDP($B1682,"INDUSTRY_GROUP"))</f>
        <v/>
      </c>
      <c r="Y1682" t="str">
        <f>IF($B1682="","",_xll.BDP($B1682,"INDUSTRY_SUBGROUP"))</f>
        <v/>
      </c>
      <c r="Z1682" t="str">
        <f>IF($B1682="","",_xll.BDP($B1682,"COUNTRY_FULL_NAME"))</f>
        <v/>
      </c>
    </row>
    <row r="1683" spans="15:26" x14ac:dyDescent="0.25">
      <c r="O1683"/>
      <c r="P1683"/>
      <c r="Q1683"/>
      <c r="W1683" t="str">
        <f>IF(B1683="","",_xll.BDP(B1683,"INDUSTRY_SECTOR"))</f>
        <v/>
      </c>
      <c r="X1683" t="str">
        <f>IF($B1683="","",_xll.BDP($B1683,"INDUSTRY_GROUP"))</f>
        <v/>
      </c>
      <c r="Y1683" t="str">
        <f>IF($B1683="","",_xll.BDP($B1683,"INDUSTRY_SUBGROUP"))</f>
        <v/>
      </c>
      <c r="Z1683" t="str">
        <f>IF($B1683="","",_xll.BDP($B1683,"COUNTRY_FULL_NAME"))</f>
        <v/>
      </c>
    </row>
    <row r="1684" spans="15:26" x14ac:dyDescent="0.25">
      <c r="O1684"/>
      <c r="P1684"/>
      <c r="Q1684"/>
      <c r="W1684" t="str">
        <f>IF(B1684="","",_xll.BDP(B1684,"INDUSTRY_SECTOR"))</f>
        <v/>
      </c>
      <c r="X1684" t="str">
        <f>IF($B1684="","",_xll.BDP($B1684,"INDUSTRY_GROUP"))</f>
        <v/>
      </c>
      <c r="Y1684" t="str">
        <f>IF($B1684="","",_xll.BDP($B1684,"INDUSTRY_SUBGROUP"))</f>
        <v/>
      </c>
      <c r="Z1684" t="str">
        <f>IF($B1684="","",_xll.BDP($B1684,"COUNTRY_FULL_NAME"))</f>
        <v/>
      </c>
    </row>
    <row r="1685" spans="15:26" x14ac:dyDescent="0.25">
      <c r="O1685"/>
      <c r="P1685"/>
      <c r="Q1685"/>
      <c r="W1685" t="str">
        <f>IF(B1685="","",_xll.BDP(B1685,"INDUSTRY_SECTOR"))</f>
        <v/>
      </c>
      <c r="X1685" t="str">
        <f>IF($B1685="","",_xll.BDP($B1685,"INDUSTRY_GROUP"))</f>
        <v/>
      </c>
      <c r="Y1685" t="str">
        <f>IF($B1685="","",_xll.BDP($B1685,"INDUSTRY_SUBGROUP"))</f>
        <v/>
      </c>
      <c r="Z1685" t="str">
        <f>IF($B1685="","",_xll.BDP($B1685,"COUNTRY_FULL_NAME"))</f>
        <v/>
      </c>
    </row>
    <row r="1686" spans="15:26" x14ac:dyDescent="0.25">
      <c r="O1686"/>
      <c r="P1686"/>
      <c r="Q1686"/>
      <c r="W1686" t="str">
        <f>IF(B1686="","",_xll.BDP(B1686,"INDUSTRY_SECTOR"))</f>
        <v/>
      </c>
      <c r="X1686" t="str">
        <f>IF($B1686="","",_xll.BDP($B1686,"INDUSTRY_GROUP"))</f>
        <v/>
      </c>
      <c r="Y1686" t="str">
        <f>IF($B1686="","",_xll.BDP($B1686,"INDUSTRY_SUBGROUP"))</f>
        <v/>
      </c>
      <c r="Z1686" t="str">
        <f>IF($B1686="","",_xll.BDP($B1686,"COUNTRY_FULL_NAME"))</f>
        <v/>
      </c>
    </row>
    <row r="1687" spans="15:26" x14ac:dyDescent="0.25">
      <c r="O1687"/>
      <c r="P1687"/>
      <c r="Q1687"/>
      <c r="W1687" t="str">
        <f>IF(B1687="","",_xll.BDP(B1687,"INDUSTRY_SECTOR"))</f>
        <v/>
      </c>
      <c r="X1687" t="str">
        <f>IF($B1687="","",_xll.BDP($B1687,"INDUSTRY_GROUP"))</f>
        <v/>
      </c>
      <c r="Y1687" t="str">
        <f>IF($B1687="","",_xll.BDP($B1687,"INDUSTRY_SUBGROUP"))</f>
        <v/>
      </c>
      <c r="Z1687" t="str">
        <f>IF($B1687="","",_xll.BDP($B1687,"COUNTRY_FULL_NAME"))</f>
        <v/>
      </c>
    </row>
    <row r="1688" spans="15:26" x14ac:dyDescent="0.25">
      <c r="O1688"/>
      <c r="P1688"/>
      <c r="Q1688"/>
      <c r="W1688" t="str">
        <f>IF(B1688="","",_xll.BDP(B1688,"INDUSTRY_SECTOR"))</f>
        <v/>
      </c>
      <c r="X1688" t="str">
        <f>IF($B1688="","",_xll.BDP($B1688,"INDUSTRY_GROUP"))</f>
        <v/>
      </c>
      <c r="Y1688" t="str">
        <f>IF($B1688="","",_xll.BDP($B1688,"INDUSTRY_SUBGROUP"))</f>
        <v/>
      </c>
      <c r="Z1688" t="str">
        <f>IF($B1688="","",_xll.BDP($B1688,"COUNTRY_FULL_NAME"))</f>
        <v/>
      </c>
    </row>
    <row r="1689" spans="15:26" x14ac:dyDescent="0.25">
      <c r="O1689"/>
      <c r="P1689"/>
      <c r="Q1689"/>
      <c r="W1689" t="str">
        <f>IF(B1689="","",_xll.BDP(B1689,"INDUSTRY_SECTOR"))</f>
        <v/>
      </c>
      <c r="X1689" t="str">
        <f>IF($B1689="","",_xll.BDP($B1689,"INDUSTRY_GROUP"))</f>
        <v/>
      </c>
      <c r="Y1689" t="str">
        <f>IF($B1689="","",_xll.BDP($B1689,"INDUSTRY_SUBGROUP"))</f>
        <v/>
      </c>
      <c r="Z1689" t="str">
        <f>IF($B1689="","",_xll.BDP($B1689,"COUNTRY_FULL_NAME"))</f>
        <v/>
      </c>
    </row>
    <row r="1690" spans="15:26" x14ac:dyDescent="0.25">
      <c r="O1690"/>
      <c r="P1690"/>
      <c r="Q1690"/>
      <c r="W1690" t="str">
        <f>IF(B1690="","",_xll.BDP(B1690,"INDUSTRY_SECTOR"))</f>
        <v/>
      </c>
      <c r="X1690" t="str">
        <f>IF($B1690="","",_xll.BDP($B1690,"INDUSTRY_GROUP"))</f>
        <v/>
      </c>
      <c r="Y1690" t="str">
        <f>IF($B1690="","",_xll.BDP($B1690,"INDUSTRY_SUBGROUP"))</f>
        <v/>
      </c>
      <c r="Z1690" t="str">
        <f>IF($B1690="","",_xll.BDP($B1690,"COUNTRY_FULL_NAME"))</f>
        <v/>
      </c>
    </row>
    <row r="1691" spans="15:26" x14ac:dyDescent="0.25">
      <c r="O1691"/>
      <c r="P1691"/>
      <c r="Q1691"/>
      <c r="W1691" t="str">
        <f>IF(B1691="","",_xll.BDP(B1691,"INDUSTRY_SECTOR"))</f>
        <v/>
      </c>
      <c r="X1691" t="str">
        <f>IF($B1691="","",_xll.BDP($B1691,"INDUSTRY_GROUP"))</f>
        <v/>
      </c>
      <c r="Y1691" t="str">
        <f>IF($B1691="","",_xll.BDP($B1691,"INDUSTRY_SUBGROUP"))</f>
        <v/>
      </c>
      <c r="Z1691" t="str">
        <f>IF($B1691="","",_xll.BDP($B1691,"COUNTRY_FULL_NAME"))</f>
        <v/>
      </c>
    </row>
    <row r="1692" spans="15:26" x14ac:dyDescent="0.25">
      <c r="O1692"/>
      <c r="P1692"/>
      <c r="W1692" t="str">
        <f>IF(B1692="","",_xll.BDP(B1692,"INDUSTRY_SECTOR"))</f>
        <v/>
      </c>
      <c r="X1692" t="str">
        <f>IF($B1692="","",_xll.BDP($B1692,"INDUSTRY_GROUP"))</f>
        <v/>
      </c>
      <c r="Y1692" t="str">
        <f>IF($B1692="","",_xll.BDP($B1692,"INDUSTRY_SUBGROUP"))</f>
        <v/>
      </c>
      <c r="Z1692" t="str">
        <f>IF($B1692="","",_xll.BDP($B1692,"COUNTRY_FULL_NAME"))</f>
        <v/>
      </c>
    </row>
    <row r="1693" spans="15:26" x14ac:dyDescent="0.25">
      <c r="O1693"/>
      <c r="P1693"/>
      <c r="Q1693"/>
      <c r="W1693" t="str">
        <f>IF(B1693="","",_xll.BDP(B1693,"INDUSTRY_SECTOR"))</f>
        <v/>
      </c>
      <c r="X1693" t="str">
        <f>IF($B1693="","",_xll.BDP($B1693,"INDUSTRY_GROUP"))</f>
        <v/>
      </c>
      <c r="Y1693" t="str">
        <f>IF($B1693="","",_xll.BDP($B1693,"INDUSTRY_SUBGROUP"))</f>
        <v/>
      </c>
      <c r="Z1693" t="str">
        <f>IF($B1693="","",_xll.BDP($B1693,"COUNTRY_FULL_NAME"))</f>
        <v/>
      </c>
    </row>
    <row r="1694" spans="15:26" x14ac:dyDescent="0.25">
      <c r="O1694"/>
      <c r="P1694"/>
      <c r="Q1694"/>
      <c r="W1694" t="str">
        <f>IF(B1694="","",_xll.BDP(B1694,"INDUSTRY_SECTOR"))</f>
        <v/>
      </c>
      <c r="X1694" t="str">
        <f>IF($B1694="","",_xll.BDP($B1694,"INDUSTRY_GROUP"))</f>
        <v/>
      </c>
      <c r="Y1694" t="str">
        <f>IF($B1694="","",_xll.BDP($B1694,"INDUSTRY_SUBGROUP"))</f>
        <v/>
      </c>
      <c r="Z1694" t="str">
        <f>IF($B1694="","",_xll.BDP($B1694,"COUNTRY_FULL_NAME"))</f>
        <v/>
      </c>
    </row>
    <row r="1695" spans="15:26" x14ac:dyDescent="0.25">
      <c r="O1695"/>
      <c r="P1695"/>
      <c r="Q1695"/>
      <c r="W1695" t="str">
        <f>IF(B1695="","",_xll.BDP(B1695,"INDUSTRY_SECTOR"))</f>
        <v/>
      </c>
      <c r="X1695" t="str">
        <f>IF($B1695="","",_xll.BDP($B1695,"INDUSTRY_GROUP"))</f>
        <v/>
      </c>
      <c r="Y1695" t="str">
        <f>IF($B1695="","",_xll.BDP($B1695,"INDUSTRY_SUBGROUP"))</f>
        <v/>
      </c>
      <c r="Z1695" t="str">
        <f>IF($B1695="","",_xll.BDP($B1695,"COUNTRY_FULL_NAME"))</f>
        <v/>
      </c>
    </row>
    <row r="1696" spans="15:26" x14ac:dyDescent="0.25">
      <c r="O1696"/>
      <c r="P1696"/>
      <c r="W1696" t="str">
        <f>IF(B1696="","",_xll.BDP(B1696,"INDUSTRY_SECTOR"))</f>
        <v/>
      </c>
      <c r="X1696" t="str">
        <f>IF($B1696="","",_xll.BDP($B1696,"INDUSTRY_GROUP"))</f>
        <v/>
      </c>
      <c r="Y1696" t="str">
        <f>IF($B1696="","",_xll.BDP($B1696,"INDUSTRY_SUBGROUP"))</f>
        <v/>
      </c>
      <c r="Z1696" t="str">
        <f>IF($B1696="","",_xll.BDP($B1696,"COUNTRY_FULL_NAME"))</f>
        <v/>
      </c>
    </row>
    <row r="1697" spans="15:26" x14ac:dyDescent="0.25">
      <c r="O1697"/>
      <c r="P1697"/>
      <c r="Q1697"/>
      <c r="W1697" t="str">
        <f>IF(B1697="","",_xll.BDP(B1697,"INDUSTRY_SECTOR"))</f>
        <v/>
      </c>
      <c r="X1697" t="str">
        <f>IF($B1697="","",_xll.BDP($B1697,"INDUSTRY_GROUP"))</f>
        <v/>
      </c>
      <c r="Y1697" t="str">
        <f>IF($B1697="","",_xll.BDP($B1697,"INDUSTRY_SUBGROUP"))</f>
        <v/>
      </c>
      <c r="Z1697" t="str">
        <f>IF($B1697="","",_xll.BDP($B1697,"COUNTRY_FULL_NAME"))</f>
        <v/>
      </c>
    </row>
    <row r="1698" spans="15:26" x14ac:dyDescent="0.25">
      <c r="O1698"/>
      <c r="P1698"/>
      <c r="Q1698"/>
      <c r="W1698" t="str">
        <f>IF(B1698="","",_xll.BDP(B1698,"INDUSTRY_SECTOR"))</f>
        <v/>
      </c>
      <c r="X1698" t="str">
        <f>IF($B1698="","",_xll.BDP($B1698,"INDUSTRY_GROUP"))</f>
        <v/>
      </c>
      <c r="Y1698" t="str">
        <f>IF($B1698="","",_xll.BDP($B1698,"INDUSTRY_SUBGROUP"))</f>
        <v/>
      </c>
      <c r="Z1698" t="str">
        <f>IF($B1698="","",_xll.BDP($B1698,"COUNTRY_FULL_NAME"))</f>
        <v/>
      </c>
    </row>
    <row r="1699" spans="15:26" x14ac:dyDescent="0.25">
      <c r="O1699"/>
      <c r="P1699"/>
      <c r="W1699" t="str">
        <f>IF(B1699="","",_xll.BDP(B1699,"INDUSTRY_SECTOR"))</f>
        <v/>
      </c>
      <c r="X1699" t="str">
        <f>IF($B1699="","",_xll.BDP($B1699,"INDUSTRY_GROUP"))</f>
        <v/>
      </c>
      <c r="Y1699" t="str">
        <f>IF($B1699="","",_xll.BDP($B1699,"INDUSTRY_SUBGROUP"))</f>
        <v/>
      </c>
      <c r="Z1699" t="str">
        <f>IF($B1699="","",_xll.BDP($B1699,"COUNTRY_FULL_NAME"))</f>
        <v/>
      </c>
    </row>
    <row r="1700" spans="15:26" x14ac:dyDescent="0.25">
      <c r="O1700"/>
      <c r="P1700"/>
      <c r="Q1700"/>
      <c r="W1700" t="str">
        <f>IF(B1700="","",_xll.BDP(B1700,"INDUSTRY_SECTOR"))</f>
        <v/>
      </c>
      <c r="X1700" t="str">
        <f>IF($B1700="","",_xll.BDP($B1700,"INDUSTRY_GROUP"))</f>
        <v/>
      </c>
      <c r="Y1700" t="str">
        <f>IF($B1700="","",_xll.BDP($B1700,"INDUSTRY_SUBGROUP"))</f>
        <v/>
      </c>
      <c r="Z1700" t="str">
        <f>IF($B1700="","",_xll.BDP($B1700,"COUNTRY_FULL_NAME"))</f>
        <v/>
      </c>
    </row>
    <row r="1701" spans="15:26" x14ac:dyDescent="0.25">
      <c r="O1701"/>
      <c r="P1701"/>
      <c r="Q1701"/>
      <c r="W1701" t="str">
        <f>IF(B1701="","",_xll.BDP(B1701,"INDUSTRY_SECTOR"))</f>
        <v/>
      </c>
      <c r="X1701" t="str">
        <f>IF($B1701="","",_xll.BDP($B1701,"INDUSTRY_GROUP"))</f>
        <v/>
      </c>
      <c r="Y1701" t="str">
        <f>IF($B1701="","",_xll.BDP($B1701,"INDUSTRY_SUBGROUP"))</f>
        <v/>
      </c>
      <c r="Z1701" t="str">
        <f>IF($B1701="","",_xll.BDP($B1701,"COUNTRY_FULL_NAME"))</f>
        <v/>
      </c>
    </row>
    <row r="1702" spans="15:26" x14ac:dyDescent="0.25">
      <c r="O1702"/>
      <c r="P1702"/>
      <c r="Q1702"/>
      <c r="W1702" t="str">
        <f>IF(B1702="","",_xll.BDP(B1702,"INDUSTRY_SECTOR"))</f>
        <v/>
      </c>
      <c r="X1702" t="str">
        <f>IF($B1702="","",_xll.BDP($B1702,"INDUSTRY_GROUP"))</f>
        <v/>
      </c>
      <c r="Y1702" t="str">
        <f>IF($B1702="","",_xll.BDP($B1702,"INDUSTRY_SUBGROUP"))</f>
        <v/>
      </c>
      <c r="Z1702" t="str">
        <f>IF($B1702="","",_xll.BDP($B1702,"COUNTRY_FULL_NAME"))</f>
        <v/>
      </c>
    </row>
    <row r="1703" spans="15:26" x14ac:dyDescent="0.25">
      <c r="O1703"/>
      <c r="P1703"/>
      <c r="Q1703"/>
      <c r="W1703" t="str">
        <f>IF(B1703="","",_xll.BDP(B1703,"INDUSTRY_SECTOR"))</f>
        <v/>
      </c>
      <c r="X1703" t="str">
        <f>IF($B1703="","",_xll.BDP($B1703,"INDUSTRY_GROUP"))</f>
        <v/>
      </c>
      <c r="Y1703" t="str">
        <f>IF($B1703="","",_xll.BDP($B1703,"INDUSTRY_SUBGROUP"))</f>
        <v/>
      </c>
      <c r="Z1703" t="str">
        <f>IF($B1703="","",_xll.BDP($B1703,"COUNTRY_FULL_NAME"))</f>
        <v/>
      </c>
    </row>
    <row r="1704" spans="15:26" x14ac:dyDescent="0.25">
      <c r="O1704"/>
      <c r="P1704"/>
      <c r="Q1704"/>
      <c r="W1704" t="str">
        <f>IF(B1704="","",_xll.BDP(B1704,"INDUSTRY_SECTOR"))</f>
        <v/>
      </c>
      <c r="X1704" t="str">
        <f>IF($B1704="","",_xll.BDP($B1704,"INDUSTRY_GROUP"))</f>
        <v/>
      </c>
      <c r="Y1704" t="str">
        <f>IF($B1704="","",_xll.BDP($B1704,"INDUSTRY_SUBGROUP"))</f>
        <v/>
      </c>
      <c r="Z1704" t="str">
        <f>IF($B1704="","",_xll.BDP($B1704,"COUNTRY_FULL_NAME"))</f>
        <v/>
      </c>
    </row>
    <row r="1705" spans="15:26" x14ac:dyDescent="0.25">
      <c r="O1705"/>
      <c r="P1705"/>
      <c r="Q1705"/>
      <c r="W1705" t="str">
        <f>IF(B1705="","",_xll.BDP(B1705,"INDUSTRY_SECTOR"))</f>
        <v/>
      </c>
      <c r="X1705" t="str">
        <f>IF($B1705="","",_xll.BDP($B1705,"INDUSTRY_GROUP"))</f>
        <v/>
      </c>
      <c r="Y1705" t="str">
        <f>IF($B1705="","",_xll.BDP($B1705,"INDUSTRY_SUBGROUP"))</f>
        <v/>
      </c>
      <c r="Z1705" t="str">
        <f>IF($B1705="","",_xll.BDP($B1705,"COUNTRY_FULL_NAME"))</f>
        <v/>
      </c>
    </row>
    <row r="1706" spans="15:26" x14ac:dyDescent="0.25">
      <c r="O1706"/>
      <c r="P1706"/>
      <c r="Q1706"/>
      <c r="W1706" t="str">
        <f>IF(B1706="","",_xll.BDP(B1706,"INDUSTRY_SECTOR"))</f>
        <v/>
      </c>
      <c r="X1706" t="str">
        <f>IF($B1706="","",_xll.BDP($B1706,"INDUSTRY_GROUP"))</f>
        <v/>
      </c>
      <c r="Y1706" t="str">
        <f>IF($B1706="","",_xll.BDP($B1706,"INDUSTRY_SUBGROUP"))</f>
        <v/>
      </c>
      <c r="Z1706" t="str">
        <f>IF($B1706="","",_xll.BDP($B1706,"COUNTRY_FULL_NAME"))</f>
        <v/>
      </c>
    </row>
    <row r="1707" spans="15:26" x14ac:dyDescent="0.25">
      <c r="O1707"/>
      <c r="P1707"/>
      <c r="Q1707"/>
      <c r="W1707" t="str">
        <f>IF(B1707="","",_xll.BDP(B1707,"INDUSTRY_SECTOR"))</f>
        <v/>
      </c>
      <c r="X1707" t="str">
        <f>IF($B1707="","",_xll.BDP($B1707,"INDUSTRY_GROUP"))</f>
        <v/>
      </c>
      <c r="Y1707" t="str">
        <f>IF($B1707="","",_xll.BDP($B1707,"INDUSTRY_SUBGROUP"))</f>
        <v/>
      </c>
      <c r="Z1707" t="str">
        <f>IF($B1707="","",_xll.BDP($B1707,"COUNTRY_FULL_NAME"))</f>
        <v/>
      </c>
    </row>
    <row r="1708" spans="15:26" x14ac:dyDescent="0.25">
      <c r="O1708"/>
      <c r="P1708"/>
      <c r="Q1708"/>
      <c r="W1708" t="str">
        <f>IF(B1708="","",_xll.BDP(B1708,"INDUSTRY_SECTOR"))</f>
        <v/>
      </c>
      <c r="X1708" t="str">
        <f>IF($B1708="","",_xll.BDP($B1708,"INDUSTRY_GROUP"))</f>
        <v/>
      </c>
      <c r="Y1708" t="str">
        <f>IF($B1708="","",_xll.BDP($B1708,"INDUSTRY_SUBGROUP"))</f>
        <v/>
      </c>
      <c r="Z1708" t="str">
        <f>IF($B1708="","",_xll.BDP($B1708,"COUNTRY_FULL_NAME"))</f>
        <v/>
      </c>
    </row>
    <row r="1709" spans="15:26" x14ac:dyDescent="0.25">
      <c r="O1709"/>
      <c r="P1709"/>
      <c r="Q1709"/>
      <c r="W1709" t="str">
        <f>IF(B1709="","",_xll.BDP(B1709,"INDUSTRY_SECTOR"))</f>
        <v/>
      </c>
      <c r="X1709" t="str">
        <f>IF($B1709="","",_xll.BDP($B1709,"INDUSTRY_GROUP"))</f>
        <v/>
      </c>
      <c r="Y1709" t="str">
        <f>IF($B1709="","",_xll.BDP($B1709,"INDUSTRY_SUBGROUP"))</f>
        <v/>
      </c>
      <c r="Z1709" t="str">
        <f>IF($B1709="","",_xll.BDP($B1709,"COUNTRY_FULL_NAME"))</f>
        <v/>
      </c>
    </row>
    <row r="1710" spans="15:26" x14ac:dyDescent="0.25">
      <c r="O1710"/>
      <c r="P1710"/>
      <c r="Q1710"/>
      <c r="W1710" t="str">
        <f>IF(B1710="","",_xll.BDP(B1710,"INDUSTRY_SECTOR"))</f>
        <v/>
      </c>
      <c r="X1710" t="str">
        <f>IF($B1710="","",_xll.BDP($B1710,"INDUSTRY_GROUP"))</f>
        <v/>
      </c>
      <c r="Y1710" t="str">
        <f>IF($B1710="","",_xll.BDP($B1710,"INDUSTRY_SUBGROUP"))</f>
        <v/>
      </c>
      <c r="Z1710" t="str">
        <f>IF($B1710="","",_xll.BDP($B1710,"COUNTRY_FULL_NAME"))</f>
        <v/>
      </c>
    </row>
    <row r="1711" spans="15:26" x14ac:dyDescent="0.25">
      <c r="O1711"/>
      <c r="P1711"/>
      <c r="Q1711"/>
      <c r="W1711" t="str">
        <f>IF(B1711="","",_xll.BDP(B1711,"INDUSTRY_SECTOR"))</f>
        <v/>
      </c>
      <c r="X1711" t="str">
        <f>IF($B1711="","",_xll.BDP($B1711,"INDUSTRY_GROUP"))</f>
        <v/>
      </c>
      <c r="Y1711" t="str">
        <f>IF($B1711="","",_xll.BDP($B1711,"INDUSTRY_SUBGROUP"))</f>
        <v/>
      </c>
      <c r="Z1711" t="str">
        <f>IF($B1711="","",_xll.BDP($B1711,"COUNTRY_FULL_NAME"))</f>
        <v/>
      </c>
    </row>
    <row r="1712" spans="15:26" x14ac:dyDescent="0.25">
      <c r="O1712"/>
      <c r="P1712"/>
      <c r="Q1712"/>
      <c r="W1712" t="str">
        <f>IF(B1712="","",_xll.BDP(B1712,"INDUSTRY_SECTOR"))</f>
        <v/>
      </c>
      <c r="X1712" t="str">
        <f>IF($B1712="","",_xll.BDP($B1712,"INDUSTRY_GROUP"))</f>
        <v/>
      </c>
      <c r="Y1712" t="str">
        <f>IF($B1712="","",_xll.BDP($B1712,"INDUSTRY_SUBGROUP"))</f>
        <v/>
      </c>
      <c r="Z1712" t="str">
        <f>IF($B1712="","",_xll.BDP($B1712,"COUNTRY_FULL_NAME"))</f>
        <v/>
      </c>
    </row>
    <row r="1713" spans="15:26" x14ac:dyDescent="0.25">
      <c r="O1713"/>
      <c r="P1713"/>
      <c r="Q1713"/>
      <c r="W1713" t="str">
        <f>IF(B1713="","",_xll.BDP(B1713,"INDUSTRY_SECTOR"))</f>
        <v/>
      </c>
      <c r="X1713" t="str">
        <f>IF($B1713="","",_xll.BDP($B1713,"INDUSTRY_GROUP"))</f>
        <v/>
      </c>
      <c r="Y1713" t="str">
        <f>IF($B1713="","",_xll.BDP($B1713,"INDUSTRY_SUBGROUP"))</f>
        <v/>
      </c>
      <c r="Z1713" t="str">
        <f>IF($B1713="","",_xll.BDP($B1713,"COUNTRY_FULL_NAME"))</f>
        <v/>
      </c>
    </row>
    <row r="1714" spans="15:26" x14ac:dyDescent="0.25">
      <c r="O1714"/>
      <c r="P1714"/>
      <c r="Q1714"/>
      <c r="W1714" t="str">
        <f>IF(B1714="","",_xll.BDP(B1714,"INDUSTRY_SECTOR"))</f>
        <v/>
      </c>
      <c r="X1714" t="str">
        <f>IF($B1714="","",_xll.BDP($B1714,"INDUSTRY_GROUP"))</f>
        <v/>
      </c>
      <c r="Y1714" t="str">
        <f>IF($B1714="","",_xll.BDP($B1714,"INDUSTRY_SUBGROUP"))</f>
        <v/>
      </c>
      <c r="Z1714" t="str">
        <f>IF($B1714="","",_xll.BDP($B1714,"COUNTRY_FULL_NAME"))</f>
        <v/>
      </c>
    </row>
    <row r="1715" spans="15:26" x14ac:dyDescent="0.25">
      <c r="O1715"/>
      <c r="P1715"/>
      <c r="Q1715"/>
      <c r="W1715" t="str">
        <f>IF(B1715="","",_xll.BDP(B1715,"INDUSTRY_SECTOR"))</f>
        <v/>
      </c>
      <c r="X1715" t="str">
        <f>IF($B1715="","",_xll.BDP($B1715,"INDUSTRY_GROUP"))</f>
        <v/>
      </c>
      <c r="Y1715" t="str">
        <f>IF($B1715="","",_xll.BDP($B1715,"INDUSTRY_SUBGROUP"))</f>
        <v/>
      </c>
      <c r="Z1715" t="str">
        <f>IF($B1715="","",_xll.BDP($B1715,"COUNTRY_FULL_NAME"))</f>
        <v/>
      </c>
    </row>
    <row r="1716" spans="15:26" x14ac:dyDescent="0.25">
      <c r="O1716"/>
      <c r="P1716"/>
      <c r="Q1716"/>
      <c r="W1716" t="str">
        <f>IF(B1716="","",_xll.BDP(B1716,"INDUSTRY_SECTOR"))</f>
        <v/>
      </c>
      <c r="X1716" t="str">
        <f>IF($B1716="","",_xll.BDP($B1716,"INDUSTRY_GROUP"))</f>
        <v/>
      </c>
      <c r="Y1716" t="str">
        <f>IF($B1716="","",_xll.BDP($B1716,"INDUSTRY_SUBGROUP"))</f>
        <v/>
      </c>
      <c r="Z1716" t="str">
        <f>IF($B1716="","",_xll.BDP($B1716,"COUNTRY_FULL_NAME"))</f>
        <v/>
      </c>
    </row>
    <row r="1717" spans="15:26" x14ac:dyDescent="0.25">
      <c r="O1717"/>
      <c r="P1717"/>
      <c r="Q1717"/>
      <c r="W1717" t="str">
        <f>IF(B1717="","",_xll.BDP(B1717,"INDUSTRY_SECTOR"))</f>
        <v/>
      </c>
      <c r="X1717" t="str">
        <f>IF($B1717="","",_xll.BDP($B1717,"INDUSTRY_GROUP"))</f>
        <v/>
      </c>
      <c r="Y1717" t="str">
        <f>IF($B1717="","",_xll.BDP($B1717,"INDUSTRY_SUBGROUP"))</f>
        <v/>
      </c>
      <c r="Z1717" t="str">
        <f>IF($B1717="","",_xll.BDP($B1717,"COUNTRY_FULL_NAME"))</f>
        <v/>
      </c>
    </row>
    <row r="1718" spans="15:26" x14ac:dyDescent="0.25">
      <c r="O1718"/>
      <c r="P1718"/>
      <c r="Q1718"/>
      <c r="W1718" t="str">
        <f>IF(B1718="","",_xll.BDP(B1718,"INDUSTRY_SECTOR"))</f>
        <v/>
      </c>
      <c r="X1718" t="str">
        <f>IF($B1718="","",_xll.BDP($B1718,"INDUSTRY_GROUP"))</f>
        <v/>
      </c>
      <c r="Y1718" t="str">
        <f>IF($B1718="","",_xll.BDP($B1718,"INDUSTRY_SUBGROUP"))</f>
        <v/>
      </c>
      <c r="Z1718" t="str">
        <f>IF($B1718="","",_xll.BDP($B1718,"COUNTRY_FULL_NAME"))</f>
        <v/>
      </c>
    </row>
    <row r="1719" spans="15:26" x14ac:dyDescent="0.25">
      <c r="O1719"/>
      <c r="P1719"/>
      <c r="Q1719"/>
      <c r="W1719" t="str">
        <f>IF(B1719="","",_xll.BDP(B1719,"INDUSTRY_SECTOR"))</f>
        <v/>
      </c>
      <c r="X1719" t="str">
        <f>IF($B1719="","",_xll.BDP($B1719,"INDUSTRY_GROUP"))</f>
        <v/>
      </c>
      <c r="Y1719" t="str">
        <f>IF($B1719="","",_xll.BDP($B1719,"INDUSTRY_SUBGROUP"))</f>
        <v/>
      </c>
      <c r="Z1719" t="str">
        <f>IF($B1719="","",_xll.BDP($B1719,"COUNTRY_FULL_NAME"))</f>
        <v/>
      </c>
    </row>
    <row r="1720" spans="15:26" x14ac:dyDescent="0.25">
      <c r="O1720"/>
      <c r="P1720"/>
      <c r="Q1720"/>
      <c r="W1720" t="str">
        <f>IF(B1720="","",_xll.BDP(B1720,"INDUSTRY_SECTOR"))</f>
        <v/>
      </c>
      <c r="X1720" t="str">
        <f>IF($B1720="","",_xll.BDP($B1720,"INDUSTRY_GROUP"))</f>
        <v/>
      </c>
      <c r="Y1720" t="str">
        <f>IF($B1720="","",_xll.BDP($B1720,"INDUSTRY_SUBGROUP"))</f>
        <v/>
      </c>
      <c r="Z1720" t="str">
        <f>IF($B1720="","",_xll.BDP($B1720,"COUNTRY_FULL_NAME"))</f>
        <v/>
      </c>
    </row>
    <row r="1721" spans="15:26" x14ac:dyDescent="0.25">
      <c r="O1721"/>
      <c r="P1721"/>
      <c r="Q1721"/>
      <c r="W1721" t="str">
        <f>IF(B1721="","",_xll.BDP(B1721,"INDUSTRY_SECTOR"))</f>
        <v/>
      </c>
      <c r="X1721" t="str">
        <f>IF($B1721="","",_xll.BDP($B1721,"INDUSTRY_GROUP"))</f>
        <v/>
      </c>
      <c r="Y1721" t="str">
        <f>IF($B1721="","",_xll.BDP($B1721,"INDUSTRY_SUBGROUP"))</f>
        <v/>
      </c>
      <c r="Z1721" t="str">
        <f>IF($B1721="","",_xll.BDP($B1721,"COUNTRY_FULL_NAME"))</f>
        <v/>
      </c>
    </row>
    <row r="1722" spans="15:26" x14ac:dyDescent="0.25">
      <c r="O1722"/>
      <c r="P1722"/>
      <c r="Q1722"/>
      <c r="W1722" t="str">
        <f>IF(B1722="","",_xll.BDP(B1722,"INDUSTRY_SECTOR"))</f>
        <v/>
      </c>
      <c r="X1722" t="str">
        <f>IF($B1722="","",_xll.BDP($B1722,"INDUSTRY_GROUP"))</f>
        <v/>
      </c>
      <c r="Y1722" t="str">
        <f>IF($B1722="","",_xll.BDP($B1722,"INDUSTRY_SUBGROUP"))</f>
        <v/>
      </c>
      <c r="Z1722" t="str">
        <f>IF($B1722="","",_xll.BDP($B1722,"COUNTRY_FULL_NAME"))</f>
        <v/>
      </c>
    </row>
    <row r="1723" spans="15:26" x14ac:dyDescent="0.25">
      <c r="O1723"/>
      <c r="P1723"/>
      <c r="Q1723"/>
      <c r="W1723" t="str">
        <f>IF(B1723="","",_xll.BDP(B1723,"INDUSTRY_SECTOR"))</f>
        <v/>
      </c>
      <c r="X1723" t="str">
        <f>IF($B1723="","",_xll.BDP($B1723,"INDUSTRY_GROUP"))</f>
        <v/>
      </c>
      <c r="Y1723" t="str">
        <f>IF($B1723="","",_xll.BDP($B1723,"INDUSTRY_SUBGROUP"))</f>
        <v/>
      </c>
      <c r="Z1723" t="str">
        <f>IF($B1723="","",_xll.BDP($B1723,"COUNTRY_FULL_NAME"))</f>
        <v/>
      </c>
    </row>
    <row r="1724" spans="15:26" x14ac:dyDescent="0.25">
      <c r="O1724"/>
      <c r="P1724"/>
      <c r="Q1724"/>
      <c r="W1724" t="str">
        <f>IF(B1724="","",_xll.BDP(B1724,"INDUSTRY_SECTOR"))</f>
        <v/>
      </c>
      <c r="X1724" t="str">
        <f>IF($B1724="","",_xll.BDP($B1724,"INDUSTRY_GROUP"))</f>
        <v/>
      </c>
      <c r="Y1724" t="str">
        <f>IF($B1724="","",_xll.BDP($B1724,"INDUSTRY_SUBGROUP"))</f>
        <v/>
      </c>
      <c r="Z1724" t="str">
        <f>IF($B1724="","",_xll.BDP($B1724,"COUNTRY_FULL_NAME"))</f>
        <v/>
      </c>
    </row>
    <row r="1725" spans="15:26" x14ac:dyDescent="0.25">
      <c r="O1725"/>
      <c r="P1725"/>
      <c r="Q1725"/>
      <c r="W1725" t="str">
        <f>IF(B1725="","",_xll.BDP(B1725,"INDUSTRY_SECTOR"))</f>
        <v/>
      </c>
      <c r="X1725" t="str">
        <f>IF($B1725="","",_xll.BDP($B1725,"INDUSTRY_GROUP"))</f>
        <v/>
      </c>
      <c r="Y1725" t="str">
        <f>IF($B1725="","",_xll.BDP($B1725,"INDUSTRY_SUBGROUP"))</f>
        <v/>
      </c>
      <c r="Z1725" t="str">
        <f>IF($B1725="","",_xll.BDP($B1725,"COUNTRY_FULL_NAME"))</f>
        <v/>
      </c>
    </row>
    <row r="1726" spans="15:26" x14ac:dyDescent="0.25">
      <c r="O1726"/>
      <c r="P1726"/>
      <c r="W1726" t="str">
        <f>IF(B1726="","",_xll.BDP(B1726,"INDUSTRY_SECTOR"))</f>
        <v/>
      </c>
      <c r="X1726" t="str">
        <f>IF($B1726="","",_xll.BDP($B1726,"INDUSTRY_GROUP"))</f>
        <v/>
      </c>
      <c r="Y1726" t="str">
        <f>IF($B1726="","",_xll.BDP($B1726,"INDUSTRY_SUBGROUP"))</f>
        <v/>
      </c>
      <c r="Z1726" t="str">
        <f>IF($B1726="","",_xll.BDP($B1726,"COUNTRY_FULL_NAME"))</f>
        <v/>
      </c>
    </row>
    <row r="1727" spans="15:26" x14ac:dyDescent="0.25">
      <c r="O1727"/>
      <c r="P1727"/>
      <c r="Q1727"/>
      <c r="W1727" t="str">
        <f>IF(B1727="","",_xll.BDP(B1727,"INDUSTRY_SECTOR"))</f>
        <v/>
      </c>
      <c r="X1727" t="str">
        <f>IF($B1727="","",_xll.BDP($B1727,"INDUSTRY_GROUP"))</f>
        <v/>
      </c>
      <c r="Y1727" t="str">
        <f>IF($B1727="","",_xll.BDP($B1727,"INDUSTRY_SUBGROUP"))</f>
        <v/>
      </c>
      <c r="Z1727" t="str">
        <f>IF($B1727="","",_xll.BDP($B1727,"COUNTRY_FULL_NAME"))</f>
        <v/>
      </c>
    </row>
    <row r="1728" spans="15:26" x14ac:dyDescent="0.25">
      <c r="O1728"/>
      <c r="P1728"/>
      <c r="Q1728"/>
      <c r="W1728" t="str">
        <f>IF(B1728="","",_xll.BDP(B1728,"INDUSTRY_SECTOR"))</f>
        <v/>
      </c>
      <c r="X1728" t="str">
        <f>IF($B1728="","",_xll.BDP($B1728,"INDUSTRY_GROUP"))</f>
        <v/>
      </c>
      <c r="Y1728" t="str">
        <f>IF($B1728="","",_xll.BDP($B1728,"INDUSTRY_SUBGROUP"))</f>
        <v/>
      </c>
      <c r="Z1728" t="str">
        <f>IF($B1728="","",_xll.BDP($B1728,"COUNTRY_FULL_NAME"))</f>
        <v/>
      </c>
    </row>
    <row r="1729" spans="15:26" x14ac:dyDescent="0.25">
      <c r="O1729"/>
      <c r="P1729"/>
      <c r="Q1729"/>
      <c r="W1729" t="str">
        <f>IF(B1729="","",_xll.BDP(B1729,"INDUSTRY_SECTOR"))</f>
        <v/>
      </c>
      <c r="X1729" t="str">
        <f>IF($B1729="","",_xll.BDP($B1729,"INDUSTRY_GROUP"))</f>
        <v/>
      </c>
      <c r="Y1729" t="str">
        <f>IF($B1729="","",_xll.BDP($B1729,"INDUSTRY_SUBGROUP"))</f>
        <v/>
      </c>
      <c r="Z1729" t="str">
        <f>IF($B1729="","",_xll.BDP($B1729,"COUNTRY_FULL_NAME"))</f>
        <v/>
      </c>
    </row>
    <row r="1730" spans="15:26" x14ac:dyDescent="0.25">
      <c r="O1730"/>
      <c r="P1730"/>
      <c r="Q1730"/>
      <c r="W1730" t="str">
        <f>IF(B1730="","",_xll.BDP(B1730,"INDUSTRY_SECTOR"))</f>
        <v/>
      </c>
      <c r="X1730" t="str">
        <f>IF($B1730="","",_xll.BDP($B1730,"INDUSTRY_GROUP"))</f>
        <v/>
      </c>
      <c r="Y1730" t="str">
        <f>IF($B1730="","",_xll.BDP($B1730,"INDUSTRY_SUBGROUP"))</f>
        <v/>
      </c>
      <c r="Z1730" t="str">
        <f>IF($B1730="","",_xll.BDP($B1730,"COUNTRY_FULL_NAME"))</f>
        <v/>
      </c>
    </row>
    <row r="1731" spans="15:26" x14ac:dyDescent="0.25">
      <c r="O1731"/>
      <c r="P1731"/>
      <c r="Q1731"/>
      <c r="W1731" t="str">
        <f>IF(B1731="","",_xll.BDP(B1731,"INDUSTRY_SECTOR"))</f>
        <v/>
      </c>
      <c r="X1731" t="str">
        <f>IF($B1731="","",_xll.BDP($B1731,"INDUSTRY_GROUP"))</f>
        <v/>
      </c>
      <c r="Y1731" t="str">
        <f>IF($B1731="","",_xll.BDP($B1731,"INDUSTRY_SUBGROUP"))</f>
        <v/>
      </c>
      <c r="Z1731" t="str">
        <f>IF($B1731="","",_xll.BDP($B1731,"COUNTRY_FULL_NAME"))</f>
        <v/>
      </c>
    </row>
    <row r="1732" spans="15:26" x14ac:dyDescent="0.25">
      <c r="O1732"/>
      <c r="P1732"/>
      <c r="Q1732"/>
      <c r="W1732" t="str">
        <f>IF(B1732="","",_xll.BDP(B1732,"INDUSTRY_SECTOR"))</f>
        <v/>
      </c>
      <c r="X1732" t="str">
        <f>IF($B1732="","",_xll.BDP($B1732,"INDUSTRY_GROUP"))</f>
        <v/>
      </c>
      <c r="Y1732" t="str">
        <f>IF($B1732="","",_xll.BDP($B1732,"INDUSTRY_SUBGROUP"))</f>
        <v/>
      </c>
      <c r="Z1732" t="str">
        <f>IF($B1732="","",_xll.BDP($B1732,"COUNTRY_FULL_NAME"))</f>
        <v/>
      </c>
    </row>
    <row r="1733" spans="15:26" x14ac:dyDescent="0.25">
      <c r="O1733"/>
      <c r="P1733"/>
      <c r="Q1733"/>
      <c r="W1733" t="str">
        <f>IF(B1733="","",_xll.BDP(B1733,"INDUSTRY_SECTOR"))</f>
        <v/>
      </c>
      <c r="X1733" t="str">
        <f>IF($B1733="","",_xll.BDP($B1733,"INDUSTRY_GROUP"))</f>
        <v/>
      </c>
      <c r="Y1733" t="str">
        <f>IF($B1733="","",_xll.BDP($B1733,"INDUSTRY_SUBGROUP"))</f>
        <v/>
      </c>
      <c r="Z1733" t="str">
        <f>IF($B1733="","",_xll.BDP($B1733,"COUNTRY_FULL_NAME"))</f>
        <v/>
      </c>
    </row>
    <row r="1734" spans="15:26" x14ac:dyDescent="0.25">
      <c r="O1734"/>
      <c r="P1734"/>
      <c r="Q1734"/>
      <c r="W1734" t="str">
        <f>IF(B1734="","",_xll.BDP(B1734,"INDUSTRY_SECTOR"))</f>
        <v/>
      </c>
      <c r="X1734" t="str">
        <f>IF($B1734="","",_xll.BDP($B1734,"INDUSTRY_GROUP"))</f>
        <v/>
      </c>
      <c r="Y1734" t="str">
        <f>IF($B1734="","",_xll.BDP($B1734,"INDUSTRY_SUBGROUP"))</f>
        <v/>
      </c>
      <c r="Z1734" t="str">
        <f>IF($B1734="","",_xll.BDP($B1734,"COUNTRY_FULL_NAME"))</f>
        <v/>
      </c>
    </row>
    <row r="1735" spans="15:26" x14ac:dyDescent="0.25">
      <c r="O1735"/>
      <c r="P1735"/>
      <c r="Q1735"/>
      <c r="W1735" t="str">
        <f>IF(B1735="","",_xll.BDP(B1735,"INDUSTRY_SECTOR"))</f>
        <v/>
      </c>
      <c r="X1735" t="str">
        <f>IF($B1735="","",_xll.BDP($B1735,"INDUSTRY_GROUP"))</f>
        <v/>
      </c>
      <c r="Y1735" t="str">
        <f>IF($B1735="","",_xll.BDP($B1735,"INDUSTRY_SUBGROUP"))</f>
        <v/>
      </c>
      <c r="Z1735" t="str">
        <f>IF($B1735="","",_xll.BDP($B1735,"COUNTRY_FULL_NAME"))</f>
        <v/>
      </c>
    </row>
    <row r="1736" spans="15:26" x14ac:dyDescent="0.25">
      <c r="O1736"/>
      <c r="P1736"/>
      <c r="Q1736"/>
      <c r="W1736" t="str">
        <f>IF(B1736="","",_xll.BDP(B1736,"INDUSTRY_SECTOR"))</f>
        <v/>
      </c>
      <c r="X1736" t="str">
        <f>IF($B1736="","",_xll.BDP($B1736,"INDUSTRY_GROUP"))</f>
        <v/>
      </c>
      <c r="Y1736" t="str">
        <f>IF($B1736="","",_xll.BDP($B1736,"INDUSTRY_SUBGROUP"))</f>
        <v/>
      </c>
      <c r="Z1736" t="str">
        <f>IF($B1736="","",_xll.BDP($B1736,"COUNTRY_FULL_NAME"))</f>
        <v/>
      </c>
    </row>
    <row r="1737" spans="15:26" x14ac:dyDescent="0.25">
      <c r="O1737"/>
      <c r="P1737"/>
      <c r="Q1737"/>
      <c r="W1737" t="str">
        <f>IF(B1737="","",_xll.BDP(B1737,"INDUSTRY_SECTOR"))</f>
        <v/>
      </c>
      <c r="X1737" t="str">
        <f>IF($B1737="","",_xll.BDP($B1737,"INDUSTRY_GROUP"))</f>
        <v/>
      </c>
      <c r="Y1737" t="str">
        <f>IF($B1737="","",_xll.BDP($B1737,"INDUSTRY_SUBGROUP"))</f>
        <v/>
      </c>
      <c r="Z1737" t="str">
        <f>IF($B1737="","",_xll.BDP($B1737,"COUNTRY_FULL_NAME"))</f>
        <v/>
      </c>
    </row>
    <row r="1738" spans="15:26" x14ac:dyDescent="0.25">
      <c r="O1738"/>
      <c r="P1738"/>
      <c r="Q1738"/>
      <c r="W1738" t="str">
        <f>IF(B1738="","",_xll.BDP(B1738,"INDUSTRY_SECTOR"))</f>
        <v/>
      </c>
      <c r="X1738" t="str">
        <f>IF($B1738="","",_xll.BDP($B1738,"INDUSTRY_GROUP"))</f>
        <v/>
      </c>
      <c r="Y1738" t="str">
        <f>IF($B1738="","",_xll.BDP($B1738,"INDUSTRY_SUBGROUP"))</f>
        <v/>
      </c>
      <c r="Z1738" t="str">
        <f>IF($B1738="","",_xll.BDP($B1738,"COUNTRY_FULL_NAME"))</f>
        <v/>
      </c>
    </row>
    <row r="1739" spans="15:26" x14ac:dyDescent="0.25">
      <c r="O1739"/>
      <c r="P1739"/>
      <c r="Q1739"/>
      <c r="W1739" t="str">
        <f>IF(B1739="","",_xll.BDP(B1739,"INDUSTRY_SECTOR"))</f>
        <v/>
      </c>
      <c r="X1739" t="str">
        <f>IF($B1739="","",_xll.BDP($B1739,"INDUSTRY_GROUP"))</f>
        <v/>
      </c>
      <c r="Y1739" t="str">
        <f>IF($B1739="","",_xll.BDP($B1739,"INDUSTRY_SUBGROUP"))</f>
        <v/>
      </c>
      <c r="Z1739" t="str">
        <f>IF($B1739="","",_xll.BDP($B1739,"COUNTRY_FULL_NAME"))</f>
        <v/>
      </c>
    </row>
    <row r="1740" spans="15:26" x14ac:dyDescent="0.25">
      <c r="O1740"/>
      <c r="P1740"/>
      <c r="Q1740"/>
      <c r="W1740" t="str">
        <f>IF(B1740="","",_xll.BDP(B1740,"INDUSTRY_SECTOR"))</f>
        <v/>
      </c>
      <c r="X1740" t="str">
        <f>IF($B1740="","",_xll.BDP($B1740,"INDUSTRY_GROUP"))</f>
        <v/>
      </c>
      <c r="Y1740" t="str">
        <f>IF($B1740="","",_xll.BDP($B1740,"INDUSTRY_SUBGROUP"))</f>
        <v/>
      </c>
      <c r="Z1740" t="str">
        <f>IF($B1740="","",_xll.BDP($B1740,"COUNTRY_FULL_NAME"))</f>
        <v/>
      </c>
    </row>
    <row r="1741" spans="15:26" x14ac:dyDescent="0.25">
      <c r="O1741"/>
      <c r="P1741"/>
      <c r="Q1741"/>
      <c r="W1741" t="str">
        <f>IF(B1741="","",_xll.BDP(B1741,"INDUSTRY_SECTOR"))</f>
        <v/>
      </c>
      <c r="X1741" t="str">
        <f>IF($B1741="","",_xll.BDP($B1741,"INDUSTRY_GROUP"))</f>
        <v/>
      </c>
      <c r="Y1741" t="str">
        <f>IF($B1741="","",_xll.BDP($B1741,"INDUSTRY_SUBGROUP"))</f>
        <v/>
      </c>
      <c r="Z1741" t="str">
        <f>IF($B1741="","",_xll.BDP($B1741,"COUNTRY_FULL_NAME"))</f>
        <v/>
      </c>
    </row>
    <row r="1742" spans="15:26" x14ac:dyDescent="0.25">
      <c r="O1742"/>
      <c r="P1742"/>
      <c r="Q1742"/>
      <c r="W1742" t="str">
        <f>IF(B1742="","",_xll.BDP(B1742,"INDUSTRY_SECTOR"))</f>
        <v/>
      </c>
      <c r="X1742" t="str">
        <f>IF($B1742="","",_xll.BDP($B1742,"INDUSTRY_GROUP"))</f>
        <v/>
      </c>
      <c r="Y1742" t="str">
        <f>IF($B1742="","",_xll.BDP($B1742,"INDUSTRY_SUBGROUP"))</f>
        <v/>
      </c>
      <c r="Z1742" t="str">
        <f>IF($B1742="","",_xll.BDP($B1742,"COUNTRY_FULL_NAME"))</f>
        <v/>
      </c>
    </row>
    <row r="1743" spans="15:26" x14ac:dyDescent="0.25">
      <c r="O1743"/>
      <c r="P1743"/>
      <c r="Q1743"/>
      <c r="W1743" t="str">
        <f>IF(B1743="","",_xll.BDP(B1743,"INDUSTRY_SECTOR"))</f>
        <v/>
      </c>
      <c r="X1743" t="str">
        <f>IF($B1743="","",_xll.BDP($B1743,"INDUSTRY_GROUP"))</f>
        <v/>
      </c>
      <c r="Y1743" t="str">
        <f>IF($B1743="","",_xll.BDP($B1743,"INDUSTRY_SUBGROUP"))</f>
        <v/>
      </c>
      <c r="Z1743" t="str">
        <f>IF($B1743="","",_xll.BDP($B1743,"COUNTRY_FULL_NAME"))</f>
        <v/>
      </c>
    </row>
    <row r="1744" spans="15:26" x14ac:dyDescent="0.25">
      <c r="O1744"/>
      <c r="P1744"/>
      <c r="W1744" t="str">
        <f>IF(B1744="","",_xll.BDP(B1744,"INDUSTRY_SECTOR"))</f>
        <v/>
      </c>
      <c r="X1744" t="str">
        <f>IF($B1744="","",_xll.BDP($B1744,"INDUSTRY_GROUP"))</f>
        <v/>
      </c>
      <c r="Y1744" t="str">
        <f>IF($B1744="","",_xll.BDP($B1744,"INDUSTRY_SUBGROUP"))</f>
        <v/>
      </c>
      <c r="Z1744" t="str">
        <f>IF($B1744="","",_xll.BDP($B1744,"COUNTRY_FULL_NAME"))</f>
        <v/>
      </c>
    </row>
    <row r="1745" spans="15:26" x14ac:dyDescent="0.25">
      <c r="O1745"/>
      <c r="P1745"/>
      <c r="Q1745"/>
      <c r="W1745" t="str">
        <f>IF(B1745="","",_xll.BDP(B1745,"INDUSTRY_SECTOR"))</f>
        <v/>
      </c>
      <c r="X1745" t="str">
        <f>IF($B1745="","",_xll.BDP($B1745,"INDUSTRY_GROUP"))</f>
        <v/>
      </c>
      <c r="Y1745" t="str">
        <f>IF($B1745="","",_xll.BDP($B1745,"INDUSTRY_SUBGROUP"))</f>
        <v/>
      </c>
      <c r="Z1745" t="str">
        <f>IF($B1745="","",_xll.BDP($B1745,"COUNTRY_FULL_NAME"))</f>
        <v/>
      </c>
    </row>
    <row r="1746" spans="15:26" x14ac:dyDescent="0.25">
      <c r="O1746"/>
      <c r="P1746"/>
      <c r="Q1746"/>
      <c r="W1746" t="str">
        <f>IF(B1746="","",_xll.BDP(B1746,"INDUSTRY_SECTOR"))</f>
        <v/>
      </c>
      <c r="X1746" t="str">
        <f>IF($B1746="","",_xll.BDP($B1746,"INDUSTRY_GROUP"))</f>
        <v/>
      </c>
      <c r="Y1746" t="str">
        <f>IF($B1746="","",_xll.BDP($B1746,"INDUSTRY_SUBGROUP"))</f>
        <v/>
      </c>
      <c r="Z1746" t="str">
        <f>IF($B1746="","",_xll.BDP($B1746,"COUNTRY_FULL_NAME"))</f>
        <v/>
      </c>
    </row>
    <row r="1747" spans="15:26" x14ac:dyDescent="0.25">
      <c r="O1747"/>
      <c r="P1747"/>
      <c r="Q1747"/>
      <c r="W1747" t="str">
        <f>IF(B1747="","",_xll.BDP(B1747,"INDUSTRY_SECTOR"))</f>
        <v/>
      </c>
      <c r="X1747" t="str">
        <f>IF($B1747="","",_xll.BDP($B1747,"INDUSTRY_GROUP"))</f>
        <v/>
      </c>
      <c r="Y1747" t="str">
        <f>IF($B1747="","",_xll.BDP($B1747,"INDUSTRY_SUBGROUP"))</f>
        <v/>
      </c>
      <c r="Z1747" t="str">
        <f>IF($B1747="","",_xll.BDP($B1747,"COUNTRY_FULL_NAME"))</f>
        <v/>
      </c>
    </row>
    <row r="1748" spans="15:26" x14ac:dyDescent="0.25">
      <c r="O1748"/>
      <c r="P1748"/>
      <c r="Q1748"/>
      <c r="W1748" t="str">
        <f>IF(B1748="","",_xll.BDP(B1748,"INDUSTRY_SECTOR"))</f>
        <v/>
      </c>
      <c r="X1748" t="str">
        <f>IF($B1748="","",_xll.BDP($B1748,"INDUSTRY_GROUP"))</f>
        <v/>
      </c>
      <c r="Y1748" t="str">
        <f>IF($B1748="","",_xll.BDP($B1748,"INDUSTRY_SUBGROUP"))</f>
        <v/>
      </c>
      <c r="Z1748" t="str">
        <f>IF($B1748="","",_xll.BDP($B1748,"COUNTRY_FULL_NAME"))</f>
        <v/>
      </c>
    </row>
    <row r="1749" spans="15:26" x14ac:dyDescent="0.25">
      <c r="O1749"/>
      <c r="P1749"/>
      <c r="Q1749"/>
      <c r="W1749" t="str">
        <f>IF(B1749="","",_xll.BDP(B1749,"INDUSTRY_SECTOR"))</f>
        <v/>
      </c>
      <c r="X1749" t="str">
        <f>IF($B1749="","",_xll.BDP($B1749,"INDUSTRY_GROUP"))</f>
        <v/>
      </c>
      <c r="Y1749" t="str">
        <f>IF($B1749="","",_xll.BDP($B1749,"INDUSTRY_SUBGROUP"))</f>
        <v/>
      </c>
      <c r="Z1749" t="str">
        <f>IF($B1749="","",_xll.BDP($B1749,"COUNTRY_FULL_NAME"))</f>
        <v/>
      </c>
    </row>
    <row r="1750" spans="15:26" x14ac:dyDescent="0.25">
      <c r="O1750"/>
      <c r="P1750"/>
      <c r="Q1750"/>
      <c r="W1750" t="str">
        <f>IF(B1750="","",_xll.BDP(B1750,"INDUSTRY_SECTOR"))</f>
        <v/>
      </c>
      <c r="X1750" t="str">
        <f>IF($B1750="","",_xll.BDP($B1750,"INDUSTRY_GROUP"))</f>
        <v/>
      </c>
      <c r="Y1750" t="str">
        <f>IF($B1750="","",_xll.BDP($B1750,"INDUSTRY_SUBGROUP"))</f>
        <v/>
      </c>
      <c r="Z1750" t="str">
        <f>IF($B1750="","",_xll.BDP($B1750,"COUNTRY_FULL_NAME"))</f>
        <v/>
      </c>
    </row>
    <row r="1751" spans="15:26" x14ac:dyDescent="0.25">
      <c r="O1751"/>
      <c r="P1751"/>
      <c r="Q1751"/>
      <c r="W1751" t="str">
        <f>IF(B1751="","",_xll.BDP(B1751,"INDUSTRY_SECTOR"))</f>
        <v/>
      </c>
      <c r="X1751" t="str">
        <f>IF($B1751="","",_xll.BDP($B1751,"INDUSTRY_GROUP"))</f>
        <v/>
      </c>
      <c r="Y1751" t="str">
        <f>IF($B1751="","",_xll.BDP($B1751,"INDUSTRY_SUBGROUP"))</f>
        <v/>
      </c>
      <c r="Z1751" t="str">
        <f>IF($B1751="","",_xll.BDP($B1751,"COUNTRY_FULL_NAME"))</f>
        <v/>
      </c>
    </row>
    <row r="1752" spans="15:26" x14ac:dyDescent="0.25">
      <c r="O1752"/>
      <c r="P1752"/>
      <c r="Q1752"/>
      <c r="W1752" t="str">
        <f>IF(B1752="","",_xll.BDP(B1752,"INDUSTRY_SECTOR"))</f>
        <v/>
      </c>
      <c r="X1752" t="str">
        <f>IF($B1752="","",_xll.BDP($B1752,"INDUSTRY_GROUP"))</f>
        <v/>
      </c>
      <c r="Y1752" t="str">
        <f>IF($B1752="","",_xll.BDP($B1752,"INDUSTRY_SUBGROUP"))</f>
        <v/>
      </c>
      <c r="Z1752" t="str">
        <f>IF($B1752="","",_xll.BDP($B1752,"COUNTRY_FULL_NAME"))</f>
        <v/>
      </c>
    </row>
    <row r="1753" spans="15:26" x14ac:dyDescent="0.25">
      <c r="O1753"/>
      <c r="P1753"/>
      <c r="Q1753"/>
      <c r="W1753" t="str">
        <f>IF(B1753="","",_xll.BDP(B1753,"INDUSTRY_SECTOR"))</f>
        <v/>
      </c>
      <c r="X1753" t="str">
        <f>IF($B1753="","",_xll.BDP($B1753,"INDUSTRY_GROUP"))</f>
        <v/>
      </c>
      <c r="Y1753" t="str">
        <f>IF($B1753="","",_xll.BDP($B1753,"INDUSTRY_SUBGROUP"))</f>
        <v/>
      </c>
      <c r="Z1753" t="str">
        <f>IF($B1753="","",_xll.BDP($B1753,"COUNTRY_FULL_NAME"))</f>
        <v/>
      </c>
    </row>
    <row r="1754" spans="15:26" x14ac:dyDescent="0.25">
      <c r="O1754"/>
      <c r="P1754"/>
      <c r="Q1754"/>
      <c r="W1754" t="str">
        <f>IF(B1754="","",_xll.BDP(B1754,"INDUSTRY_SECTOR"))</f>
        <v/>
      </c>
      <c r="X1754" t="str">
        <f>IF($B1754="","",_xll.BDP($B1754,"INDUSTRY_GROUP"))</f>
        <v/>
      </c>
      <c r="Y1754" t="str">
        <f>IF($B1754="","",_xll.BDP($B1754,"INDUSTRY_SUBGROUP"))</f>
        <v/>
      </c>
      <c r="Z1754" t="str">
        <f>IF($B1754="","",_xll.BDP($B1754,"COUNTRY_FULL_NAME"))</f>
        <v/>
      </c>
    </row>
    <row r="1755" spans="15:26" x14ac:dyDescent="0.25">
      <c r="O1755"/>
      <c r="P1755"/>
      <c r="Q1755"/>
      <c r="W1755" t="str">
        <f>IF(B1755="","",_xll.BDP(B1755,"INDUSTRY_SECTOR"))</f>
        <v/>
      </c>
      <c r="X1755" t="str">
        <f>IF($B1755="","",_xll.BDP($B1755,"INDUSTRY_GROUP"))</f>
        <v/>
      </c>
      <c r="Y1755" t="str">
        <f>IF($B1755="","",_xll.BDP($B1755,"INDUSTRY_SUBGROUP"))</f>
        <v/>
      </c>
      <c r="Z1755" t="str">
        <f>IF($B1755="","",_xll.BDP($B1755,"COUNTRY_FULL_NAME"))</f>
        <v/>
      </c>
    </row>
    <row r="1756" spans="15:26" x14ac:dyDescent="0.25">
      <c r="O1756"/>
      <c r="P1756"/>
      <c r="Q1756"/>
      <c r="W1756" t="str">
        <f>IF(B1756="","",_xll.BDP(B1756,"INDUSTRY_SECTOR"))</f>
        <v/>
      </c>
      <c r="X1756" t="str">
        <f>IF($B1756="","",_xll.BDP($B1756,"INDUSTRY_GROUP"))</f>
        <v/>
      </c>
      <c r="Y1756" t="str">
        <f>IF($B1756="","",_xll.BDP($B1756,"INDUSTRY_SUBGROUP"))</f>
        <v/>
      </c>
      <c r="Z1756" t="str">
        <f>IF($B1756="","",_xll.BDP($B1756,"COUNTRY_FULL_NAME"))</f>
        <v/>
      </c>
    </row>
    <row r="1757" spans="15:26" x14ac:dyDescent="0.25">
      <c r="O1757"/>
      <c r="P1757"/>
      <c r="Q1757"/>
      <c r="W1757" t="str">
        <f>IF(B1757="","",_xll.BDP(B1757,"INDUSTRY_SECTOR"))</f>
        <v/>
      </c>
      <c r="X1757" t="str">
        <f>IF($B1757="","",_xll.BDP($B1757,"INDUSTRY_GROUP"))</f>
        <v/>
      </c>
      <c r="Y1757" t="str">
        <f>IF($B1757="","",_xll.BDP($B1757,"INDUSTRY_SUBGROUP"))</f>
        <v/>
      </c>
      <c r="Z1757" t="str">
        <f>IF($B1757="","",_xll.BDP($B1757,"COUNTRY_FULL_NAME"))</f>
        <v/>
      </c>
    </row>
    <row r="1758" spans="15:26" x14ac:dyDescent="0.25">
      <c r="O1758"/>
      <c r="P1758"/>
      <c r="Q1758"/>
      <c r="W1758" t="str">
        <f>IF(B1758="","",_xll.BDP(B1758,"INDUSTRY_SECTOR"))</f>
        <v/>
      </c>
      <c r="X1758" t="str">
        <f>IF($B1758="","",_xll.BDP($B1758,"INDUSTRY_GROUP"))</f>
        <v/>
      </c>
      <c r="Y1758" t="str">
        <f>IF($B1758="","",_xll.BDP($B1758,"INDUSTRY_SUBGROUP"))</f>
        <v/>
      </c>
      <c r="Z1758" t="str">
        <f>IF($B1758="","",_xll.BDP($B1758,"COUNTRY_FULL_NAME"))</f>
        <v/>
      </c>
    </row>
    <row r="1759" spans="15:26" x14ac:dyDescent="0.25">
      <c r="O1759"/>
      <c r="P1759"/>
      <c r="Q1759"/>
      <c r="W1759" t="str">
        <f>IF(B1759="","",_xll.BDP(B1759,"INDUSTRY_SECTOR"))</f>
        <v/>
      </c>
      <c r="X1759" t="str">
        <f>IF($B1759="","",_xll.BDP($B1759,"INDUSTRY_GROUP"))</f>
        <v/>
      </c>
      <c r="Y1759" t="str">
        <f>IF($B1759="","",_xll.BDP($B1759,"INDUSTRY_SUBGROUP"))</f>
        <v/>
      </c>
      <c r="Z1759" t="str">
        <f>IF($B1759="","",_xll.BDP($B1759,"COUNTRY_FULL_NAME"))</f>
        <v/>
      </c>
    </row>
    <row r="1760" spans="15:26" x14ac:dyDescent="0.25">
      <c r="O1760"/>
      <c r="P1760"/>
      <c r="Q1760"/>
      <c r="W1760" t="str">
        <f>IF(B1760="","",_xll.BDP(B1760,"INDUSTRY_SECTOR"))</f>
        <v/>
      </c>
      <c r="X1760" t="str">
        <f>IF($B1760="","",_xll.BDP($B1760,"INDUSTRY_GROUP"))</f>
        <v/>
      </c>
      <c r="Y1760" t="str">
        <f>IF($B1760="","",_xll.BDP($B1760,"INDUSTRY_SUBGROUP"))</f>
        <v/>
      </c>
      <c r="Z1760" t="str">
        <f>IF($B1760="","",_xll.BDP($B1760,"COUNTRY_FULL_NAME"))</f>
        <v/>
      </c>
    </row>
    <row r="1761" spans="15:26" x14ac:dyDescent="0.25">
      <c r="O1761"/>
      <c r="P1761"/>
      <c r="Q1761"/>
      <c r="W1761" t="str">
        <f>IF(B1761="","",_xll.BDP(B1761,"INDUSTRY_SECTOR"))</f>
        <v/>
      </c>
      <c r="X1761" t="str">
        <f>IF($B1761="","",_xll.BDP($B1761,"INDUSTRY_GROUP"))</f>
        <v/>
      </c>
      <c r="Y1761" t="str">
        <f>IF($B1761="","",_xll.BDP($B1761,"INDUSTRY_SUBGROUP"))</f>
        <v/>
      </c>
      <c r="Z1761" t="str">
        <f>IF($B1761="","",_xll.BDP($B1761,"COUNTRY_FULL_NAME"))</f>
        <v/>
      </c>
    </row>
    <row r="1762" spans="15:26" x14ac:dyDescent="0.25">
      <c r="O1762"/>
      <c r="P1762"/>
      <c r="Q1762"/>
      <c r="W1762" t="str">
        <f>IF(B1762="","",_xll.BDP(B1762,"INDUSTRY_SECTOR"))</f>
        <v/>
      </c>
      <c r="X1762" t="str">
        <f>IF($B1762="","",_xll.BDP($B1762,"INDUSTRY_GROUP"))</f>
        <v/>
      </c>
      <c r="Y1762" t="str">
        <f>IF($B1762="","",_xll.BDP($B1762,"INDUSTRY_SUBGROUP"))</f>
        <v/>
      </c>
      <c r="Z1762" t="str">
        <f>IF($B1762="","",_xll.BDP($B1762,"COUNTRY_FULL_NAME"))</f>
        <v/>
      </c>
    </row>
    <row r="1763" spans="15:26" x14ac:dyDescent="0.25">
      <c r="O1763"/>
      <c r="P1763"/>
      <c r="W1763" t="str">
        <f>IF(B1763="","",_xll.BDP(B1763,"INDUSTRY_SECTOR"))</f>
        <v/>
      </c>
      <c r="X1763" t="str">
        <f>IF($B1763="","",_xll.BDP($B1763,"INDUSTRY_GROUP"))</f>
        <v/>
      </c>
      <c r="Y1763" t="str">
        <f>IF($B1763="","",_xll.BDP($B1763,"INDUSTRY_SUBGROUP"))</f>
        <v/>
      </c>
      <c r="Z1763" t="str">
        <f>IF($B1763="","",_xll.BDP($B1763,"COUNTRY_FULL_NAME"))</f>
        <v/>
      </c>
    </row>
    <row r="1764" spans="15:26" x14ac:dyDescent="0.25">
      <c r="O1764"/>
      <c r="P1764"/>
      <c r="Q1764"/>
      <c r="W1764" t="str">
        <f>IF(B1764="","",_xll.BDP(B1764,"INDUSTRY_SECTOR"))</f>
        <v/>
      </c>
      <c r="X1764" t="str">
        <f>IF($B1764="","",_xll.BDP($B1764,"INDUSTRY_GROUP"))</f>
        <v/>
      </c>
      <c r="Y1764" t="str">
        <f>IF($B1764="","",_xll.BDP($B1764,"INDUSTRY_SUBGROUP"))</f>
        <v/>
      </c>
      <c r="Z1764" t="str">
        <f>IF($B1764="","",_xll.BDP($B1764,"COUNTRY_FULL_NAME"))</f>
        <v/>
      </c>
    </row>
    <row r="1765" spans="15:26" x14ac:dyDescent="0.25">
      <c r="O1765"/>
      <c r="P1765"/>
      <c r="Q1765"/>
      <c r="W1765" t="str">
        <f>IF(B1765="","",_xll.BDP(B1765,"INDUSTRY_SECTOR"))</f>
        <v/>
      </c>
      <c r="X1765" t="str">
        <f>IF($B1765="","",_xll.BDP($B1765,"INDUSTRY_GROUP"))</f>
        <v/>
      </c>
      <c r="Y1765" t="str">
        <f>IF($B1765="","",_xll.BDP($B1765,"INDUSTRY_SUBGROUP"))</f>
        <v/>
      </c>
      <c r="Z1765" t="str">
        <f>IF($B1765="","",_xll.BDP($B1765,"COUNTRY_FULL_NAME"))</f>
        <v/>
      </c>
    </row>
    <row r="1766" spans="15:26" x14ac:dyDescent="0.25">
      <c r="O1766"/>
      <c r="P1766"/>
      <c r="Q1766"/>
      <c r="W1766" t="str">
        <f>IF(B1766="","",_xll.BDP(B1766,"INDUSTRY_SECTOR"))</f>
        <v/>
      </c>
      <c r="X1766" t="str">
        <f>IF($B1766="","",_xll.BDP($B1766,"INDUSTRY_GROUP"))</f>
        <v/>
      </c>
      <c r="Y1766" t="str">
        <f>IF($B1766="","",_xll.BDP($B1766,"INDUSTRY_SUBGROUP"))</f>
        <v/>
      </c>
      <c r="Z1766" t="str">
        <f>IF($B1766="","",_xll.BDP($B1766,"COUNTRY_FULL_NAME"))</f>
        <v/>
      </c>
    </row>
    <row r="1767" spans="15:26" x14ac:dyDescent="0.25">
      <c r="O1767"/>
      <c r="P1767"/>
      <c r="Q1767"/>
      <c r="W1767" t="str">
        <f>IF(B1767="","",_xll.BDP(B1767,"INDUSTRY_SECTOR"))</f>
        <v/>
      </c>
      <c r="X1767" t="str">
        <f>IF($B1767="","",_xll.BDP($B1767,"INDUSTRY_GROUP"))</f>
        <v/>
      </c>
      <c r="Y1767" t="str">
        <f>IF($B1767="","",_xll.BDP($B1767,"INDUSTRY_SUBGROUP"))</f>
        <v/>
      </c>
      <c r="Z1767" t="str">
        <f>IF($B1767="","",_xll.BDP($B1767,"COUNTRY_FULL_NAME"))</f>
        <v/>
      </c>
    </row>
    <row r="1768" spans="15:26" x14ac:dyDescent="0.25">
      <c r="O1768"/>
      <c r="P1768"/>
      <c r="Q1768"/>
      <c r="W1768" t="str">
        <f>IF(B1768="","",_xll.BDP(B1768,"INDUSTRY_SECTOR"))</f>
        <v/>
      </c>
      <c r="X1768" t="str">
        <f>IF($B1768="","",_xll.BDP($B1768,"INDUSTRY_GROUP"))</f>
        <v/>
      </c>
      <c r="Y1768" t="str">
        <f>IF($B1768="","",_xll.BDP($B1768,"INDUSTRY_SUBGROUP"))</f>
        <v/>
      </c>
      <c r="Z1768" t="str">
        <f>IF($B1768="","",_xll.BDP($B1768,"COUNTRY_FULL_NAME"))</f>
        <v/>
      </c>
    </row>
    <row r="1769" spans="15:26" x14ac:dyDescent="0.25">
      <c r="O1769"/>
      <c r="P1769"/>
      <c r="Q1769"/>
      <c r="W1769" t="str">
        <f>IF(B1769="","",_xll.BDP(B1769,"INDUSTRY_SECTOR"))</f>
        <v/>
      </c>
      <c r="X1769" t="str">
        <f>IF($B1769="","",_xll.BDP($B1769,"INDUSTRY_GROUP"))</f>
        <v/>
      </c>
      <c r="Y1769" t="str">
        <f>IF($B1769="","",_xll.BDP($B1769,"INDUSTRY_SUBGROUP"))</f>
        <v/>
      </c>
      <c r="Z1769" t="str">
        <f>IF($B1769="","",_xll.BDP($B1769,"COUNTRY_FULL_NAME"))</f>
        <v/>
      </c>
    </row>
    <row r="1770" spans="15:26" x14ac:dyDescent="0.25">
      <c r="O1770"/>
      <c r="P1770"/>
      <c r="Q1770"/>
      <c r="W1770" t="str">
        <f>IF(B1770="","",_xll.BDP(B1770,"INDUSTRY_SECTOR"))</f>
        <v/>
      </c>
      <c r="X1770" t="str">
        <f>IF($B1770="","",_xll.BDP($B1770,"INDUSTRY_GROUP"))</f>
        <v/>
      </c>
      <c r="Y1770" t="str">
        <f>IF($B1770="","",_xll.BDP($B1770,"INDUSTRY_SUBGROUP"))</f>
        <v/>
      </c>
      <c r="Z1770" t="str">
        <f>IF($B1770="","",_xll.BDP($B1770,"COUNTRY_FULL_NAME"))</f>
        <v/>
      </c>
    </row>
    <row r="1771" spans="15:26" x14ac:dyDescent="0.25">
      <c r="O1771"/>
      <c r="P1771"/>
      <c r="Q1771"/>
      <c r="W1771" t="str">
        <f>IF(B1771="","",_xll.BDP(B1771,"INDUSTRY_SECTOR"))</f>
        <v/>
      </c>
      <c r="X1771" t="str">
        <f>IF($B1771="","",_xll.BDP($B1771,"INDUSTRY_GROUP"))</f>
        <v/>
      </c>
      <c r="Y1771" t="str">
        <f>IF($B1771="","",_xll.BDP($B1771,"INDUSTRY_SUBGROUP"))</f>
        <v/>
      </c>
      <c r="Z1771" t="str">
        <f>IF($B1771="","",_xll.BDP($B1771,"COUNTRY_FULL_NAME"))</f>
        <v/>
      </c>
    </row>
    <row r="1772" spans="15:26" x14ac:dyDescent="0.25">
      <c r="O1772"/>
      <c r="P1772"/>
      <c r="Q1772"/>
      <c r="W1772" t="str">
        <f>IF(B1772="","",_xll.BDP(B1772,"INDUSTRY_SECTOR"))</f>
        <v/>
      </c>
      <c r="X1772" t="str">
        <f>IF($B1772="","",_xll.BDP($B1772,"INDUSTRY_GROUP"))</f>
        <v/>
      </c>
      <c r="Y1772" t="str">
        <f>IF($B1772="","",_xll.BDP($B1772,"INDUSTRY_SUBGROUP"))</f>
        <v/>
      </c>
      <c r="Z1772" t="str">
        <f>IF($B1772="","",_xll.BDP($B1772,"COUNTRY_FULL_NAME"))</f>
        <v/>
      </c>
    </row>
    <row r="1773" spans="15:26" x14ac:dyDescent="0.25">
      <c r="O1773"/>
      <c r="P1773"/>
      <c r="Q1773"/>
      <c r="W1773" t="str">
        <f>IF(B1773="","",_xll.BDP(B1773,"INDUSTRY_SECTOR"))</f>
        <v/>
      </c>
      <c r="X1773" t="str">
        <f>IF($B1773="","",_xll.BDP($B1773,"INDUSTRY_GROUP"))</f>
        <v/>
      </c>
      <c r="Y1773" t="str">
        <f>IF($B1773="","",_xll.BDP($B1773,"INDUSTRY_SUBGROUP"))</f>
        <v/>
      </c>
      <c r="Z1773" t="str">
        <f>IF($B1773="","",_xll.BDP($B1773,"COUNTRY_FULL_NAME"))</f>
        <v/>
      </c>
    </row>
    <row r="1774" spans="15:26" x14ac:dyDescent="0.25">
      <c r="O1774"/>
      <c r="P1774"/>
      <c r="Q1774"/>
      <c r="W1774" t="str">
        <f>IF(B1774="","",_xll.BDP(B1774,"INDUSTRY_SECTOR"))</f>
        <v/>
      </c>
      <c r="X1774" t="str">
        <f>IF($B1774="","",_xll.BDP($B1774,"INDUSTRY_GROUP"))</f>
        <v/>
      </c>
      <c r="Y1774" t="str">
        <f>IF($B1774="","",_xll.BDP($B1774,"INDUSTRY_SUBGROUP"))</f>
        <v/>
      </c>
      <c r="Z1774" t="str">
        <f>IF($B1774="","",_xll.BDP($B1774,"COUNTRY_FULL_NAME"))</f>
        <v/>
      </c>
    </row>
    <row r="1775" spans="15:26" x14ac:dyDescent="0.25">
      <c r="O1775"/>
      <c r="P1775"/>
      <c r="Q1775"/>
      <c r="W1775" t="str">
        <f>IF(B1775="","",_xll.BDP(B1775,"INDUSTRY_SECTOR"))</f>
        <v/>
      </c>
      <c r="X1775" t="str">
        <f>IF($B1775="","",_xll.BDP($B1775,"INDUSTRY_GROUP"))</f>
        <v/>
      </c>
      <c r="Y1775" t="str">
        <f>IF($B1775="","",_xll.BDP($B1775,"INDUSTRY_SUBGROUP"))</f>
        <v/>
      </c>
      <c r="Z1775" t="str">
        <f>IF($B1775="","",_xll.BDP($B1775,"COUNTRY_FULL_NAME"))</f>
        <v/>
      </c>
    </row>
    <row r="1776" spans="15:26" x14ac:dyDescent="0.25">
      <c r="O1776"/>
      <c r="P1776"/>
      <c r="Q1776"/>
      <c r="W1776" t="str">
        <f>IF(B1776="","",_xll.BDP(B1776,"INDUSTRY_SECTOR"))</f>
        <v/>
      </c>
      <c r="X1776" t="str">
        <f>IF($B1776="","",_xll.BDP($B1776,"INDUSTRY_GROUP"))</f>
        <v/>
      </c>
      <c r="Y1776" t="str">
        <f>IF($B1776="","",_xll.BDP($B1776,"INDUSTRY_SUBGROUP"))</f>
        <v/>
      </c>
      <c r="Z1776" t="str">
        <f>IF($B1776="","",_xll.BDP($B1776,"COUNTRY_FULL_NAME"))</f>
        <v/>
      </c>
    </row>
    <row r="1777" spans="15:26" x14ac:dyDescent="0.25">
      <c r="O1777"/>
      <c r="P1777"/>
      <c r="Q1777"/>
      <c r="W1777" t="str">
        <f>IF(B1777="","",_xll.BDP(B1777,"INDUSTRY_SECTOR"))</f>
        <v/>
      </c>
      <c r="X1777" t="str">
        <f>IF($B1777="","",_xll.BDP($B1777,"INDUSTRY_GROUP"))</f>
        <v/>
      </c>
      <c r="Y1777" t="str">
        <f>IF($B1777="","",_xll.BDP($B1777,"INDUSTRY_SUBGROUP"))</f>
        <v/>
      </c>
      <c r="Z1777" t="str">
        <f>IF($B1777="","",_xll.BDP($B1777,"COUNTRY_FULL_NAME"))</f>
        <v/>
      </c>
    </row>
    <row r="1778" spans="15:26" x14ac:dyDescent="0.25">
      <c r="O1778"/>
      <c r="P1778"/>
      <c r="Q1778"/>
      <c r="W1778" t="str">
        <f>IF(B1778="","",_xll.BDP(B1778,"INDUSTRY_SECTOR"))</f>
        <v/>
      </c>
      <c r="X1778" t="str">
        <f>IF($B1778="","",_xll.BDP($B1778,"INDUSTRY_GROUP"))</f>
        <v/>
      </c>
      <c r="Y1778" t="str">
        <f>IF($B1778="","",_xll.BDP($B1778,"INDUSTRY_SUBGROUP"))</f>
        <v/>
      </c>
      <c r="Z1778" t="str">
        <f>IF($B1778="","",_xll.BDP($B1778,"COUNTRY_FULL_NAME"))</f>
        <v/>
      </c>
    </row>
    <row r="1779" spans="15:26" x14ac:dyDescent="0.25">
      <c r="O1779"/>
      <c r="P1779"/>
      <c r="Q1779"/>
      <c r="W1779" t="str">
        <f>IF(B1779="","",_xll.BDP(B1779,"INDUSTRY_SECTOR"))</f>
        <v/>
      </c>
      <c r="X1779" t="str">
        <f>IF($B1779="","",_xll.BDP($B1779,"INDUSTRY_GROUP"))</f>
        <v/>
      </c>
      <c r="Y1779" t="str">
        <f>IF($B1779="","",_xll.BDP($B1779,"INDUSTRY_SUBGROUP"))</f>
        <v/>
      </c>
      <c r="Z1779" t="str">
        <f>IF($B1779="","",_xll.BDP($B1779,"COUNTRY_FULL_NAME"))</f>
        <v/>
      </c>
    </row>
    <row r="1780" spans="15:26" x14ac:dyDescent="0.25">
      <c r="O1780"/>
      <c r="P1780"/>
      <c r="Q1780"/>
      <c r="W1780" t="str">
        <f>IF(B1780="","",_xll.BDP(B1780,"INDUSTRY_SECTOR"))</f>
        <v/>
      </c>
      <c r="X1780" t="str">
        <f>IF($B1780="","",_xll.BDP($B1780,"INDUSTRY_GROUP"))</f>
        <v/>
      </c>
      <c r="Y1780" t="str">
        <f>IF($B1780="","",_xll.BDP($B1780,"INDUSTRY_SUBGROUP"))</f>
        <v/>
      </c>
      <c r="Z1780" t="str">
        <f>IF($B1780="","",_xll.BDP($B1780,"COUNTRY_FULL_NAME"))</f>
        <v/>
      </c>
    </row>
    <row r="1781" spans="15:26" x14ac:dyDescent="0.25">
      <c r="O1781"/>
      <c r="P1781"/>
      <c r="Q1781"/>
      <c r="W1781" t="str">
        <f>IF(B1781="","",_xll.BDP(B1781,"INDUSTRY_SECTOR"))</f>
        <v/>
      </c>
      <c r="X1781" t="str">
        <f>IF($B1781="","",_xll.BDP($B1781,"INDUSTRY_GROUP"))</f>
        <v/>
      </c>
      <c r="Y1781" t="str">
        <f>IF($B1781="","",_xll.BDP($B1781,"INDUSTRY_SUBGROUP"))</f>
        <v/>
      </c>
      <c r="Z1781" t="str">
        <f>IF($B1781="","",_xll.BDP($B1781,"COUNTRY_FULL_NAME"))</f>
        <v/>
      </c>
    </row>
    <row r="1782" spans="15:26" x14ac:dyDescent="0.25">
      <c r="O1782"/>
      <c r="P1782"/>
      <c r="Q1782"/>
      <c r="W1782" t="str">
        <f>IF(B1782="","",_xll.BDP(B1782,"INDUSTRY_SECTOR"))</f>
        <v/>
      </c>
      <c r="X1782" t="str">
        <f>IF($B1782="","",_xll.BDP($B1782,"INDUSTRY_GROUP"))</f>
        <v/>
      </c>
      <c r="Y1782" t="str">
        <f>IF($B1782="","",_xll.BDP($B1782,"INDUSTRY_SUBGROUP"))</f>
        <v/>
      </c>
      <c r="Z1782" t="str">
        <f>IF($B1782="","",_xll.BDP($B1782,"COUNTRY_FULL_NAME"))</f>
        <v/>
      </c>
    </row>
    <row r="1783" spans="15:26" x14ac:dyDescent="0.25">
      <c r="O1783"/>
      <c r="P1783"/>
      <c r="Q1783"/>
      <c r="W1783" t="str">
        <f>IF(B1783="","",_xll.BDP(B1783,"INDUSTRY_SECTOR"))</f>
        <v/>
      </c>
      <c r="X1783" t="str">
        <f>IF($B1783="","",_xll.BDP($B1783,"INDUSTRY_GROUP"))</f>
        <v/>
      </c>
      <c r="Y1783" t="str">
        <f>IF($B1783="","",_xll.BDP($B1783,"INDUSTRY_SUBGROUP"))</f>
        <v/>
      </c>
      <c r="Z1783" t="str">
        <f>IF($B1783="","",_xll.BDP($B1783,"COUNTRY_FULL_NAME"))</f>
        <v/>
      </c>
    </row>
    <row r="1784" spans="15:26" x14ac:dyDescent="0.25">
      <c r="O1784"/>
      <c r="P1784"/>
      <c r="Q1784"/>
      <c r="W1784" t="str">
        <f>IF(B1784="","",_xll.BDP(B1784,"INDUSTRY_SECTOR"))</f>
        <v/>
      </c>
      <c r="X1784" t="str">
        <f>IF($B1784="","",_xll.BDP($B1784,"INDUSTRY_GROUP"))</f>
        <v/>
      </c>
      <c r="Y1784" t="str">
        <f>IF($B1784="","",_xll.BDP($B1784,"INDUSTRY_SUBGROUP"))</f>
        <v/>
      </c>
      <c r="Z1784" t="str">
        <f>IF($B1784="","",_xll.BDP($B1784,"COUNTRY_FULL_NAME"))</f>
        <v/>
      </c>
    </row>
    <row r="1785" spans="15:26" x14ac:dyDescent="0.25">
      <c r="O1785"/>
      <c r="P1785"/>
      <c r="Q1785"/>
      <c r="W1785" t="str">
        <f>IF(B1785="","",_xll.BDP(B1785,"INDUSTRY_SECTOR"))</f>
        <v/>
      </c>
      <c r="X1785" t="str">
        <f>IF($B1785="","",_xll.BDP($B1785,"INDUSTRY_GROUP"))</f>
        <v/>
      </c>
      <c r="Y1785" t="str">
        <f>IF($B1785="","",_xll.BDP($B1785,"INDUSTRY_SUBGROUP"))</f>
        <v/>
      </c>
      <c r="Z1785" t="str">
        <f>IF($B1785="","",_xll.BDP($B1785,"COUNTRY_FULL_NAME"))</f>
        <v/>
      </c>
    </row>
    <row r="1786" spans="15:26" x14ac:dyDescent="0.25">
      <c r="O1786"/>
      <c r="P1786"/>
      <c r="Q1786"/>
      <c r="W1786" t="str">
        <f>IF(B1786="","",_xll.BDP(B1786,"INDUSTRY_SECTOR"))</f>
        <v/>
      </c>
      <c r="X1786" t="str">
        <f>IF($B1786="","",_xll.BDP($B1786,"INDUSTRY_GROUP"))</f>
        <v/>
      </c>
      <c r="Y1786" t="str">
        <f>IF($B1786="","",_xll.BDP($B1786,"INDUSTRY_SUBGROUP"))</f>
        <v/>
      </c>
      <c r="Z1786" t="str">
        <f>IF($B1786="","",_xll.BDP($B1786,"COUNTRY_FULL_NAME"))</f>
        <v/>
      </c>
    </row>
    <row r="1787" spans="15:26" x14ac:dyDescent="0.25">
      <c r="O1787"/>
      <c r="P1787"/>
      <c r="Q1787"/>
      <c r="W1787" t="str">
        <f>IF(B1787="","",_xll.BDP(B1787,"INDUSTRY_SECTOR"))</f>
        <v/>
      </c>
      <c r="X1787" t="str">
        <f>IF($B1787="","",_xll.BDP($B1787,"INDUSTRY_GROUP"))</f>
        <v/>
      </c>
      <c r="Y1787" t="str">
        <f>IF($B1787="","",_xll.BDP($B1787,"INDUSTRY_SUBGROUP"))</f>
        <v/>
      </c>
      <c r="Z1787" t="str">
        <f>IF($B1787="","",_xll.BDP($B1787,"COUNTRY_FULL_NAME"))</f>
        <v/>
      </c>
    </row>
    <row r="1788" spans="15:26" x14ac:dyDescent="0.25">
      <c r="O1788"/>
      <c r="P1788"/>
      <c r="Q1788"/>
      <c r="W1788" t="str">
        <f>IF(B1788="","",_xll.BDP(B1788,"INDUSTRY_SECTOR"))</f>
        <v/>
      </c>
      <c r="X1788" t="str">
        <f>IF($B1788="","",_xll.BDP($B1788,"INDUSTRY_GROUP"))</f>
        <v/>
      </c>
      <c r="Y1788" t="str">
        <f>IF($B1788="","",_xll.BDP($B1788,"INDUSTRY_SUBGROUP"))</f>
        <v/>
      </c>
      <c r="Z1788" t="str">
        <f>IF($B1788="","",_xll.BDP($B1788,"COUNTRY_FULL_NAME"))</f>
        <v/>
      </c>
    </row>
    <row r="1789" spans="15:26" x14ac:dyDescent="0.25">
      <c r="O1789"/>
      <c r="P1789"/>
      <c r="Q1789"/>
      <c r="W1789" t="str">
        <f>IF(B1789="","",_xll.BDP(B1789,"INDUSTRY_SECTOR"))</f>
        <v/>
      </c>
      <c r="X1789" t="str">
        <f>IF($B1789="","",_xll.BDP($B1789,"INDUSTRY_GROUP"))</f>
        <v/>
      </c>
      <c r="Y1789" t="str">
        <f>IF($B1789="","",_xll.BDP($B1789,"INDUSTRY_SUBGROUP"))</f>
        <v/>
      </c>
      <c r="Z1789" t="str">
        <f>IF($B1789="","",_xll.BDP($B1789,"COUNTRY_FULL_NAME"))</f>
        <v/>
      </c>
    </row>
    <row r="1790" spans="15:26" x14ac:dyDescent="0.25">
      <c r="O1790"/>
      <c r="P1790"/>
      <c r="Q1790"/>
      <c r="W1790" t="str">
        <f>IF(B1790="","",_xll.BDP(B1790,"INDUSTRY_SECTOR"))</f>
        <v/>
      </c>
      <c r="X1790" t="str">
        <f>IF($B1790="","",_xll.BDP($B1790,"INDUSTRY_GROUP"))</f>
        <v/>
      </c>
      <c r="Y1790" t="str">
        <f>IF($B1790="","",_xll.BDP($B1790,"INDUSTRY_SUBGROUP"))</f>
        <v/>
      </c>
      <c r="Z1790" t="str">
        <f>IF($B1790="","",_xll.BDP($B1790,"COUNTRY_FULL_NAME"))</f>
        <v/>
      </c>
    </row>
    <row r="1791" spans="15:26" x14ac:dyDescent="0.25">
      <c r="O1791"/>
      <c r="P1791"/>
      <c r="Q1791"/>
      <c r="W1791" t="str">
        <f>IF(B1791="","",_xll.BDP(B1791,"INDUSTRY_SECTOR"))</f>
        <v/>
      </c>
      <c r="X1791" t="str">
        <f>IF($B1791="","",_xll.BDP($B1791,"INDUSTRY_GROUP"))</f>
        <v/>
      </c>
      <c r="Y1791" t="str">
        <f>IF($B1791="","",_xll.BDP($B1791,"INDUSTRY_SUBGROUP"))</f>
        <v/>
      </c>
      <c r="Z1791" t="str">
        <f>IF($B1791="","",_xll.BDP($B1791,"COUNTRY_FULL_NAME"))</f>
        <v/>
      </c>
    </row>
    <row r="1792" spans="15:26" x14ac:dyDescent="0.25">
      <c r="O1792"/>
      <c r="P1792"/>
      <c r="Q1792"/>
      <c r="W1792" t="str">
        <f>IF(B1792="","",_xll.BDP(B1792,"INDUSTRY_SECTOR"))</f>
        <v/>
      </c>
      <c r="X1792" t="str">
        <f>IF($B1792="","",_xll.BDP($B1792,"INDUSTRY_GROUP"))</f>
        <v/>
      </c>
      <c r="Y1792" t="str">
        <f>IF($B1792="","",_xll.BDP($B1792,"INDUSTRY_SUBGROUP"))</f>
        <v/>
      </c>
      <c r="Z1792" t="str">
        <f>IF($B1792="","",_xll.BDP($B1792,"COUNTRY_FULL_NAME"))</f>
        <v/>
      </c>
    </row>
    <row r="1793" spans="15:26" x14ac:dyDescent="0.25">
      <c r="O1793"/>
      <c r="P1793"/>
      <c r="Q1793"/>
      <c r="W1793" t="str">
        <f>IF(B1793="","",_xll.BDP(B1793,"INDUSTRY_SECTOR"))</f>
        <v/>
      </c>
      <c r="X1793" t="str">
        <f>IF($B1793="","",_xll.BDP($B1793,"INDUSTRY_GROUP"))</f>
        <v/>
      </c>
      <c r="Y1793" t="str">
        <f>IF($B1793="","",_xll.BDP($B1793,"INDUSTRY_SUBGROUP"))</f>
        <v/>
      </c>
      <c r="Z1793" t="str">
        <f>IF($B1793="","",_xll.BDP($B1793,"COUNTRY_FULL_NAME"))</f>
        <v/>
      </c>
    </row>
    <row r="1794" spans="15:26" x14ac:dyDescent="0.25">
      <c r="O1794"/>
      <c r="P1794"/>
      <c r="Q1794"/>
      <c r="W1794" t="str">
        <f>IF(B1794="","",_xll.BDP(B1794,"INDUSTRY_SECTOR"))</f>
        <v/>
      </c>
      <c r="X1794" t="str">
        <f>IF($B1794="","",_xll.BDP($B1794,"INDUSTRY_GROUP"))</f>
        <v/>
      </c>
      <c r="Y1794" t="str">
        <f>IF($B1794="","",_xll.BDP($B1794,"INDUSTRY_SUBGROUP"))</f>
        <v/>
      </c>
      <c r="Z1794" t="str">
        <f>IF($B1794="","",_xll.BDP($B1794,"COUNTRY_FULL_NAME"))</f>
        <v/>
      </c>
    </row>
    <row r="1795" spans="15:26" x14ac:dyDescent="0.25">
      <c r="O1795"/>
      <c r="P1795"/>
      <c r="Q1795"/>
      <c r="W1795" t="str">
        <f>IF(B1795="","",_xll.BDP(B1795,"INDUSTRY_SECTOR"))</f>
        <v/>
      </c>
      <c r="X1795" t="str">
        <f>IF($B1795="","",_xll.BDP($B1795,"INDUSTRY_GROUP"))</f>
        <v/>
      </c>
      <c r="Y1795" t="str">
        <f>IF($B1795="","",_xll.BDP($B1795,"INDUSTRY_SUBGROUP"))</f>
        <v/>
      </c>
      <c r="Z1795" t="str">
        <f>IF($B1795="","",_xll.BDP($B1795,"COUNTRY_FULL_NAME"))</f>
        <v/>
      </c>
    </row>
    <row r="1796" spans="15:26" x14ac:dyDescent="0.25">
      <c r="O1796"/>
      <c r="P1796"/>
      <c r="W1796" t="str">
        <f>IF(B1796="","",_xll.BDP(B1796,"INDUSTRY_SECTOR"))</f>
        <v/>
      </c>
      <c r="X1796" t="str">
        <f>IF($B1796="","",_xll.BDP($B1796,"INDUSTRY_GROUP"))</f>
        <v/>
      </c>
      <c r="Y1796" t="str">
        <f>IF($B1796="","",_xll.BDP($B1796,"INDUSTRY_SUBGROUP"))</f>
        <v/>
      </c>
      <c r="Z1796" t="str">
        <f>IF($B1796="","",_xll.BDP($B1796,"COUNTRY_FULL_NAME"))</f>
        <v/>
      </c>
    </row>
    <row r="1797" spans="15:26" x14ac:dyDescent="0.25">
      <c r="O1797"/>
      <c r="P1797"/>
      <c r="Q1797"/>
      <c r="W1797" t="str">
        <f>IF(B1797="","",_xll.BDP(B1797,"INDUSTRY_SECTOR"))</f>
        <v/>
      </c>
      <c r="X1797" t="str">
        <f>IF($B1797="","",_xll.BDP($B1797,"INDUSTRY_GROUP"))</f>
        <v/>
      </c>
      <c r="Y1797" t="str">
        <f>IF($B1797="","",_xll.BDP($B1797,"INDUSTRY_SUBGROUP"))</f>
        <v/>
      </c>
      <c r="Z1797" t="str">
        <f>IF($B1797="","",_xll.BDP($B1797,"COUNTRY_FULL_NAME"))</f>
        <v/>
      </c>
    </row>
    <row r="1798" spans="15:26" x14ac:dyDescent="0.25">
      <c r="O1798"/>
      <c r="P1798"/>
      <c r="Q1798"/>
      <c r="W1798" t="str">
        <f>IF(B1798="","",_xll.BDP(B1798,"INDUSTRY_SECTOR"))</f>
        <v/>
      </c>
      <c r="X1798" t="str">
        <f>IF($B1798="","",_xll.BDP($B1798,"INDUSTRY_GROUP"))</f>
        <v/>
      </c>
      <c r="Y1798" t="str">
        <f>IF($B1798="","",_xll.BDP($B1798,"INDUSTRY_SUBGROUP"))</f>
        <v/>
      </c>
      <c r="Z1798" t="str">
        <f>IF($B1798="","",_xll.BDP($B1798,"COUNTRY_FULL_NAME"))</f>
        <v/>
      </c>
    </row>
    <row r="1799" spans="15:26" x14ac:dyDescent="0.25">
      <c r="O1799"/>
      <c r="P1799"/>
      <c r="Q1799"/>
      <c r="W1799" t="str">
        <f>IF(B1799="","",_xll.BDP(B1799,"INDUSTRY_SECTOR"))</f>
        <v/>
      </c>
      <c r="X1799" t="str">
        <f>IF($B1799="","",_xll.BDP($B1799,"INDUSTRY_GROUP"))</f>
        <v/>
      </c>
      <c r="Y1799" t="str">
        <f>IF($B1799="","",_xll.BDP($B1799,"INDUSTRY_SUBGROUP"))</f>
        <v/>
      </c>
      <c r="Z1799" t="str">
        <f>IF($B1799="","",_xll.BDP($B1799,"COUNTRY_FULL_NAME"))</f>
        <v/>
      </c>
    </row>
    <row r="1800" spans="15:26" x14ac:dyDescent="0.25">
      <c r="O1800"/>
      <c r="P1800"/>
      <c r="Q1800"/>
      <c r="W1800" t="str">
        <f>IF(B1800="","",_xll.BDP(B1800,"INDUSTRY_SECTOR"))</f>
        <v/>
      </c>
      <c r="X1800" t="str">
        <f>IF($B1800="","",_xll.BDP($B1800,"INDUSTRY_GROUP"))</f>
        <v/>
      </c>
      <c r="Y1800" t="str">
        <f>IF($B1800="","",_xll.BDP($B1800,"INDUSTRY_SUBGROUP"))</f>
        <v/>
      </c>
      <c r="Z1800" t="str">
        <f>IF($B1800="","",_xll.BDP($B1800,"COUNTRY_FULL_NAME"))</f>
        <v/>
      </c>
    </row>
    <row r="1801" spans="15:26" x14ac:dyDescent="0.25">
      <c r="O1801"/>
      <c r="P1801"/>
      <c r="Q1801"/>
      <c r="W1801" t="str">
        <f>IF(B1801="","",_xll.BDP(B1801,"INDUSTRY_SECTOR"))</f>
        <v/>
      </c>
      <c r="X1801" t="str">
        <f>IF($B1801="","",_xll.BDP($B1801,"INDUSTRY_GROUP"))</f>
        <v/>
      </c>
      <c r="Y1801" t="str">
        <f>IF($B1801="","",_xll.BDP($B1801,"INDUSTRY_SUBGROUP"))</f>
        <v/>
      </c>
      <c r="Z1801" t="str">
        <f>IF($B1801="","",_xll.BDP($B1801,"COUNTRY_FULL_NAME"))</f>
        <v/>
      </c>
    </row>
    <row r="1802" spans="15:26" x14ac:dyDescent="0.25">
      <c r="O1802"/>
      <c r="P1802"/>
      <c r="Q1802"/>
      <c r="W1802" t="str">
        <f>IF(B1802="","",_xll.BDP(B1802,"INDUSTRY_SECTOR"))</f>
        <v/>
      </c>
      <c r="X1802" t="str">
        <f>IF($B1802="","",_xll.BDP($B1802,"INDUSTRY_GROUP"))</f>
        <v/>
      </c>
      <c r="Y1802" t="str">
        <f>IF($B1802="","",_xll.BDP($B1802,"INDUSTRY_SUBGROUP"))</f>
        <v/>
      </c>
      <c r="Z1802" t="str">
        <f>IF($B1802="","",_xll.BDP($B1802,"COUNTRY_FULL_NAME"))</f>
        <v/>
      </c>
    </row>
    <row r="1803" spans="15:26" x14ac:dyDescent="0.25">
      <c r="O1803"/>
      <c r="P1803"/>
      <c r="Q1803"/>
      <c r="W1803" t="str">
        <f>IF(B1803="","",_xll.BDP(B1803,"INDUSTRY_SECTOR"))</f>
        <v/>
      </c>
      <c r="X1803" t="str">
        <f>IF($B1803="","",_xll.BDP($B1803,"INDUSTRY_GROUP"))</f>
        <v/>
      </c>
      <c r="Y1803" t="str">
        <f>IF($B1803="","",_xll.BDP($B1803,"INDUSTRY_SUBGROUP"))</f>
        <v/>
      </c>
      <c r="Z1803" t="str">
        <f>IF($B1803="","",_xll.BDP($B1803,"COUNTRY_FULL_NAME"))</f>
        <v/>
      </c>
    </row>
    <row r="1804" spans="15:26" x14ac:dyDescent="0.25">
      <c r="O1804"/>
      <c r="P1804"/>
      <c r="Q1804"/>
      <c r="W1804" t="str">
        <f>IF(B1804="","",_xll.BDP(B1804,"INDUSTRY_SECTOR"))</f>
        <v/>
      </c>
      <c r="X1804" t="str">
        <f>IF($B1804="","",_xll.BDP($B1804,"INDUSTRY_GROUP"))</f>
        <v/>
      </c>
      <c r="Y1804" t="str">
        <f>IF($B1804="","",_xll.BDP($B1804,"INDUSTRY_SUBGROUP"))</f>
        <v/>
      </c>
      <c r="Z1804" t="str">
        <f>IF($B1804="","",_xll.BDP($B1804,"COUNTRY_FULL_NAME"))</f>
        <v/>
      </c>
    </row>
    <row r="1805" spans="15:26" x14ac:dyDescent="0.25">
      <c r="O1805"/>
      <c r="P1805"/>
      <c r="Q1805"/>
      <c r="W1805" t="str">
        <f>IF(B1805="","",_xll.BDP(B1805,"INDUSTRY_SECTOR"))</f>
        <v/>
      </c>
      <c r="X1805" t="str">
        <f>IF($B1805="","",_xll.BDP($B1805,"INDUSTRY_GROUP"))</f>
        <v/>
      </c>
      <c r="Y1805" t="str">
        <f>IF($B1805="","",_xll.BDP($B1805,"INDUSTRY_SUBGROUP"))</f>
        <v/>
      </c>
      <c r="Z1805" t="str">
        <f>IF($B1805="","",_xll.BDP($B1805,"COUNTRY_FULL_NAME"))</f>
        <v/>
      </c>
    </row>
    <row r="1806" spans="15:26" x14ac:dyDescent="0.25">
      <c r="O1806"/>
      <c r="P1806"/>
      <c r="Q1806"/>
      <c r="W1806" t="str">
        <f>IF(B1806="","",_xll.BDP(B1806,"INDUSTRY_SECTOR"))</f>
        <v/>
      </c>
      <c r="X1806" t="str">
        <f>IF($B1806="","",_xll.BDP($B1806,"INDUSTRY_GROUP"))</f>
        <v/>
      </c>
      <c r="Y1806" t="str">
        <f>IF($B1806="","",_xll.BDP($B1806,"INDUSTRY_SUBGROUP"))</f>
        <v/>
      </c>
      <c r="Z1806" t="str">
        <f>IF($B1806="","",_xll.BDP($B1806,"COUNTRY_FULL_NAME"))</f>
        <v/>
      </c>
    </row>
    <row r="1807" spans="15:26" x14ac:dyDescent="0.25">
      <c r="O1807"/>
      <c r="P1807"/>
      <c r="Q1807"/>
      <c r="W1807" t="str">
        <f>IF(B1807="","",_xll.BDP(B1807,"INDUSTRY_SECTOR"))</f>
        <v/>
      </c>
      <c r="X1807" t="str">
        <f>IF($B1807="","",_xll.BDP($B1807,"INDUSTRY_GROUP"))</f>
        <v/>
      </c>
      <c r="Y1807" t="str">
        <f>IF($B1807="","",_xll.BDP($B1807,"INDUSTRY_SUBGROUP"))</f>
        <v/>
      </c>
      <c r="Z1807" t="str">
        <f>IF($B1807="","",_xll.BDP($B1807,"COUNTRY_FULL_NAME"))</f>
        <v/>
      </c>
    </row>
    <row r="1808" spans="15:26" x14ac:dyDescent="0.25">
      <c r="O1808"/>
      <c r="P1808"/>
      <c r="Q1808"/>
      <c r="W1808" t="str">
        <f>IF(B1808="","",_xll.BDP(B1808,"INDUSTRY_SECTOR"))</f>
        <v/>
      </c>
      <c r="X1808" t="str">
        <f>IF($B1808="","",_xll.BDP($B1808,"INDUSTRY_GROUP"))</f>
        <v/>
      </c>
      <c r="Y1808" t="str">
        <f>IF($B1808="","",_xll.BDP($B1808,"INDUSTRY_SUBGROUP"))</f>
        <v/>
      </c>
      <c r="Z1808" t="str">
        <f>IF($B1808="","",_xll.BDP($B1808,"COUNTRY_FULL_NAME"))</f>
        <v/>
      </c>
    </row>
    <row r="1809" spans="15:26" x14ac:dyDescent="0.25">
      <c r="O1809"/>
      <c r="P1809"/>
      <c r="Q1809"/>
      <c r="W1809" t="str">
        <f>IF(B1809="","",_xll.BDP(B1809,"INDUSTRY_SECTOR"))</f>
        <v/>
      </c>
      <c r="X1809" t="str">
        <f>IF($B1809="","",_xll.BDP($B1809,"INDUSTRY_GROUP"))</f>
        <v/>
      </c>
      <c r="Y1809" t="str">
        <f>IF($B1809="","",_xll.BDP($B1809,"INDUSTRY_SUBGROUP"))</f>
        <v/>
      </c>
      <c r="Z1809" t="str">
        <f>IF($B1809="","",_xll.BDP($B1809,"COUNTRY_FULL_NAME"))</f>
        <v/>
      </c>
    </row>
    <row r="1810" spans="15:26" x14ac:dyDescent="0.25">
      <c r="O1810"/>
      <c r="P1810"/>
      <c r="Q1810"/>
      <c r="W1810" t="str">
        <f>IF(B1810="","",_xll.BDP(B1810,"INDUSTRY_SECTOR"))</f>
        <v/>
      </c>
      <c r="X1810" t="str">
        <f>IF($B1810="","",_xll.BDP($B1810,"INDUSTRY_GROUP"))</f>
        <v/>
      </c>
      <c r="Y1810" t="str">
        <f>IF($B1810="","",_xll.BDP($B1810,"INDUSTRY_SUBGROUP"))</f>
        <v/>
      </c>
      <c r="Z1810" t="str">
        <f>IF($B1810="","",_xll.BDP($B1810,"COUNTRY_FULL_NAME"))</f>
        <v/>
      </c>
    </row>
    <row r="1811" spans="15:26" x14ac:dyDescent="0.25">
      <c r="O1811"/>
      <c r="P1811"/>
      <c r="Q1811"/>
      <c r="W1811" t="str">
        <f>IF(B1811="","",_xll.BDP(B1811,"INDUSTRY_SECTOR"))</f>
        <v/>
      </c>
      <c r="X1811" t="str">
        <f>IF($B1811="","",_xll.BDP($B1811,"INDUSTRY_GROUP"))</f>
        <v/>
      </c>
      <c r="Y1811" t="str">
        <f>IF($B1811="","",_xll.BDP($B1811,"INDUSTRY_SUBGROUP"))</f>
        <v/>
      </c>
      <c r="Z1811" t="str">
        <f>IF($B1811="","",_xll.BDP($B1811,"COUNTRY_FULL_NAME"))</f>
        <v/>
      </c>
    </row>
    <row r="1812" spans="15:26" x14ac:dyDescent="0.25">
      <c r="O1812"/>
      <c r="P1812"/>
      <c r="W1812" t="str">
        <f>IF(B1812="","",_xll.BDP(B1812,"INDUSTRY_SECTOR"))</f>
        <v/>
      </c>
      <c r="X1812" t="str">
        <f>IF($B1812="","",_xll.BDP($B1812,"INDUSTRY_GROUP"))</f>
        <v/>
      </c>
      <c r="Y1812" t="str">
        <f>IF($B1812="","",_xll.BDP($B1812,"INDUSTRY_SUBGROUP"))</f>
        <v/>
      </c>
      <c r="Z1812" t="str">
        <f>IF($B1812="","",_xll.BDP($B1812,"COUNTRY_FULL_NAME"))</f>
        <v/>
      </c>
    </row>
    <row r="1813" spans="15:26" x14ac:dyDescent="0.25">
      <c r="O1813"/>
      <c r="P1813"/>
      <c r="Q1813"/>
      <c r="W1813" t="str">
        <f>IF(B1813="","",_xll.BDP(B1813,"INDUSTRY_SECTOR"))</f>
        <v/>
      </c>
      <c r="X1813" t="str">
        <f>IF($B1813="","",_xll.BDP($B1813,"INDUSTRY_GROUP"))</f>
        <v/>
      </c>
      <c r="Y1813" t="str">
        <f>IF($B1813="","",_xll.BDP($B1813,"INDUSTRY_SUBGROUP"))</f>
        <v/>
      </c>
      <c r="Z1813" t="str">
        <f>IF($B1813="","",_xll.BDP($B1813,"COUNTRY_FULL_NAME"))</f>
        <v/>
      </c>
    </row>
    <row r="1814" spans="15:26" x14ac:dyDescent="0.25">
      <c r="O1814"/>
      <c r="P1814"/>
      <c r="W1814" t="str">
        <f>IF(B1814="","",_xll.BDP(B1814,"INDUSTRY_SECTOR"))</f>
        <v/>
      </c>
      <c r="X1814" t="str">
        <f>IF($B1814="","",_xll.BDP($B1814,"INDUSTRY_GROUP"))</f>
        <v/>
      </c>
      <c r="Y1814" t="str">
        <f>IF($B1814="","",_xll.BDP($B1814,"INDUSTRY_SUBGROUP"))</f>
        <v/>
      </c>
      <c r="Z1814" t="str">
        <f>IF($B1814="","",_xll.BDP($B1814,"COUNTRY_FULL_NAME"))</f>
        <v/>
      </c>
    </row>
    <row r="1815" spans="15:26" x14ac:dyDescent="0.25">
      <c r="O1815"/>
      <c r="P1815"/>
      <c r="W1815" t="str">
        <f>IF(B1815="","",_xll.BDP(B1815,"INDUSTRY_SECTOR"))</f>
        <v/>
      </c>
      <c r="X1815" t="str">
        <f>IF($B1815="","",_xll.BDP($B1815,"INDUSTRY_GROUP"))</f>
        <v/>
      </c>
      <c r="Y1815" t="str">
        <f>IF($B1815="","",_xll.BDP($B1815,"INDUSTRY_SUBGROUP"))</f>
        <v/>
      </c>
      <c r="Z1815" t="str">
        <f>IF($B1815="","",_xll.BDP($B1815,"COUNTRY_FULL_NAME"))</f>
        <v/>
      </c>
    </row>
    <row r="1816" spans="15:26" x14ac:dyDescent="0.25">
      <c r="O1816"/>
      <c r="P1816"/>
      <c r="Q1816"/>
      <c r="W1816" t="str">
        <f>IF(B1816="","",_xll.BDP(B1816,"INDUSTRY_SECTOR"))</f>
        <v/>
      </c>
      <c r="X1816" t="str">
        <f>IF($B1816="","",_xll.BDP($B1816,"INDUSTRY_GROUP"))</f>
        <v/>
      </c>
      <c r="Y1816" t="str">
        <f>IF($B1816="","",_xll.BDP($B1816,"INDUSTRY_SUBGROUP"))</f>
        <v/>
      </c>
      <c r="Z1816" t="str">
        <f>IF($B1816="","",_xll.BDP($B1816,"COUNTRY_FULL_NAME"))</f>
        <v/>
      </c>
    </row>
    <row r="1817" spans="15:26" x14ac:dyDescent="0.25">
      <c r="O1817"/>
      <c r="P1817"/>
      <c r="Q1817"/>
      <c r="W1817" t="str">
        <f>IF(B1817="","",_xll.BDP(B1817,"INDUSTRY_SECTOR"))</f>
        <v/>
      </c>
      <c r="X1817" t="str">
        <f>IF($B1817="","",_xll.BDP($B1817,"INDUSTRY_GROUP"))</f>
        <v/>
      </c>
      <c r="Y1817" t="str">
        <f>IF($B1817="","",_xll.BDP($B1817,"INDUSTRY_SUBGROUP"))</f>
        <v/>
      </c>
      <c r="Z1817" t="str">
        <f>IF($B1817="","",_xll.BDP($B1817,"COUNTRY_FULL_NAME"))</f>
        <v/>
      </c>
    </row>
    <row r="1818" spans="15:26" x14ac:dyDescent="0.25">
      <c r="O1818"/>
      <c r="P1818"/>
      <c r="Q1818"/>
      <c r="W1818" t="str">
        <f>IF(B1818="","",_xll.BDP(B1818,"INDUSTRY_SECTOR"))</f>
        <v/>
      </c>
      <c r="X1818" t="str">
        <f>IF($B1818="","",_xll.BDP($B1818,"INDUSTRY_GROUP"))</f>
        <v/>
      </c>
      <c r="Y1818" t="str">
        <f>IF($B1818="","",_xll.BDP($B1818,"INDUSTRY_SUBGROUP"))</f>
        <v/>
      </c>
      <c r="Z1818" t="str">
        <f>IF($B1818="","",_xll.BDP($B1818,"COUNTRY_FULL_NAME"))</f>
        <v/>
      </c>
    </row>
    <row r="1819" spans="15:26" x14ac:dyDescent="0.25">
      <c r="O1819"/>
      <c r="P1819"/>
      <c r="Q1819"/>
      <c r="W1819" t="str">
        <f>IF(B1819="","",_xll.BDP(B1819,"INDUSTRY_SECTOR"))</f>
        <v/>
      </c>
      <c r="X1819" t="str">
        <f>IF($B1819="","",_xll.BDP($B1819,"INDUSTRY_GROUP"))</f>
        <v/>
      </c>
      <c r="Y1819" t="str">
        <f>IF($B1819="","",_xll.BDP($B1819,"INDUSTRY_SUBGROUP"))</f>
        <v/>
      </c>
      <c r="Z1819" t="str">
        <f>IF($B1819="","",_xll.BDP($B1819,"COUNTRY_FULL_NAME"))</f>
        <v/>
      </c>
    </row>
    <row r="1820" spans="15:26" x14ac:dyDescent="0.25">
      <c r="O1820"/>
      <c r="P1820"/>
      <c r="Q1820"/>
      <c r="W1820" t="str">
        <f>IF(B1820="","",_xll.BDP(B1820,"INDUSTRY_SECTOR"))</f>
        <v/>
      </c>
      <c r="X1820" t="str">
        <f>IF($B1820="","",_xll.BDP($B1820,"INDUSTRY_GROUP"))</f>
        <v/>
      </c>
      <c r="Y1820" t="str">
        <f>IF($B1820="","",_xll.BDP($B1820,"INDUSTRY_SUBGROUP"))</f>
        <v/>
      </c>
      <c r="Z1820" t="str">
        <f>IF($B1820="","",_xll.BDP($B1820,"COUNTRY_FULL_NAME"))</f>
        <v/>
      </c>
    </row>
    <row r="1821" spans="15:26" x14ac:dyDescent="0.25">
      <c r="O1821"/>
      <c r="P1821"/>
      <c r="Q1821"/>
      <c r="W1821" t="str">
        <f>IF(B1821="","",_xll.BDP(B1821,"INDUSTRY_SECTOR"))</f>
        <v/>
      </c>
      <c r="X1821" t="str">
        <f>IF($B1821="","",_xll.BDP($B1821,"INDUSTRY_GROUP"))</f>
        <v/>
      </c>
      <c r="Y1821" t="str">
        <f>IF($B1821="","",_xll.BDP($B1821,"INDUSTRY_SUBGROUP"))</f>
        <v/>
      </c>
      <c r="Z1821" t="str">
        <f>IF($B1821="","",_xll.BDP($B1821,"COUNTRY_FULL_NAME"))</f>
        <v/>
      </c>
    </row>
    <row r="1822" spans="15:26" x14ac:dyDescent="0.25">
      <c r="O1822"/>
      <c r="P1822"/>
      <c r="Q1822"/>
      <c r="W1822" t="str">
        <f>IF(B1822="","",_xll.BDP(B1822,"INDUSTRY_SECTOR"))</f>
        <v/>
      </c>
      <c r="X1822" t="str">
        <f>IF($B1822="","",_xll.BDP($B1822,"INDUSTRY_GROUP"))</f>
        <v/>
      </c>
      <c r="Y1822" t="str">
        <f>IF($B1822="","",_xll.BDP($B1822,"INDUSTRY_SUBGROUP"))</f>
        <v/>
      </c>
      <c r="Z1822" t="str">
        <f>IF($B1822="","",_xll.BDP($B1822,"COUNTRY_FULL_NAME"))</f>
        <v/>
      </c>
    </row>
    <row r="1823" spans="15:26" x14ac:dyDescent="0.25">
      <c r="O1823"/>
      <c r="P1823"/>
      <c r="Q1823"/>
      <c r="W1823" t="str">
        <f>IF(B1823="","",_xll.BDP(B1823,"INDUSTRY_SECTOR"))</f>
        <v/>
      </c>
      <c r="X1823" t="str">
        <f>IF($B1823="","",_xll.BDP($B1823,"INDUSTRY_GROUP"))</f>
        <v/>
      </c>
      <c r="Y1823" t="str">
        <f>IF($B1823="","",_xll.BDP($B1823,"INDUSTRY_SUBGROUP"))</f>
        <v/>
      </c>
      <c r="Z1823" t="str">
        <f>IF($B1823="","",_xll.BDP($B1823,"COUNTRY_FULL_NAME"))</f>
        <v/>
      </c>
    </row>
    <row r="1824" spans="15:26" x14ac:dyDescent="0.25">
      <c r="O1824"/>
      <c r="P1824"/>
      <c r="Q1824"/>
      <c r="W1824" t="str">
        <f>IF(B1824="","",_xll.BDP(B1824,"INDUSTRY_SECTOR"))</f>
        <v/>
      </c>
      <c r="X1824" t="str">
        <f>IF($B1824="","",_xll.BDP($B1824,"INDUSTRY_GROUP"))</f>
        <v/>
      </c>
      <c r="Y1824" t="str">
        <f>IF($B1824="","",_xll.BDP($B1824,"INDUSTRY_SUBGROUP"))</f>
        <v/>
      </c>
      <c r="Z1824" t="str">
        <f>IF($B1824="","",_xll.BDP($B1824,"COUNTRY_FULL_NAME"))</f>
        <v/>
      </c>
    </row>
    <row r="1825" spans="15:26" x14ac:dyDescent="0.25">
      <c r="O1825"/>
      <c r="P1825"/>
      <c r="Q1825"/>
      <c r="W1825" t="str">
        <f>IF(B1825="","",_xll.BDP(B1825,"INDUSTRY_SECTOR"))</f>
        <v/>
      </c>
      <c r="X1825" t="str">
        <f>IF($B1825="","",_xll.BDP($B1825,"INDUSTRY_GROUP"))</f>
        <v/>
      </c>
      <c r="Y1825" t="str">
        <f>IF($B1825="","",_xll.BDP($B1825,"INDUSTRY_SUBGROUP"))</f>
        <v/>
      </c>
      <c r="Z1825" t="str">
        <f>IF($B1825="","",_xll.BDP($B1825,"COUNTRY_FULL_NAME"))</f>
        <v/>
      </c>
    </row>
    <row r="1826" spans="15:26" x14ac:dyDescent="0.25">
      <c r="O1826"/>
      <c r="P1826"/>
      <c r="Q1826"/>
      <c r="W1826" t="str">
        <f>IF(B1826="","",_xll.BDP(B1826,"INDUSTRY_SECTOR"))</f>
        <v/>
      </c>
      <c r="X1826" t="str">
        <f>IF($B1826="","",_xll.BDP($B1826,"INDUSTRY_GROUP"))</f>
        <v/>
      </c>
      <c r="Y1826" t="str">
        <f>IF($B1826="","",_xll.BDP($B1826,"INDUSTRY_SUBGROUP"))</f>
        <v/>
      </c>
      <c r="Z1826" t="str">
        <f>IF($B1826="","",_xll.BDP($B1826,"COUNTRY_FULL_NAME"))</f>
        <v/>
      </c>
    </row>
    <row r="1827" spans="15:26" x14ac:dyDescent="0.25">
      <c r="O1827"/>
      <c r="P1827"/>
      <c r="Q1827"/>
      <c r="W1827" t="str">
        <f>IF(B1827="","",_xll.BDP(B1827,"INDUSTRY_SECTOR"))</f>
        <v/>
      </c>
      <c r="X1827" t="str">
        <f>IF($B1827="","",_xll.BDP($B1827,"INDUSTRY_GROUP"))</f>
        <v/>
      </c>
      <c r="Y1827" t="str">
        <f>IF($B1827="","",_xll.BDP($B1827,"INDUSTRY_SUBGROUP"))</f>
        <v/>
      </c>
      <c r="Z1827" t="str">
        <f>IF($B1827="","",_xll.BDP($B1827,"COUNTRY_FULL_NAME"))</f>
        <v/>
      </c>
    </row>
    <row r="1828" spans="15:26" x14ac:dyDescent="0.25">
      <c r="O1828"/>
      <c r="P1828"/>
      <c r="Q1828"/>
      <c r="W1828" t="str">
        <f>IF(B1828="","",_xll.BDP(B1828,"INDUSTRY_SECTOR"))</f>
        <v/>
      </c>
      <c r="X1828" t="str">
        <f>IF($B1828="","",_xll.BDP($B1828,"INDUSTRY_GROUP"))</f>
        <v/>
      </c>
      <c r="Y1828" t="str">
        <f>IF($B1828="","",_xll.BDP($B1828,"INDUSTRY_SUBGROUP"))</f>
        <v/>
      </c>
      <c r="Z1828" t="str">
        <f>IF($B1828="","",_xll.BDP($B1828,"COUNTRY_FULL_NAME"))</f>
        <v/>
      </c>
    </row>
    <row r="1829" spans="15:26" x14ac:dyDescent="0.25">
      <c r="O1829"/>
      <c r="P1829"/>
      <c r="Q1829"/>
      <c r="W1829" t="str">
        <f>IF(B1829="","",_xll.BDP(B1829,"INDUSTRY_SECTOR"))</f>
        <v/>
      </c>
      <c r="X1829" t="str">
        <f>IF($B1829="","",_xll.BDP($B1829,"INDUSTRY_GROUP"))</f>
        <v/>
      </c>
      <c r="Y1829" t="str">
        <f>IF($B1829="","",_xll.BDP($B1829,"INDUSTRY_SUBGROUP"))</f>
        <v/>
      </c>
      <c r="Z1829" t="str">
        <f>IF($B1829="","",_xll.BDP($B1829,"COUNTRY_FULL_NAME"))</f>
        <v/>
      </c>
    </row>
    <row r="1830" spans="15:26" x14ac:dyDescent="0.25">
      <c r="O1830"/>
      <c r="P1830"/>
      <c r="W1830" t="str">
        <f>IF(B1830="","",_xll.BDP(B1830,"INDUSTRY_SECTOR"))</f>
        <v/>
      </c>
      <c r="X1830" t="str">
        <f>IF($B1830="","",_xll.BDP($B1830,"INDUSTRY_GROUP"))</f>
        <v/>
      </c>
      <c r="Y1830" t="str">
        <f>IF($B1830="","",_xll.BDP($B1830,"INDUSTRY_SUBGROUP"))</f>
        <v/>
      </c>
      <c r="Z1830" t="str">
        <f>IF($B1830="","",_xll.BDP($B1830,"COUNTRY_FULL_NAME"))</f>
        <v/>
      </c>
    </row>
    <row r="1831" spans="15:26" x14ac:dyDescent="0.25">
      <c r="O1831"/>
      <c r="P1831"/>
      <c r="Q1831"/>
      <c r="W1831" t="str">
        <f>IF(B1831="","",_xll.BDP(B1831,"INDUSTRY_SECTOR"))</f>
        <v/>
      </c>
      <c r="X1831" t="str">
        <f>IF($B1831="","",_xll.BDP($B1831,"INDUSTRY_GROUP"))</f>
        <v/>
      </c>
      <c r="Y1831" t="str">
        <f>IF($B1831="","",_xll.BDP($B1831,"INDUSTRY_SUBGROUP"))</f>
        <v/>
      </c>
      <c r="Z1831" t="str">
        <f>IF($B1831="","",_xll.BDP($B1831,"COUNTRY_FULL_NAME"))</f>
        <v/>
      </c>
    </row>
    <row r="1832" spans="15:26" x14ac:dyDescent="0.25">
      <c r="O1832"/>
      <c r="P1832"/>
      <c r="Q1832"/>
      <c r="W1832" t="str">
        <f>IF(B1832="","",_xll.BDP(B1832,"INDUSTRY_SECTOR"))</f>
        <v/>
      </c>
      <c r="X1832" t="str">
        <f>IF($B1832="","",_xll.BDP($B1832,"INDUSTRY_GROUP"))</f>
        <v/>
      </c>
      <c r="Y1832" t="str">
        <f>IF($B1832="","",_xll.BDP($B1832,"INDUSTRY_SUBGROUP"))</f>
        <v/>
      </c>
      <c r="Z1832" t="str">
        <f>IF($B1832="","",_xll.BDP($B1832,"COUNTRY_FULL_NAME"))</f>
        <v/>
      </c>
    </row>
    <row r="1833" spans="15:26" x14ac:dyDescent="0.25">
      <c r="O1833"/>
      <c r="P1833"/>
      <c r="Q1833"/>
      <c r="W1833" t="str">
        <f>IF(B1833="","",_xll.BDP(B1833,"INDUSTRY_SECTOR"))</f>
        <v/>
      </c>
      <c r="X1833" t="str">
        <f>IF($B1833="","",_xll.BDP($B1833,"INDUSTRY_GROUP"))</f>
        <v/>
      </c>
      <c r="Y1833" t="str">
        <f>IF($B1833="","",_xll.BDP($B1833,"INDUSTRY_SUBGROUP"))</f>
        <v/>
      </c>
      <c r="Z1833" t="str">
        <f>IF($B1833="","",_xll.BDP($B1833,"COUNTRY_FULL_NAME"))</f>
        <v/>
      </c>
    </row>
    <row r="1834" spans="15:26" x14ac:dyDescent="0.25">
      <c r="O1834"/>
      <c r="P1834"/>
      <c r="Q1834"/>
      <c r="W1834" t="str">
        <f>IF(B1834="","",_xll.BDP(B1834,"INDUSTRY_SECTOR"))</f>
        <v/>
      </c>
      <c r="X1834" t="str">
        <f>IF($B1834="","",_xll.BDP($B1834,"INDUSTRY_GROUP"))</f>
        <v/>
      </c>
      <c r="Y1834" t="str">
        <f>IF($B1834="","",_xll.BDP($B1834,"INDUSTRY_SUBGROUP"))</f>
        <v/>
      </c>
      <c r="Z1834" t="str">
        <f>IF($B1834="","",_xll.BDP($B1834,"COUNTRY_FULL_NAME"))</f>
        <v/>
      </c>
    </row>
    <row r="1835" spans="15:26" x14ac:dyDescent="0.25">
      <c r="O1835"/>
      <c r="P1835"/>
      <c r="Q1835"/>
      <c r="W1835" t="str">
        <f>IF(B1835="","",_xll.BDP(B1835,"INDUSTRY_SECTOR"))</f>
        <v/>
      </c>
      <c r="X1835" t="str">
        <f>IF($B1835="","",_xll.BDP($B1835,"INDUSTRY_GROUP"))</f>
        <v/>
      </c>
      <c r="Y1835" t="str">
        <f>IF($B1835="","",_xll.BDP($B1835,"INDUSTRY_SUBGROUP"))</f>
        <v/>
      </c>
      <c r="Z1835" t="str">
        <f>IF($B1835="","",_xll.BDP($B1835,"COUNTRY_FULL_NAME"))</f>
        <v/>
      </c>
    </row>
    <row r="1836" spans="15:26" x14ac:dyDescent="0.25">
      <c r="O1836"/>
      <c r="P1836"/>
      <c r="Q1836"/>
      <c r="W1836" t="str">
        <f>IF(B1836="","",_xll.BDP(B1836,"INDUSTRY_SECTOR"))</f>
        <v/>
      </c>
      <c r="X1836" t="str">
        <f>IF($B1836="","",_xll.BDP($B1836,"INDUSTRY_GROUP"))</f>
        <v/>
      </c>
      <c r="Y1836" t="str">
        <f>IF($B1836="","",_xll.BDP($B1836,"INDUSTRY_SUBGROUP"))</f>
        <v/>
      </c>
      <c r="Z1836" t="str">
        <f>IF($B1836="","",_xll.BDP($B1836,"COUNTRY_FULL_NAME"))</f>
        <v/>
      </c>
    </row>
    <row r="1837" spans="15:26" x14ac:dyDescent="0.25">
      <c r="O1837"/>
      <c r="P1837"/>
      <c r="Q1837"/>
      <c r="W1837" t="str">
        <f>IF(B1837="","",_xll.BDP(B1837,"INDUSTRY_SECTOR"))</f>
        <v/>
      </c>
      <c r="X1837" t="str">
        <f>IF($B1837="","",_xll.BDP($B1837,"INDUSTRY_GROUP"))</f>
        <v/>
      </c>
      <c r="Y1837" t="str">
        <f>IF($B1837="","",_xll.BDP($B1837,"INDUSTRY_SUBGROUP"))</f>
        <v/>
      </c>
      <c r="Z1837" t="str">
        <f>IF($B1837="","",_xll.BDP($B1837,"COUNTRY_FULL_NAME"))</f>
        <v/>
      </c>
    </row>
    <row r="1838" spans="15:26" x14ac:dyDescent="0.25">
      <c r="O1838"/>
      <c r="P1838"/>
      <c r="Q1838"/>
      <c r="W1838" t="str">
        <f>IF(B1838="","",_xll.BDP(B1838,"INDUSTRY_SECTOR"))</f>
        <v/>
      </c>
      <c r="X1838" t="str">
        <f>IF($B1838="","",_xll.BDP($B1838,"INDUSTRY_GROUP"))</f>
        <v/>
      </c>
      <c r="Y1838" t="str">
        <f>IF($B1838="","",_xll.BDP($B1838,"INDUSTRY_SUBGROUP"))</f>
        <v/>
      </c>
      <c r="Z1838" t="str">
        <f>IF($B1838="","",_xll.BDP($B1838,"COUNTRY_FULL_NAME"))</f>
        <v/>
      </c>
    </row>
    <row r="1839" spans="15:26" x14ac:dyDescent="0.25">
      <c r="O1839"/>
      <c r="P1839"/>
      <c r="Q1839"/>
      <c r="W1839" t="str">
        <f>IF(B1839="","",_xll.BDP(B1839,"INDUSTRY_SECTOR"))</f>
        <v/>
      </c>
      <c r="X1839" t="str">
        <f>IF($B1839="","",_xll.BDP($B1839,"INDUSTRY_GROUP"))</f>
        <v/>
      </c>
      <c r="Y1839" t="str">
        <f>IF($B1839="","",_xll.BDP($B1839,"INDUSTRY_SUBGROUP"))</f>
        <v/>
      </c>
      <c r="Z1839" t="str">
        <f>IF($B1839="","",_xll.BDP($B1839,"COUNTRY_FULL_NAME"))</f>
        <v/>
      </c>
    </row>
    <row r="1840" spans="15:26" x14ac:dyDescent="0.25">
      <c r="O1840"/>
      <c r="P1840"/>
      <c r="Q1840"/>
      <c r="W1840" t="str">
        <f>IF(B1840="","",_xll.BDP(B1840,"INDUSTRY_SECTOR"))</f>
        <v/>
      </c>
      <c r="X1840" t="str">
        <f>IF($B1840="","",_xll.BDP($B1840,"INDUSTRY_GROUP"))</f>
        <v/>
      </c>
      <c r="Y1840" t="str">
        <f>IF($B1840="","",_xll.BDP($B1840,"INDUSTRY_SUBGROUP"))</f>
        <v/>
      </c>
      <c r="Z1840" t="str">
        <f>IF($B1840="","",_xll.BDP($B1840,"COUNTRY_FULL_NAME"))</f>
        <v/>
      </c>
    </row>
    <row r="1841" spans="15:26" x14ac:dyDescent="0.25">
      <c r="O1841"/>
      <c r="P1841"/>
      <c r="Q1841"/>
      <c r="W1841" t="str">
        <f>IF(B1841="","",_xll.BDP(B1841,"INDUSTRY_SECTOR"))</f>
        <v/>
      </c>
      <c r="X1841" t="str">
        <f>IF($B1841="","",_xll.BDP($B1841,"INDUSTRY_GROUP"))</f>
        <v/>
      </c>
      <c r="Y1841" t="str">
        <f>IF($B1841="","",_xll.BDP($B1841,"INDUSTRY_SUBGROUP"))</f>
        <v/>
      </c>
      <c r="Z1841" t="str">
        <f>IF($B1841="","",_xll.BDP($B1841,"COUNTRY_FULL_NAME"))</f>
        <v/>
      </c>
    </row>
    <row r="1842" spans="15:26" x14ac:dyDescent="0.25">
      <c r="O1842"/>
      <c r="P1842"/>
      <c r="Q1842"/>
      <c r="W1842" t="str">
        <f>IF(B1842="","",_xll.BDP(B1842,"INDUSTRY_SECTOR"))</f>
        <v/>
      </c>
      <c r="X1842" t="str">
        <f>IF($B1842="","",_xll.BDP($B1842,"INDUSTRY_GROUP"))</f>
        <v/>
      </c>
      <c r="Y1842" t="str">
        <f>IF($B1842="","",_xll.BDP($B1842,"INDUSTRY_SUBGROUP"))</f>
        <v/>
      </c>
      <c r="Z1842" t="str">
        <f>IF($B1842="","",_xll.BDP($B1842,"COUNTRY_FULL_NAME"))</f>
        <v/>
      </c>
    </row>
    <row r="1843" spans="15:26" x14ac:dyDescent="0.25">
      <c r="O1843"/>
      <c r="P1843"/>
      <c r="Q1843"/>
      <c r="W1843" t="str">
        <f>IF(B1843="","",_xll.BDP(B1843,"INDUSTRY_SECTOR"))</f>
        <v/>
      </c>
      <c r="X1843" t="str">
        <f>IF($B1843="","",_xll.BDP($B1843,"INDUSTRY_GROUP"))</f>
        <v/>
      </c>
      <c r="Y1843" t="str">
        <f>IF($B1843="","",_xll.BDP($B1843,"INDUSTRY_SUBGROUP"))</f>
        <v/>
      </c>
      <c r="Z1843" t="str">
        <f>IF($B1843="","",_xll.BDP($B1843,"COUNTRY_FULL_NAME"))</f>
        <v/>
      </c>
    </row>
    <row r="1844" spans="15:26" x14ac:dyDescent="0.25">
      <c r="O1844"/>
      <c r="P1844"/>
      <c r="Q1844"/>
      <c r="W1844" t="str">
        <f>IF(B1844="","",_xll.BDP(B1844,"INDUSTRY_SECTOR"))</f>
        <v/>
      </c>
      <c r="X1844" t="str">
        <f>IF($B1844="","",_xll.BDP($B1844,"INDUSTRY_GROUP"))</f>
        <v/>
      </c>
      <c r="Y1844" t="str">
        <f>IF($B1844="","",_xll.BDP($B1844,"INDUSTRY_SUBGROUP"))</f>
        <v/>
      </c>
      <c r="Z1844" t="str">
        <f>IF($B1844="","",_xll.BDP($B1844,"COUNTRY_FULL_NAME"))</f>
        <v/>
      </c>
    </row>
    <row r="1845" spans="15:26" x14ac:dyDescent="0.25">
      <c r="O1845"/>
      <c r="P1845"/>
      <c r="Q1845"/>
      <c r="W1845" t="str">
        <f>IF(B1845="","",_xll.BDP(B1845,"INDUSTRY_SECTOR"))</f>
        <v/>
      </c>
      <c r="X1845" t="str">
        <f>IF($B1845="","",_xll.BDP($B1845,"INDUSTRY_GROUP"))</f>
        <v/>
      </c>
      <c r="Y1845" t="str">
        <f>IF($B1845="","",_xll.BDP($B1845,"INDUSTRY_SUBGROUP"))</f>
        <v/>
      </c>
      <c r="Z1845" t="str">
        <f>IF($B1845="","",_xll.BDP($B1845,"COUNTRY_FULL_NAME"))</f>
        <v/>
      </c>
    </row>
    <row r="1846" spans="15:26" x14ac:dyDescent="0.25">
      <c r="O1846"/>
      <c r="P1846"/>
      <c r="Q1846"/>
      <c r="W1846" t="str">
        <f>IF(B1846="","",_xll.BDP(B1846,"INDUSTRY_SECTOR"))</f>
        <v/>
      </c>
      <c r="X1846" t="str">
        <f>IF($B1846="","",_xll.BDP($B1846,"INDUSTRY_GROUP"))</f>
        <v/>
      </c>
      <c r="Y1846" t="str">
        <f>IF($B1846="","",_xll.BDP($B1846,"INDUSTRY_SUBGROUP"))</f>
        <v/>
      </c>
      <c r="Z1846" t="str">
        <f>IF($B1846="","",_xll.BDP($B1846,"COUNTRY_FULL_NAME"))</f>
        <v/>
      </c>
    </row>
    <row r="1847" spans="15:26" x14ac:dyDescent="0.25">
      <c r="O1847"/>
      <c r="P1847"/>
      <c r="Q1847"/>
      <c r="W1847" t="str">
        <f>IF(B1847="","",_xll.BDP(B1847,"INDUSTRY_SECTOR"))</f>
        <v/>
      </c>
      <c r="X1847" t="str">
        <f>IF($B1847="","",_xll.BDP($B1847,"INDUSTRY_GROUP"))</f>
        <v/>
      </c>
      <c r="Y1847" t="str">
        <f>IF($B1847="","",_xll.BDP($B1847,"INDUSTRY_SUBGROUP"))</f>
        <v/>
      </c>
      <c r="Z1847" t="str">
        <f>IF($B1847="","",_xll.BDP($B1847,"COUNTRY_FULL_NAME"))</f>
        <v/>
      </c>
    </row>
    <row r="1848" spans="15:26" x14ac:dyDescent="0.25">
      <c r="O1848"/>
      <c r="P1848"/>
      <c r="Q1848"/>
      <c r="W1848" t="str">
        <f>IF(B1848="","",_xll.BDP(B1848,"INDUSTRY_SECTOR"))</f>
        <v/>
      </c>
      <c r="X1848" t="str">
        <f>IF($B1848="","",_xll.BDP($B1848,"INDUSTRY_GROUP"))</f>
        <v/>
      </c>
      <c r="Y1848" t="str">
        <f>IF($B1848="","",_xll.BDP($B1848,"INDUSTRY_SUBGROUP"))</f>
        <v/>
      </c>
      <c r="Z1848" t="str">
        <f>IF($B1848="","",_xll.BDP($B1848,"COUNTRY_FULL_NAME"))</f>
        <v/>
      </c>
    </row>
    <row r="1849" spans="15:26" x14ac:dyDescent="0.25">
      <c r="O1849"/>
      <c r="P1849"/>
      <c r="Q1849"/>
      <c r="W1849" t="str">
        <f>IF(B1849="","",_xll.BDP(B1849,"INDUSTRY_SECTOR"))</f>
        <v/>
      </c>
      <c r="X1849" t="str">
        <f>IF($B1849="","",_xll.BDP($B1849,"INDUSTRY_GROUP"))</f>
        <v/>
      </c>
      <c r="Y1849" t="str">
        <f>IF($B1849="","",_xll.BDP($B1849,"INDUSTRY_SUBGROUP"))</f>
        <v/>
      </c>
      <c r="Z1849" t="str">
        <f>IF($B1849="","",_xll.BDP($B1849,"COUNTRY_FULL_NAME"))</f>
        <v/>
      </c>
    </row>
    <row r="1850" spans="15:26" x14ac:dyDescent="0.25">
      <c r="O1850"/>
      <c r="P1850"/>
      <c r="Q1850"/>
      <c r="W1850" t="str">
        <f>IF(B1850="","",_xll.BDP(B1850,"INDUSTRY_SECTOR"))</f>
        <v/>
      </c>
      <c r="X1850" t="str">
        <f>IF($B1850="","",_xll.BDP($B1850,"INDUSTRY_GROUP"))</f>
        <v/>
      </c>
      <c r="Y1850" t="str">
        <f>IF($B1850="","",_xll.BDP($B1850,"INDUSTRY_SUBGROUP"))</f>
        <v/>
      </c>
      <c r="Z1850" t="str">
        <f>IF($B1850="","",_xll.BDP($B1850,"COUNTRY_FULL_NAME"))</f>
        <v/>
      </c>
    </row>
    <row r="1851" spans="15:26" x14ac:dyDescent="0.25">
      <c r="O1851"/>
      <c r="P1851"/>
      <c r="Q1851"/>
      <c r="W1851" t="str">
        <f>IF(B1851="","",_xll.BDP(B1851,"INDUSTRY_SECTOR"))</f>
        <v/>
      </c>
      <c r="X1851" t="str">
        <f>IF($B1851="","",_xll.BDP($B1851,"INDUSTRY_GROUP"))</f>
        <v/>
      </c>
      <c r="Y1851" t="str">
        <f>IF($B1851="","",_xll.BDP($B1851,"INDUSTRY_SUBGROUP"))</f>
        <v/>
      </c>
      <c r="Z1851" t="str">
        <f>IF($B1851="","",_xll.BDP($B1851,"COUNTRY_FULL_NAME"))</f>
        <v/>
      </c>
    </row>
    <row r="1852" spans="15:26" x14ac:dyDescent="0.25">
      <c r="O1852"/>
      <c r="P1852"/>
      <c r="Q1852"/>
      <c r="W1852" t="str">
        <f>IF(B1852="","",_xll.BDP(B1852,"INDUSTRY_SECTOR"))</f>
        <v/>
      </c>
      <c r="X1852" t="str">
        <f>IF($B1852="","",_xll.BDP($B1852,"INDUSTRY_GROUP"))</f>
        <v/>
      </c>
      <c r="Y1852" t="str">
        <f>IF($B1852="","",_xll.BDP($B1852,"INDUSTRY_SUBGROUP"))</f>
        <v/>
      </c>
      <c r="Z1852" t="str">
        <f>IF($B1852="","",_xll.BDP($B1852,"COUNTRY_FULL_NAME"))</f>
        <v/>
      </c>
    </row>
    <row r="1853" spans="15:26" x14ac:dyDescent="0.25">
      <c r="O1853"/>
      <c r="P1853"/>
      <c r="Q1853"/>
      <c r="W1853" t="str">
        <f>IF(B1853="","",_xll.BDP(B1853,"INDUSTRY_SECTOR"))</f>
        <v/>
      </c>
      <c r="X1853" t="str">
        <f>IF($B1853="","",_xll.BDP($B1853,"INDUSTRY_GROUP"))</f>
        <v/>
      </c>
      <c r="Y1853" t="str">
        <f>IF($B1853="","",_xll.BDP($B1853,"INDUSTRY_SUBGROUP"))</f>
        <v/>
      </c>
      <c r="Z1853" t="str">
        <f>IF($B1853="","",_xll.BDP($B1853,"COUNTRY_FULL_NAME"))</f>
        <v/>
      </c>
    </row>
    <row r="1854" spans="15:26" x14ac:dyDescent="0.25">
      <c r="O1854"/>
      <c r="P1854"/>
      <c r="Q1854"/>
      <c r="W1854" t="str">
        <f>IF(B1854="","",_xll.BDP(B1854,"INDUSTRY_SECTOR"))</f>
        <v/>
      </c>
      <c r="X1854" t="str">
        <f>IF($B1854="","",_xll.BDP($B1854,"INDUSTRY_GROUP"))</f>
        <v/>
      </c>
      <c r="Y1854" t="str">
        <f>IF($B1854="","",_xll.BDP($B1854,"INDUSTRY_SUBGROUP"))</f>
        <v/>
      </c>
      <c r="Z1854" t="str">
        <f>IF($B1854="","",_xll.BDP($B1854,"COUNTRY_FULL_NAME"))</f>
        <v/>
      </c>
    </row>
    <row r="1855" spans="15:26" x14ac:dyDescent="0.25">
      <c r="O1855"/>
      <c r="P1855"/>
      <c r="Q1855"/>
      <c r="W1855" t="str">
        <f>IF(B1855="","",_xll.BDP(B1855,"INDUSTRY_SECTOR"))</f>
        <v/>
      </c>
      <c r="X1855" t="str">
        <f>IF($B1855="","",_xll.BDP($B1855,"INDUSTRY_GROUP"))</f>
        <v/>
      </c>
      <c r="Y1855" t="str">
        <f>IF($B1855="","",_xll.BDP($B1855,"INDUSTRY_SUBGROUP"))</f>
        <v/>
      </c>
      <c r="Z1855" t="str">
        <f>IF($B1855="","",_xll.BDP($B1855,"COUNTRY_FULL_NAME"))</f>
        <v/>
      </c>
    </row>
    <row r="1856" spans="15:26" x14ac:dyDescent="0.25">
      <c r="O1856"/>
      <c r="P1856"/>
      <c r="Q1856"/>
      <c r="W1856" t="str">
        <f>IF(B1856="","",_xll.BDP(B1856,"INDUSTRY_SECTOR"))</f>
        <v/>
      </c>
      <c r="X1856" t="str">
        <f>IF($B1856="","",_xll.BDP($B1856,"INDUSTRY_GROUP"))</f>
        <v/>
      </c>
      <c r="Y1856" t="str">
        <f>IF($B1856="","",_xll.BDP($B1856,"INDUSTRY_SUBGROUP"))</f>
        <v/>
      </c>
      <c r="Z1856" t="str">
        <f>IF($B1856="","",_xll.BDP($B1856,"COUNTRY_FULL_NAME"))</f>
        <v/>
      </c>
    </row>
    <row r="1857" spans="15:26" x14ac:dyDescent="0.25">
      <c r="O1857"/>
      <c r="P1857"/>
      <c r="Q1857"/>
      <c r="W1857" t="str">
        <f>IF(B1857="","",_xll.BDP(B1857,"INDUSTRY_SECTOR"))</f>
        <v/>
      </c>
      <c r="X1857" t="str">
        <f>IF($B1857="","",_xll.BDP($B1857,"INDUSTRY_GROUP"))</f>
        <v/>
      </c>
      <c r="Y1857" t="str">
        <f>IF($B1857="","",_xll.BDP($B1857,"INDUSTRY_SUBGROUP"))</f>
        <v/>
      </c>
      <c r="Z1857" t="str">
        <f>IF($B1857="","",_xll.BDP($B1857,"COUNTRY_FULL_NAME"))</f>
        <v/>
      </c>
    </row>
    <row r="1858" spans="15:26" x14ac:dyDescent="0.25">
      <c r="O1858"/>
      <c r="P1858"/>
      <c r="Q1858"/>
      <c r="W1858" t="str">
        <f>IF(B1858="","",_xll.BDP(B1858,"INDUSTRY_SECTOR"))</f>
        <v/>
      </c>
      <c r="X1858" t="str">
        <f>IF($B1858="","",_xll.BDP($B1858,"INDUSTRY_GROUP"))</f>
        <v/>
      </c>
      <c r="Y1858" t="str">
        <f>IF($B1858="","",_xll.BDP($B1858,"INDUSTRY_SUBGROUP"))</f>
        <v/>
      </c>
      <c r="Z1858" t="str">
        <f>IF($B1858="","",_xll.BDP($B1858,"COUNTRY_FULL_NAME"))</f>
        <v/>
      </c>
    </row>
    <row r="1859" spans="15:26" x14ac:dyDescent="0.25">
      <c r="O1859"/>
      <c r="P1859"/>
      <c r="Q1859"/>
      <c r="W1859" t="str">
        <f>IF(B1859="","",_xll.BDP(B1859,"INDUSTRY_SECTOR"))</f>
        <v/>
      </c>
      <c r="X1859" t="str">
        <f>IF($B1859="","",_xll.BDP($B1859,"INDUSTRY_GROUP"))</f>
        <v/>
      </c>
      <c r="Y1859" t="str">
        <f>IF($B1859="","",_xll.BDP($B1859,"INDUSTRY_SUBGROUP"))</f>
        <v/>
      </c>
      <c r="Z1859" t="str">
        <f>IF($B1859="","",_xll.BDP($B1859,"COUNTRY_FULL_NAME"))</f>
        <v/>
      </c>
    </row>
    <row r="1860" spans="15:26" x14ac:dyDescent="0.25">
      <c r="O1860"/>
      <c r="P1860"/>
      <c r="Q1860"/>
      <c r="W1860" t="str">
        <f>IF(B1860="","",_xll.BDP(B1860,"INDUSTRY_SECTOR"))</f>
        <v/>
      </c>
      <c r="X1860" t="str">
        <f>IF($B1860="","",_xll.BDP($B1860,"INDUSTRY_GROUP"))</f>
        <v/>
      </c>
      <c r="Y1860" t="str">
        <f>IF($B1860="","",_xll.BDP($B1860,"INDUSTRY_SUBGROUP"))</f>
        <v/>
      </c>
      <c r="Z1860" t="str">
        <f>IF($B1860="","",_xll.BDP($B1860,"COUNTRY_FULL_NAME"))</f>
        <v/>
      </c>
    </row>
    <row r="1861" spans="15:26" x14ac:dyDescent="0.25">
      <c r="O1861"/>
      <c r="P1861"/>
      <c r="Q1861"/>
      <c r="W1861" t="str">
        <f>IF(B1861="","",_xll.BDP(B1861,"INDUSTRY_SECTOR"))</f>
        <v/>
      </c>
      <c r="X1861" t="str">
        <f>IF($B1861="","",_xll.BDP($B1861,"INDUSTRY_GROUP"))</f>
        <v/>
      </c>
      <c r="Y1861" t="str">
        <f>IF($B1861="","",_xll.BDP($B1861,"INDUSTRY_SUBGROUP"))</f>
        <v/>
      </c>
      <c r="Z1861" t="str">
        <f>IF($B1861="","",_xll.BDP($B1861,"COUNTRY_FULL_NAME"))</f>
        <v/>
      </c>
    </row>
    <row r="1862" spans="15:26" x14ac:dyDescent="0.25">
      <c r="O1862"/>
      <c r="P1862"/>
      <c r="Q1862"/>
      <c r="W1862" t="str">
        <f>IF(B1862="","",_xll.BDP(B1862,"INDUSTRY_SECTOR"))</f>
        <v/>
      </c>
      <c r="X1862" t="str">
        <f>IF($B1862="","",_xll.BDP($B1862,"INDUSTRY_GROUP"))</f>
        <v/>
      </c>
      <c r="Y1862" t="str">
        <f>IF($B1862="","",_xll.BDP($B1862,"INDUSTRY_SUBGROUP"))</f>
        <v/>
      </c>
      <c r="Z1862" t="str">
        <f>IF($B1862="","",_xll.BDP($B1862,"COUNTRY_FULL_NAME"))</f>
        <v/>
      </c>
    </row>
    <row r="1863" spans="15:26" x14ac:dyDescent="0.25">
      <c r="O1863"/>
      <c r="P1863"/>
      <c r="Q1863"/>
      <c r="W1863" t="str">
        <f>IF(B1863="","",_xll.BDP(B1863,"INDUSTRY_SECTOR"))</f>
        <v/>
      </c>
      <c r="X1863" t="str">
        <f>IF($B1863="","",_xll.BDP($B1863,"INDUSTRY_GROUP"))</f>
        <v/>
      </c>
      <c r="Y1863" t="str">
        <f>IF($B1863="","",_xll.BDP($B1863,"INDUSTRY_SUBGROUP"))</f>
        <v/>
      </c>
      <c r="Z1863" t="str">
        <f>IF($B1863="","",_xll.BDP($B1863,"COUNTRY_FULL_NAME"))</f>
        <v/>
      </c>
    </row>
    <row r="1864" spans="15:26" x14ac:dyDescent="0.25">
      <c r="O1864"/>
      <c r="P1864"/>
      <c r="Q1864"/>
      <c r="W1864" t="str">
        <f>IF(B1864="","",_xll.BDP(B1864,"INDUSTRY_SECTOR"))</f>
        <v/>
      </c>
      <c r="X1864" t="str">
        <f>IF($B1864="","",_xll.BDP($B1864,"INDUSTRY_GROUP"))</f>
        <v/>
      </c>
      <c r="Y1864" t="str">
        <f>IF($B1864="","",_xll.BDP($B1864,"INDUSTRY_SUBGROUP"))</f>
        <v/>
      </c>
      <c r="Z1864" t="str">
        <f>IF($B1864="","",_xll.BDP($B1864,"COUNTRY_FULL_NAME"))</f>
        <v/>
      </c>
    </row>
    <row r="1865" spans="15:26" x14ac:dyDescent="0.25">
      <c r="O1865"/>
      <c r="P1865"/>
      <c r="Q1865"/>
      <c r="W1865" t="str">
        <f>IF(B1865="","",_xll.BDP(B1865,"INDUSTRY_SECTOR"))</f>
        <v/>
      </c>
      <c r="X1865" t="str">
        <f>IF($B1865="","",_xll.BDP($B1865,"INDUSTRY_GROUP"))</f>
        <v/>
      </c>
      <c r="Y1865" t="str">
        <f>IF($B1865="","",_xll.BDP($B1865,"INDUSTRY_SUBGROUP"))</f>
        <v/>
      </c>
      <c r="Z1865" t="str">
        <f>IF($B1865="","",_xll.BDP($B1865,"COUNTRY_FULL_NAME"))</f>
        <v/>
      </c>
    </row>
    <row r="1866" spans="15:26" x14ac:dyDescent="0.25">
      <c r="O1866"/>
      <c r="P1866"/>
      <c r="Q1866"/>
      <c r="W1866" t="str">
        <f>IF(B1866="","",_xll.BDP(B1866,"INDUSTRY_SECTOR"))</f>
        <v/>
      </c>
      <c r="X1866" t="str">
        <f>IF($B1866="","",_xll.BDP($B1866,"INDUSTRY_GROUP"))</f>
        <v/>
      </c>
      <c r="Y1866" t="str">
        <f>IF($B1866="","",_xll.BDP($B1866,"INDUSTRY_SUBGROUP"))</f>
        <v/>
      </c>
      <c r="Z1866" t="str">
        <f>IF($B1866="","",_xll.BDP($B1866,"COUNTRY_FULL_NAME"))</f>
        <v/>
      </c>
    </row>
    <row r="1867" spans="15:26" x14ac:dyDescent="0.25">
      <c r="O1867"/>
      <c r="P1867"/>
      <c r="Q1867"/>
      <c r="W1867" t="str">
        <f>IF(B1867="","",_xll.BDP(B1867,"INDUSTRY_SECTOR"))</f>
        <v/>
      </c>
      <c r="X1867" t="str">
        <f>IF($B1867="","",_xll.BDP($B1867,"INDUSTRY_GROUP"))</f>
        <v/>
      </c>
      <c r="Y1867" t="str">
        <f>IF($B1867="","",_xll.BDP($B1867,"INDUSTRY_SUBGROUP"))</f>
        <v/>
      </c>
      <c r="Z1867" t="str">
        <f>IF($B1867="","",_xll.BDP($B1867,"COUNTRY_FULL_NAME"))</f>
        <v/>
      </c>
    </row>
    <row r="1868" spans="15:26" x14ac:dyDescent="0.25">
      <c r="O1868"/>
      <c r="P1868"/>
      <c r="Q1868"/>
      <c r="W1868" t="str">
        <f>IF(B1868="","",_xll.BDP(B1868,"INDUSTRY_SECTOR"))</f>
        <v/>
      </c>
      <c r="X1868" t="str">
        <f>IF($B1868="","",_xll.BDP($B1868,"INDUSTRY_GROUP"))</f>
        <v/>
      </c>
      <c r="Y1868" t="str">
        <f>IF($B1868="","",_xll.BDP($B1868,"INDUSTRY_SUBGROUP"))</f>
        <v/>
      </c>
      <c r="Z1868" t="str">
        <f>IF($B1868="","",_xll.BDP($B1868,"COUNTRY_FULL_NAME"))</f>
        <v/>
      </c>
    </row>
    <row r="1869" spans="15:26" x14ac:dyDescent="0.25">
      <c r="O1869"/>
      <c r="P1869"/>
      <c r="Q1869"/>
      <c r="W1869" t="str">
        <f>IF(B1869="","",_xll.BDP(B1869,"INDUSTRY_SECTOR"))</f>
        <v/>
      </c>
      <c r="X1869" t="str">
        <f>IF($B1869="","",_xll.BDP($B1869,"INDUSTRY_GROUP"))</f>
        <v/>
      </c>
      <c r="Y1869" t="str">
        <f>IF($B1869="","",_xll.BDP($B1869,"INDUSTRY_SUBGROUP"))</f>
        <v/>
      </c>
      <c r="Z1869" t="str">
        <f>IF($B1869="","",_xll.BDP($B1869,"COUNTRY_FULL_NAME"))</f>
        <v/>
      </c>
    </row>
    <row r="1870" spans="15:26" x14ac:dyDescent="0.25">
      <c r="O1870"/>
      <c r="P1870"/>
      <c r="Q1870"/>
      <c r="W1870" t="str">
        <f>IF(B1870="","",_xll.BDP(B1870,"INDUSTRY_SECTOR"))</f>
        <v/>
      </c>
      <c r="X1870" t="str">
        <f>IF($B1870="","",_xll.BDP($B1870,"INDUSTRY_GROUP"))</f>
        <v/>
      </c>
      <c r="Y1870" t="str">
        <f>IF($B1870="","",_xll.BDP($B1870,"INDUSTRY_SUBGROUP"))</f>
        <v/>
      </c>
      <c r="Z1870" t="str">
        <f>IF($B1870="","",_xll.BDP($B1870,"COUNTRY_FULL_NAME"))</f>
        <v/>
      </c>
    </row>
    <row r="1871" spans="15:26" x14ac:dyDescent="0.25">
      <c r="O1871"/>
      <c r="P1871"/>
      <c r="Q1871"/>
      <c r="W1871" t="str">
        <f>IF(B1871="","",_xll.BDP(B1871,"INDUSTRY_SECTOR"))</f>
        <v/>
      </c>
      <c r="X1871" t="str">
        <f>IF($B1871="","",_xll.BDP($B1871,"INDUSTRY_GROUP"))</f>
        <v/>
      </c>
      <c r="Y1871" t="str">
        <f>IF($B1871="","",_xll.BDP($B1871,"INDUSTRY_SUBGROUP"))</f>
        <v/>
      </c>
      <c r="Z1871" t="str">
        <f>IF($B1871="","",_xll.BDP($B1871,"COUNTRY_FULL_NAME"))</f>
        <v/>
      </c>
    </row>
    <row r="1872" spans="15:26" x14ac:dyDescent="0.25">
      <c r="O1872"/>
      <c r="P1872"/>
      <c r="Q1872"/>
      <c r="W1872" t="str">
        <f>IF(B1872="","",_xll.BDP(B1872,"INDUSTRY_SECTOR"))</f>
        <v/>
      </c>
      <c r="X1872" t="str">
        <f>IF($B1872="","",_xll.BDP($B1872,"INDUSTRY_GROUP"))</f>
        <v/>
      </c>
      <c r="Y1872" t="str">
        <f>IF($B1872="","",_xll.BDP($B1872,"INDUSTRY_SUBGROUP"))</f>
        <v/>
      </c>
      <c r="Z1872" t="str">
        <f>IF($B1872="","",_xll.BDP($B1872,"COUNTRY_FULL_NAME"))</f>
        <v/>
      </c>
    </row>
    <row r="1873" spans="15:26" x14ac:dyDescent="0.25">
      <c r="O1873"/>
      <c r="P1873"/>
      <c r="Q1873"/>
      <c r="W1873" t="str">
        <f>IF(B1873="","",_xll.BDP(B1873,"INDUSTRY_SECTOR"))</f>
        <v/>
      </c>
      <c r="X1873" t="str">
        <f>IF($B1873="","",_xll.BDP($B1873,"INDUSTRY_GROUP"))</f>
        <v/>
      </c>
      <c r="Y1873" t="str">
        <f>IF($B1873="","",_xll.BDP($B1873,"INDUSTRY_SUBGROUP"))</f>
        <v/>
      </c>
      <c r="Z1873" t="str">
        <f>IF($B1873="","",_xll.BDP($B1873,"COUNTRY_FULL_NAME"))</f>
        <v/>
      </c>
    </row>
    <row r="1874" spans="15:26" x14ac:dyDescent="0.25">
      <c r="O1874"/>
      <c r="P1874"/>
      <c r="Q1874"/>
      <c r="W1874" t="str">
        <f>IF(B1874="","",_xll.BDP(B1874,"INDUSTRY_SECTOR"))</f>
        <v/>
      </c>
      <c r="X1874" t="str">
        <f>IF($B1874="","",_xll.BDP($B1874,"INDUSTRY_GROUP"))</f>
        <v/>
      </c>
      <c r="Y1874" t="str">
        <f>IF($B1874="","",_xll.BDP($B1874,"INDUSTRY_SUBGROUP"))</f>
        <v/>
      </c>
      <c r="Z1874" t="str">
        <f>IF($B1874="","",_xll.BDP($B1874,"COUNTRY_FULL_NAME"))</f>
        <v/>
      </c>
    </row>
    <row r="1875" spans="15:26" x14ac:dyDescent="0.25">
      <c r="O1875"/>
      <c r="P1875"/>
      <c r="Q1875"/>
      <c r="W1875" t="str">
        <f>IF(B1875="","",_xll.BDP(B1875,"INDUSTRY_SECTOR"))</f>
        <v/>
      </c>
      <c r="X1875" t="str">
        <f>IF($B1875="","",_xll.BDP($B1875,"INDUSTRY_GROUP"))</f>
        <v/>
      </c>
      <c r="Y1875" t="str">
        <f>IF($B1875="","",_xll.BDP($B1875,"INDUSTRY_SUBGROUP"))</f>
        <v/>
      </c>
      <c r="Z1875" t="str">
        <f>IF($B1875="","",_xll.BDP($B1875,"COUNTRY_FULL_NAME"))</f>
        <v/>
      </c>
    </row>
    <row r="1876" spans="15:26" x14ac:dyDescent="0.25">
      <c r="O1876"/>
      <c r="P1876"/>
      <c r="Q1876"/>
      <c r="W1876" t="str">
        <f>IF(B1876="","",_xll.BDP(B1876,"INDUSTRY_SECTOR"))</f>
        <v/>
      </c>
      <c r="X1876" t="str">
        <f>IF($B1876="","",_xll.BDP($B1876,"INDUSTRY_GROUP"))</f>
        <v/>
      </c>
      <c r="Y1876" t="str">
        <f>IF($B1876="","",_xll.BDP($B1876,"INDUSTRY_SUBGROUP"))</f>
        <v/>
      </c>
      <c r="Z1876" t="str">
        <f>IF($B1876="","",_xll.BDP($B1876,"COUNTRY_FULL_NAME"))</f>
        <v/>
      </c>
    </row>
    <row r="1877" spans="15:26" x14ac:dyDescent="0.25">
      <c r="O1877"/>
      <c r="P1877"/>
      <c r="Q1877"/>
      <c r="W1877" t="str">
        <f>IF(B1877="","",_xll.BDP(B1877,"INDUSTRY_SECTOR"))</f>
        <v/>
      </c>
      <c r="X1877" t="str">
        <f>IF($B1877="","",_xll.BDP($B1877,"INDUSTRY_GROUP"))</f>
        <v/>
      </c>
      <c r="Y1877" t="str">
        <f>IF($B1877="","",_xll.BDP($B1877,"INDUSTRY_SUBGROUP"))</f>
        <v/>
      </c>
      <c r="Z1877" t="str">
        <f>IF($B1877="","",_xll.BDP($B1877,"COUNTRY_FULL_NAME"))</f>
        <v/>
      </c>
    </row>
    <row r="1878" spans="15:26" x14ac:dyDescent="0.25">
      <c r="O1878"/>
      <c r="P1878"/>
      <c r="Q1878"/>
      <c r="W1878" t="str">
        <f>IF(B1878="","",_xll.BDP(B1878,"INDUSTRY_SECTOR"))</f>
        <v/>
      </c>
      <c r="X1878" t="str">
        <f>IF($B1878="","",_xll.BDP($B1878,"INDUSTRY_GROUP"))</f>
        <v/>
      </c>
      <c r="Y1878" t="str">
        <f>IF($B1878="","",_xll.BDP($B1878,"INDUSTRY_SUBGROUP"))</f>
        <v/>
      </c>
      <c r="Z1878" t="str">
        <f>IF($B1878="","",_xll.BDP($B1878,"COUNTRY_FULL_NAME"))</f>
        <v/>
      </c>
    </row>
    <row r="1879" spans="15:26" x14ac:dyDescent="0.25">
      <c r="O1879"/>
      <c r="P1879"/>
      <c r="Q1879"/>
      <c r="W1879" t="str">
        <f>IF(B1879="","",_xll.BDP(B1879,"INDUSTRY_SECTOR"))</f>
        <v/>
      </c>
      <c r="X1879" t="str">
        <f>IF($B1879="","",_xll.BDP($B1879,"INDUSTRY_GROUP"))</f>
        <v/>
      </c>
      <c r="Y1879" t="str">
        <f>IF($B1879="","",_xll.BDP($B1879,"INDUSTRY_SUBGROUP"))</f>
        <v/>
      </c>
      <c r="Z1879" t="str">
        <f>IF($B1879="","",_xll.BDP($B1879,"COUNTRY_FULL_NAME"))</f>
        <v/>
      </c>
    </row>
    <row r="1880" spans="15:26" x14ac:dyDescent="0.25">
      <c r="O1880"/>
      <c r="P1880"/>
      <c r="Q1880"/>
      <c r="W1880" t="str">
        <f>IF(B1880="","",_xll.BDP(B1880,"INDUSTRY_SECTOR"))</f>
        <v/>
      </c>
      <c r="X1880" t="str">
        <f>IF($B1880="","",_xll.BDP($B1880,"INDUSTRY_GROUP"))</f>
        <v/>
      </c>
      <c r="Y1880" t="str">
        <f>IF($B1880="","",_xll.BDP($B1880,"INDUSTRY_SUBGROUP"))</f>
        <v/>
      </c>
      <c r="Z1880" t="str">
        <f>IF($B1880="","",_xll.BDP($B1880,"COUNTRY_FULL_NAME"))</f>
        <v/>
      </c>
    </row>
    <row r="1881" spans="15:26" x14ac:dyDescent="0.25">
      <c r="O1881"/>
      <c r="P1881"/>
      <c r="Q1881"/>
      <c r="W1881" t="str">
        <f>IF(B1881="","",_xll.BDP(B1881,"INDUSTRY_SECTOR"))</f>
        <v/>
      </c>
      <c r="X1881" t="str">
        <f>IF($B1881="","",_xll.BDP($B1881,"INDUSTRY_GROUP"))</f>
        <v/>
      </c>
      <c r="Y1881" t="str">
        <f>IF($B1881="","",_xll.BDP($B1881,"INDUSTRY_SUBGROUP"))</f>
        <v/>
      </c>
      <c r="Z1881" t="str">
        <f>IF($B1881="","",_xll.BDP($B1881,"COUNTRY_FULL_NAME"))</f>
        <v/>
      </c>
    </row>
    <row r="1882" spans="15:26" x14ac:dyDescent="0.25">
      <c r="O1882"/>
      <c r="P1882"/>
      <c r="Q1882"/>
      <c r="W1882" t="str">
        <f>IF(B1882="","",_xll.BDP(B1882,"INDUSTRY_SECTOR"))</f>
        <v/>
      </c>
      <c r="X1882" t="str">
        <f>IF($B1882="","",_xll.BDP($B1882,"INDUSTRY_GROUP"))</f>
        <v/>
      </c>
      <c r="Y1882" t="str">
        <f>IF($B1882="","",_xll.BDP($B1882,"INDUSTRY_SUBGROUP"))</f>
        <v/>
      </c>
      <c r="Z1882" t="str">
        <f>IF($B1882="","",_xll.BDP($B1882,"COUNTRY_FULL_NAME"))</f>
        <v/>
      </c>
    </row>
    <row r="1883" spans="15:26" x14ac:dyDescent="0.25">
      <c r="O1883"/>
      <c r="P1883"/>
      <c r="Q1883"/>
      <c r="W1883" t="str">
        <f>IF(B1883="","",_xll.BDP(B1883,"INDUSTRY_SECTOR"))</f>
        <v/>
      </c>
      <c r="X1883" t="str">
        <f>IF($B1883="","",_xll.BDP($B1883,"INDUSTRY_GROUP"))</f>
        <v/>
      </c>
      <c r="Y1883" t="str">
        <f>IF($B1883="","",_xll.BDP($B1883,"INDUSTRY_SUBGROUP"))</f>
        <v/>
      </c>
      <c r="Z1883" t="str">
        <f>IF($B1883="","",_xll.BDP($B1883,"COUNTRY_FULL_NAME"))</f>
        <v/>
      </c>
    </row>
    <row r="1884" spans="15:26" x14ac:dyDescent="0.25">
      <c r="O1884"/>
      <c r="P1884"/>
      <c r="Q1884"/>
      <c r="W1884" t="str">
        <f>IF(B1884="","",_xll.BDP(B1884,"INDUSTRY_SECTOR"))</f>
        <v/>
      </c>
      <c r="X1884" t="str">
        <f>IF($B1884="","",_xll.BDP($B1884,"INDUSTRY_GROUP"))</f>
        <v/>
      </c>
      <c r="Y1884" t="str">
        <f>IF($B1884="","",_xll.BDP($B1884,"INDUSTRY_SUBGROUP"))</f>
        <v/>
      </c>
      <c r="Z1884" t="str">
        <f>IF($B1884="","",_xll.BDP($B1884,"COUNTRY_FULL_NAME"))</f>
        <v/>
      </c>
    </row>
    <row r="1885" spans="15:26" x14ac:dyDescent="0.25">
      <c r="O1885"/>
      <c r="P1885"/>
      <c r="Q1885"/>
      <c r="W1885" t="str">
        <f>IF(B1885="","",_xll.BDP(B1885,"INDUSTRY_SECTOR"))</f>
        <v/>
      </c>
      <c r="X1885" t="str">
        <f>IF($B1885="","",_xll.BDP($B1885,"INDUSTRY_GROUP"))</f>
        <v/>
      </c>
      <c r="Y1885" t="str">
        <f>IF($B1885="","",_xll.BDP($B1885,"INDUSTRY_SUBGROUP"))</f>
        <v/>
      </c>
      <c r="Z1885" t="str">
        <f>IF($B1885="","",_xll.BDP($B1885,"COUNTRY_FULL_NAME"))</f>
        <v/>
      </c>
    </row>
    <row r="1886" spans="15:26" x14ac:dyDescent="0.25">
      <c r="O1886"/>
      <c r="P1886"/>
      <c r="Q1886"/>
      <c r="W1886" t="str">
        <f>IF(B1886="","",_xll.BDP(B1886,"INDUSTRY_SECTOR"))</f>
        <v/>
      </c>
      <c r="X1886" t="str">
        <f>IF($B1886="","",_xll.BDP($B1886,"INDUSTRY_GROUP"))</f>
        <v/>
      </c>
      <c r="Y1886" t="str">
        <f>IF($B1886="","",_xll.BDP($B1886,"INDUSTRY_SUBGROUP"))</f>
        <v/>
      </c>
      <c r="Z1886" t="str">
        <f>IF($B1886="","",_xll.BDP($B1886,"COUNTRY_FULL_NAME"))</f>
        <v/>
      </c>
    </row>
    <row r="1887" spans="15:26" x14ac:dyDescent="0.25">
      <c r="O1887"/>
      <c r="P1887"/>
      <c r="Q1887"/>
      <c r="W1887" t="str">
        <f>IF(B1887="","",_xll.BDP(B1887,"INDUSTRY_SECTOR"))</f>
        <v/>
      </c>
      <c r="X1887" t="str">
        <f>IF($B1887="","",_xll.BDP($B1887,"INDUSTRY_GROUP"))</f>
        <v/>
      </c>
      <c r="Y1887" t="str">
        <f>IF($B1887="","",_xll.BDP($B1887,"INDUSTRY_SUBGROUP"))</f>
        <v/>
      </c>
      <c r="Z1887" t="str">
        <f>IF($B1887="","",_xll.BDP($B1887,"COUNTRY_FULL_NAME"))</f>
        <v/>
      </c>
    </row>
    <row r="1888" spans="15:26" x14ac:dyDescent="0.25">
      <c r="O1888"/>
      <c r="P1888"/>
      <c r="Q1888"/>
      <c r="W1888" t="str">
        <f>IF(B1888="","",_xll.BDP(B1888,"INDUSTRY_SECTOR"))</f>
        <v/>
      </c>
      <c r="X1888" t="str">
        <f>IF($B1888="","",_xll.BDP($B1888,"INDUSTRY_GROUP"))</f>
        <v/>
      </c>
      <c r="Y1888" t="str">
        <f>IF($B1888="","",_xll.BDP($B1888,"INDUSTRY_SUBGROUP"))</f>
        <v/>
      </c>
      <c r="Z1888" t="str">
        <f>IF($B1888="","",_xll.BDP($B1888,"COUNTRY_FULL_NAME"))</f>
        <v/>
      </c>
    </row>
    <row r="1889" spans="15:26" x14ac:dyDescent="0.25">
      <c r="O1889"/>
      <c r="P1889"/>
      <c r="Q1889"/>
      <c r="W1889" t="str">
        <f>IF(B1889="","",_xll.BDP(B1889,"INDUSTRY_SECTOR"))</f>
        <v/>
      </c>
      <c r="X1889" t="str">
        <f>IF($B1889="","",_xll.BDP($B1889,"INDUSTRY_GROUP"))</f>
        <v/>
      </c>
      <c r="Y1889" t="str">
        <f>IF($B1889="","",_xll.BDP($B1889,"INDUSTRY_SUBGROUP"))</f>
        <v/>
      </c>
      <c r="Z1889" t="str">
        <f>IF($B1889="","",_xll.BDP($B1889,"COUNTRY_FULL_NAME"))</f>
        <v/>
      </c>
    </row>
    <row r="1890" spans="15:26" x14ac:dyDescent="0.25">
      <c r="O1890"/>
      <c r="P1890"/>
      <c r="Q1890"/>
      <c r="W1890" t="str">
        <f>IF(B1890="","",_xll.BDP(B1890,"INDUSTRY_SECTOR"))</f>
        <v/>
      </c>
      <c r="X1890" t="str">
        <f>IF($B1890="","",_xll.BDP($B1890,"INDUSTRY_GROUP"))</f>
        <v/>
      </c>
      <c r="Y1890" t="str">
        <f>IF($B1890="","",_xll.BDP($B1890,"INDUSTRY_SUBGROUP"))</f>
        <v/>
      </c>
      <c r="Z1890" t="str">
        <f>IF($B1890="","",_xll.BDP($B1890,"COUNTRY_FULL_NAME"))</f>
        <v/>
      </c>
    </row>
    <row r="1891" spans="15:26" x14ac:dyDescent="0.25">
      <c r="O1891"/>
      <c r="P1891"/>
      <c r="Q1891"/>
      <c r="W1891" t="str">
        <f>IF(B1891="","",_xll.BDP(B1891,"INDUSTRY_SECTOR"))</f>
        <v/>
      </c>
      <c r="X1891" t="str">
        <f>IF($B1891="","",_xll.BDP($B1891,"INDUSTRY_GROUP"))</f>
        <v/>
      </c>
      <c r="Y1891" t="str">
        <f>IF($B1891="","",_xll.BDP($B1891,"INDUSTRY_SUBGROUP"))</f>
        <v/>
      </c>
      <c r="Z1891" t="str">
        <f>IF($B1891="","",_xll.BDP($B1891,"COUNTRY_FULL_NAME"))</f>
        <v/>
      </c>
    </row>
    <row r="1892" spans="15:26" x14ac:dyDescent="0.25">
      <c r="O1892"/>
      <c r="P1892"/>
      <c r="Q1892"/>
      <c r="W1892" t="str">
        <f>IF(B1892="","",_xll.BDP(B1892,"INDUSTRY_SECTOR"))</f>
        <v/>
      </c>
      <c r="X1892" t="str">
        <f>IF($B1892="","",_xll.BDP($B1892,"INDUSTRY_GROUP"))</f>
        <v/>
      </c>
      <c r="Y1892" t="str">
        <f>IF($B1892="","",_xll.BDP($B1892,"INDUSTRY_SUBGROUP"))</f>
        <v/>
      </c>
      <c r="Z1892" t="str">
        <f>IF($B1892="","",_xll.BDP($B1892,"COUNTRY_FULL_NAME"))</f>
        <v/>
      </c>
    </row>
    <row r="1893" spans="15:26" x14ac:dyDescent="0.25">
      <c r="O1893"/>
      <c r="P1893"/>
      <c r="Q1893"/>
      <c r="W1893" t="str">
        <f>IF(B1893="","",_xll.BDP(B1893,"INDUSTRY_SECTOR"))</f>
        <v/>
      </c>
      <c r="X1893" t="str">
        <f>IF($B1893="","",_xll.BDP($B1893,"INDUSTRY_GROUP"))</f>
        <v/>
      </c>
      <c r="Y1893" t="str">
        <f>IF($B1893="","",_xll.BDP($B1893,"INDUSTRY_SUBGROUP"))</f>
        <v/>
      </c>
      <c r="Z1893" t="str">
        <f>IF($B1893="","",_xll.BDP($B1893,"COUNTRY_FULL_NAME"))</f>
        <v/>
      </c>
    </row>
    <row r="1894" spans="15:26" x14ac:dyDescent="0.25">
      <c r="O1894"/>
      <c r="P1894"/>
      <c r="Q1894"/>
      <c r="W1894" t="str">
        <f>IF(B1894="","",_xll.BDP(B1894,"INDUSTRY_SECTOR"))</f>
        <v/>
      </c>
      <c r="X1894" t="str">
        <f>IF($B1894="","",_xll.BDP($B1894,"INDUSTRY_GROUP"))</f>
        <v/>
      </c>
      <c r="Y1894" t="str">
        <f>IF($B1894="","",_xll.BDP($B1894,"INDUSTRY_SUBGROUP"))</f>
        <v/>
      </c>
      <c r="Z1894" t="str">
        <f>IF($B1894="","",_xll.BDP($B1894,"COUNTRY_FULL_NAME"))</f>
        <v/>
      </c>
    </row>
    <row r="1895" spans="15:26" x14ac:dyDescent="0.25">
      <c r="O1895"/>
      <c r="P1895"/>
      <c r="Q1895"/>
      <c r="W1895" t="str">
        <f>IF(B1895="","",_xll.BDP(B1895,"INDUSTRY_SECTOR"))</f>
        <v/>
      </c>
      <c r="X1895" t="str">
        <f>IF($B1895="","",_xll.BDP($B1895,"INDUSTRY_GROUP"))</f>
        <v/>
      </c>
      <c r="Y1895" t="str">
        <f>IF($B1895="","",_xll.BDP($B1895,"INDUSTRY_SUBGROUP"))</f>
        <v/>
      </c>
      <c r="Z1895" t="str">
        <f>IF($B1895="","",_xll.BDP($B1895,"COUNTRY_FULL_NAME"))</f>
        <v/>
      </c>
    </row>
    <row r="1896" spans="15:26" x14ac:dyDescent="0.25">
      <c r="O1896"/>
      <c r="P1896"/>
      <c r="Q1896"/>
      <c r="W1896" t="str">
        <f>IF(B1896="","",_xll.BDP(B1896,"INDUSTRY_SECTOR"))</f>
        <v/>
      </c>
      <c r="X1896" t="str">
        <f>IF($B1896="","",_xll.BDP($B1896,"INDUSTRY_GROUP"))</f>
        <v/>
      </c>
      <c r="Y1896" t="str">
        <f>IF($B1896="","",_xll.BDP($B1896,"INDUSTRY_SUBGROUP"))</f>
        <v/>
      </c>
      <c r="Z1896" t="str">
        <f>IF($B1896="","",_xll.BDP($B1896,"COUNTRY_FULL_NAME"))</f>
        <v/>
      </c>
    </row>
    <row r="1897" spans="15:26" x14ac:dyDescent="0.25">
      <c r="O1897"/>
      <c r="P1897"/>
      <c r="Q1897"/>
      <c r="W1897" t="str">
        <f>IF(B1897="","",_xll.BDP(B1897,"INDUSTRY_SECTOR"))</f>
        <v/>
      </c>
      <c r="X1897" t="str">
        <f>IF($B1897="","",_xll.BDP($B1897,"INDUSTRY_GROUP"))</f>
        <v/>
      </c>
      <c r="Y1897" t="str">
        <f>IF($B1897="","",_xll.BDP($B1897,"INDUSTRY_SUBGROUP"))</f>
        <v/>
      </c>
      <c r="Z1897" t="str">
        <f>IF($B1897="","",_xll.BDP($B1897,"COUNTRY_FULL_NAME"))</f>
        <v/>
      </c>
    </row>
    <row r="1898" spans="15:26" x14ac:dyDescent="0.25">
      <c r="O1898"/>
      <c r="P1898"/>
      <c r="Q1898"/>
      <c r="W1898" t="str">
        <f>IF(B1898="","",_xll.BDP(B1898,"INDUSTRY_SECTOR"))</f>
        <v/>
      </c>
      <c r="X1898" t="str">
        <f>IF($B1898="","",_xll.BDP($B1898,"INDUSTRY_GROUP"))</f>
        <v/>
      </c>
      <c r="Y1898" t="str">
        <f>IF($B1898="","",_xll.BDP($B1898,"INDUSTRY_SUBGROUP"))</f>
        <v/>
      </c>
      <c r="Z1898" t="str">
        <f>IF($B1898="","",_xll.BDP($B1898,"COUNTRY_FULL_NAME"))</f>
        <v/>
      </c>
    </row>
    <row r="1899" spans="15:26" x14ac:dyDescent="0.25">
      <c r="O1899"/>
      <c r="P1899"/>
      <c r="Q1899"/>
      <c r="W1899" t="str">
        <f>IF(B1899="","",_xll.BDP(B1899,"INDUSTRY_SECTOR"))</f>
        <v/>
      </c>
      <c r="X1899" t="str">
        <f>IF($B1899="","",_xll.BDP($B1899,"INDUSTRY_GROUP"))</f>
        <v/>
      </c>
      <c r="Y1899" t="str">
        <f>IF($B1899="","",_xll.BDP($B1899,"INDUSTRY_SUBGROUP"))</f>
        <v/>
      </c>
      <c r="Z1899" t="str">
        <f>IF($B1899="","",_xll.BDP($B1899,"COUNTRY_FULL_NAME"))</f>
        <v/>
      </c>
    </row>
    <row r="1900" spans="15:26" x14ac:dyDescent="0.25">
      <c r="O1900"/>
      <c r="P1900"/>
      <c r="Q1900"/>
      <c r="W1900" t="str">
        <f>IF(B1900="","",_xll.BDP(B1900,"INDUSTRY_SECTOR"))</f>
        <v/>
      </c>
      <c r="X1900" t="str">
        <f>IF($B1900="","",_xll.BDP($B1900,"INDUSTRY_GROUP"))</f>
        <v/>
      </c>
      <c r="Y1900" t="str">
        <f>IF($B1900="","",_xll.BDP($B1900,"INDUSTRY_SUBGROUP"))</f>
        <v/>
      </c>
      <c r="Z1900" t="str">
        <f>IF($B1900="","",_xll.BDP($B1900,"COUNTRY_FULL_NAME"))</f>
        <v/>
      </c>
    </row>
    <row r="1901" spans="15:26" x14ac:dyDescent="0.25">
      <c r="O1901"/>
      <c r="P1901"/>
      <c r="Q1901"/>
      <c r="W1901" t="str">
        <f>IF(B1901="","",_xll.BDP(B1901,"INDUSTRY_SECTOR"))</f>
        <v/>
      </c>
      <c r="X1901" t="str">
        <f>IF($B1901="","",_xll.BDP($B1901,"INDUSTRY_GROUP"))</f>
        <v/>
      </c>
      <c r="Y1901" t="str">
        <f>IF($B1901="","",_xll.BDP($B1901,"INDUSTRY_SUBGROUP"))</f>
        <v/>
      </c>
      <c r="Z1901" t="str">
        <f>IF($B1901="","",_xll.BDP($B1901,"COUNTRY_FULL_NAME"))</f>
        <v/>
      </c>
    </row>
    <row r="1902" spans="15:26" x14ac:dyDescent="0.25">
      <c r="O1902"/>
      <c r="P1902"/>
      <c r="Q1902"/>
      <c r="W1902" t="str">
        <f>IF(B1902="","",_xll.BDP(B1902,"INDUSTRY_SECTOR"))</f>
        <v/>
      </c>
      <c r="X1902" t="str">
        <f>IF($B1902="","",_xll.BDP($B1902,"INDUSTRY_GROUP"))</f>
        <v/>
      </c>
      <c r="Y1902" t="str">
        <f>IF($B1902="","",_xll.BDP($B1902,"INDUSTRY_SUBGROUP"))</f>
        <v/>
      </c>
      <c r="Z1902" t="str">
        <f>IF($B1902="","",_xll.BDP($B1902,"COUNTRY_FULL_NAME"))</f>
        <v/>
      </c>
    </row>
    <row r="1903" spans="15:26" x14ac:dyDescent="0.25">
      <c r="O1903"/>
      <c r="P1903"/>
      <c r="Q1903"/>
      <c r="W1903" t="str">
        <f>IF(B1903="","",_xll.BDP(B1903,"INDUSTRY_SECTOR"))</f>
        <v/>
      </c>
      <c r="X1903" t="str">
        <f>IF($B1903="","",_xll.BDP($B1903,"INDUSTRY_GROUP"))</f>
        <v/>
      </c>
      <c r="Y1903" t="str">
        <f>IF($B1903="","",_xll.BDP($B1903,"INDUSTRY_SUBGROUP"))</f>
        <v/>
      </c>
      <c r="Z1903" t="str">
        <f>IF($B1903="","",_xll.BDP($B1903,"COUNTRY_FULL_NAME"))</f>
        <v/>
      </c>
    </row>
    <row r="1904" spans="15:26" x14ac:dyDescent="0.25">
      <c r="O1904"/>
      <c r="P1904"/>
      <c r="Q1904"/>
      <c r="W1904" t="str">
        <f>IF(B1904="","",_xll.BDP(B1904,"INDUSTRY_SECTOR"))</f>
        <v/>
      </c>
      <c r="X1904" t="str">
        <f>IF($B1904="","",_xll.BDP($B1904,"INDUSTRY_GROUP"))</f>
        <v/>
      </c>
      <c r="Y1904" t="str">
        <f>IF($B1904="","",_xll.BDP($B1904,"INDUSTRY_SUBGROUP"))</f>
        <v/>
      </c>
      <c r="Z1904" t="str">
        <f>IF($B1904="","",_xll.BDP($B1904,"COUNTRY_FULL_NAME"))</f>
        <v/>
      </c>
    </row>
    <row r="1905" spans="15:26" x14ac:dyDescent="0.25">
      <c r="O1905"/>
      <c r="P1905"/>
      <c r="Q1905"/>
      <c r="W1905" t="str">
        <f>IF(B1905="","",_xll.BDP(B1905,"INDUSTRY_SECTOR"))</f>
        <v/>
      </c>
      <c r="X1905" t="str">
        <f>IF($B1905="","",_xll.BDP($B1905,"INDUSTRY_GROUP"))</f>
        <v/>
      </c>
      <c r="Y1905" t="str">
        <f>IF($B1905="","",_xll.BDP($B1905,"INDUSTRY_SUBGROUP"))</f>
        <v/>
      </c>
      <c r="Z1905" t="str">
        <f>IF($B1905="","",_xll.BDP($B1905,"COUNTRY_FULL_NAME"))</f>
        <v/>
      </c>
    </row>
    <row r="1906" spans="15:26" x14ac:dyDescent="0.25">
      <c r="O1906"/>
      <c r="P1906"/>
      <c r="Q1906"/>
      <c r="W1906" t="str">
        <f>IF(B1906="","",_xll.BDP(B1906,"INDUSTRY_SECTOR"))</f>
        <v/>
      </c>
      <c r="X1906" t="str">
        <f>IF($B1906="","",_xll.BDP($B1906,"INDUSTRY_GROUP"))</f>
        <v/>
      </c>
      <c r="Y1906" t="str">
        <f>IF($B1906="","",_xll.BDP($B1906,"INDUSTRY_SUBGROUP"))</f>
        <v/>
      </c>
      <c r="Z1906" t="str">
        <f>IF($B1906="","",_xll.BDP($B1906,"COUNTRY_FULL_NAME"))</f>
        <v/>
      </c>
    </row>
    <row r="1907" spans="15:26" x14ac:dyDescent="0.25">
      <c r="O1907"/>
      <c r="P1907"/>
      <c r="Q1907"/>
      <c r="W1907" t="str">
        <f>IF(B1907="","",_xll.BDP(B1907,"INDUSTRY_SECTOR"))</f>
        <v/>
      </c>
      <c r="X1907" t="str">
        <f>IF($B1907="","",_xll.BDP($B1907,"INDUSTRY_GROUP"))</f>
        <v/>
      </c>
      <c r="Y1907" t="str">
        <f>IF($B1907="","",_xll.BDP($B1907,"INDUSTRY_SUBGROUP"))</f>
        <v/>
      </c>
      <c r="Z1907" t="str">
        <f>IF($B1907="","",_xll.BDP($B1907,"COUNTRY_FULL_NAME"))</f>
        <v/>
      </c>
    </row>
    <row r="1908" spans="15:26" x14ac:dyDescent="0.25">
      <c r="O1908"/>
      <c r="P1908"/>
      <c r="Q1908"/>
      <c r="W1908" t="str">
        <f>IF(B1908="","",_xll.BDP(B1908,"INDUSTRY_SECTOR"))</f>
        <v/>
      </c>
      <c r="X1908" t="str">
        <f>IF($B1908="","",_xll.BDP($B1908,"INDUSTRY_GROUP"))</f>
        <v/>
      </c>
      <c r="Y1908" t="str">
        <f>IF($B1908="","",_xll.BDP($B1908,"INDUSTRY_SUBGROUP"))</f>
        <v/>
      </c>
      <c r="Z1908" t="str">
        <f>IF($B1908="","",_xll.BDP($B1908,"COUNTRY_FULL_NAME"))</f>
        <v/>
      </c>
    </row>
    <row r="1909" spans="15:26" x14ac:dyDescent="0.25">
      <c r="O1909"/>
      <c r="P1909"/>
      <c r="Q1909"/>
      <c r="W1909" t="str">
        <f>IF(B1909="","",_xll.BDP(B1909,"INDUSTRY_SECTOR"))</f>
        <v/>
      </c>
      <c r="X1909" t="str">
        <f>IF($B1909="","",_xll.BDP($B1909,"INDUSTRY_GROUP"))</f>
        <v/>
      </c>
      <c r="Y1909" t="str">
        <f>IF($B1909="","",_xll.BDP($B1909,"INDUSTRY_SUBGROUP"))</f>
        <v/>
      </c>
      <c r="Z1909" t="str">
        <f>IF($B1909="","",_xll.BDP($B1909,"COUNTRY_FULL_NAME"))</f>
        <v/>
      </c>
    </row>
    <row r="1910" spans="15:26" x14ac:dyDescent="0.25">
      <c r="O1910"/>
      <c r="P1910"/>
      <c r="Q1910"/>
      <c r="W1910" t="str">
        <f>IF(B1910="","",_xll.BDP(B1910,"INDUSTRY_SECTOR"))</f>
        <v/>
      </c>
      <c r="X1910" t="str">
        <f>IF($B1910="","",_xll.BDP($B1910,"INDUSTRY_GROUP"))</f>
        <v/>
      </c>
      <c r="Y1910" t="str">
        <f>IF($B1910="","",_xll.BDP($B1910,"INDUSTRY_SUBGROUP"))</f>
        <v/>
      </c>
      <c r="Z1910" t="str">
        <f>IF($B1910="","",_xll.BDP($B1910,"COUNTRY_FULL_NAME"))</f>
        <v/>
      </c>
    </row>
    <row r="1911" spans="15:26" x14ac:dyDescent="0.25">
      <c r="O1911"/>
      <c r="P1911"/>
      <c r="Q1911"/>
      <c r="W1911" t="str">
        <f>IF(B1911="","",_xll.BDP(B1911,"INDUSTRY_SECTOR"))</f>
        <v/>
      </c>
      <c r="X1911" t="str">
        <f>IF($B1911="","",_xll.BDP($B1911,"INDUSTRY_GROUP"))</f>
        <v/>
      </c>
      <c r="Y1911" t="str">
        <f>IF($B1911="","",_xll.BDP($B1911,"INDUSTRY_SUBGROUP"))</f>
        <v/>
      </c>
      <c r="Z1911" t="str">
        <f>IF($B1911="","",_xll.BDP($B1911,"COUNTRY_FULL_NAME"))</f>
        <v/>
      </c>
    </row>
    <row r="1912" spans="15:26" x14ac:dyDescent="0.25">
      <c r="O1912"/>
      <c r="P1912"/>
      <c r="Q1912"/>
      <c r="W1912" t="str">
        <f>IF(B1912="","",_xll.BDP(B1912,"INDUSTRY_SECTOR"))</f>
        <v/>
      </c>
      <c r="X1912" t="str">
        <f>IF($B1912="","",_xll.BDP($B1912,"INDUSTRY_GROUP"))</f>
        <v/>
      </c>
      <c r="Y1912" t="str">
        <f>IF($B1912="","",_xll.BDP($B1912,"INDUSTRY_SUBGROUP"))</f>
        <v/>
      </c>
      <c r="Z1912" t="str">
        <f>IF($B1912="","",_xll.BDP($B1912,"COUNTRY_FULL_NAME"))</f>
        <v/>
      </c>
    </row>
    <row r="1913" spans="15:26" x14ac:dyDescent="0.25">
      <c r="O1913"/>
      <c r="P1913"/>
      <c r="Q1913"/>
      <c r="W1913" t="str">
        <f>IF(B1913="","",_xll.BDP(B1913,"INDUSTRY_SECTOR"))</f>
        <v/>
      </c>
      <c r="X1913" t="str">
        <f>IF($B1913="","",_xll.BDP($B1913,"INDUSTRY_GROUP"))</f>
        <v/>
      </c>
      <c r="Y1913" t="str">
        <f>IF($B1913="","",_xll.BDP($B1913,"INDUSTRY_SUBGROUP"))</f>
        <v/>
      </c>
      <c r="Z1913" t="str">
        <f>IF($B1913="","",_xll.BDP($B1913,"COUNTRY_FULL_NAME"))</f>
        <v/>
      </c>
    </row>
    <row r="1914" spans="15:26" x14ac:dyDescent="0.25">
      <c r="O1914"/>
      <c r="P1914"/>
      <c r="Q1914"/>
      <c r="W1914" t="str">
        <f>IF(B1914="","",_xll.BDP(B1914,"INDUSTRY_SECTOR"))</f>
        <v/>
      </c>
      <c r="X1914" t="str">
        <f>IF($B1914="","",_xll.BDP($B1914,"INDUSTRY_GROUP"))</f>
        <v/>
      </c>
      <c r="Y1914" t="str">
        <f>IF($B1914="","",_xll.BDP($B1914,"INDUSTRY_SUBGROUP"))</f>
        <v/>
      </c>
      <c r="Z1914" t="str">
        <f>IF($B1914="","",_xll.BDP($B1914,"COUNTRY_FULL_NAME"))</f>
        <v/>
      </c>
    </row>
    <row r="1915" spans="15:26" x14ac:dyDescent="0.25">
      <c r="O1915"/>
      <c r="P1915"/>
      <c r="Q1915"/>
      <c r="W1915" t="str">
        <f>IF(B1915="","",_xll.BDP(B1915,"INDUSTRY_SECTOR"))</f>
        <v/>
      </c>
      <c r="X1915" t="str">
        <f>IF($B1915="","",_xll.BDP($B1915,"INDUSTRY_GROUP"))</f>
        <v/>
      </c>
      <c r="Y1915" t="str">
        <f>IF($B1915="","",_xll.BDP($B1915,"INDUSTRY_SUBGROUP"))</f>
        <v/>
      </c>
      <c r="Z1915" t="str">
        <f>IF($B1915="","",_xll.BDP($B1915,"COUNTRY_FULL_NAME"))</f>
        <v/>
      </c>
    </row>
    <row r="1916" spans="15:26" x14ac:dyDescent="0.25">
      <c r="O1916"/>
      <c r="P1916"/>
      <c r="Q1916"/>
      <c r="W1916" t="str">
        <f>IF(B1916="","",_xll.BDP(B1916,"INDUSTRY_SECTOR"))</f>
        <v/>
      </c>
      <c r="X1916" t="str">
        <f>IF($B1916="","",_xll.BDP($B1916,"INDUSTRY_GROUP"))</f>
        <v/>
      </c>
      <c r="Y1916" t="str">
        <f>IF($B1916="","",_xll.BDP($B1916,"INDUSTRY_SUBGROUP"))</f>
        <v/>
      </c>
      <c r="Z1916" t="str">
        <f>IF($B1916="","",_xll.BDP($B1916,"COUNTRY_FULL_NAME"))</f>
        <v/>
      </c>
    </row>
    <row r="1917" spans="15:26" x14ac:dyDescent="0.25">
      <c r="O1917"/>
      <c r="P1917"/>
      <c r="Q1917"/>
      <c r="W1917" t="str">
        <f>IF(B1917="","",_xll.BDP(B1917,"INDUSTRY_SECTOR"))</f>
        <v/>
      </c>
      <c r="X1917" t="str">
        <f>IF($B1917="","",_xll.BDP($B1917,"INDUSTRY_GROUP"))</f>
        <v/>
      </c>
      <c r="Y1917" t="str">
        <f>IF($B1917="","",_xll.BDP($B1917,"INDUSTRY_SUBGROUP"))</f>
        <v/>
      </c>
      <c r="Z1917" t="str">
        <f>IF($B1917="","",_xll.BDP($B1917,"COUNTRY_FULL_NAME"))</f>
        <v/>
      </c>
    </row>
    <row r="1918" spans="15:26" x14ac:dyDescent="0.25">
      <c r="O1918"/>
      <c r="P1918"/>
      <c r="Q1918"/>
      <c r="W1918" t="str">
        <f>IF(B1918="","",_xll.BDP(B1918,"INDUSTRY_SECTOR"))</f>
        <v/>
      </c>
      <c r="X1918" t="str">
        <f>IF($B1918="","",_xll.BDP($B1918,"INDUSTRY_GROUP"))</f>
        <v/>
      </c>
      <c r="Y1918" t="str">
        <f>IF($B1918="","",_xll.BDP($B1918,"INDUSTRY_SUBGROUP"))</f>
        <v/>
      </c>
      <c r="Z1918" t="str">
        <f>IF($B1918="","",_xll.BDP($B1918,"COUNTRY_FULL_NAME"))</f>
        <v/>
      </c>
    </row>
    <row r="1919" spans="15:26" x14ac:dyDescent="0.25">
      <c r="O1919"/>
      <c r="P1919"/>
      <c r="Q1919"/>
      <c r="W1919" t="str">
        <f>IF(B1919="","",_xll.BDP(B1919,"INDUSTRY_SECTOR"))</f>
        <v/>
      </c>
      <c r="X1919" t="str">
        <f>IF($B1919="","",_xll.BDP($B1919,"INDUSTRY_GROUP"))</f>
        <v/>
      </c>
      <c r="Y1919" t="str">
        <f>IF($B1919="","",_xll.BDP($B1919,"INDUSTRY_SUBGROUP"))</f>
        <v/>
      </c>
      <c r="Z1919" t="str">
        <f>IF($B1919="","",_xll.BDP($B1919,"COUNTRY_FULL_NAME"))</f>
        <v/>
      </c>
    </row>
    <row r="1920" spans="15:26" x14ac:dyDescent="0.25">
      <c r="O1920"/>
      <c r="P1920"/>
      <c r="Q1920"/>
      <c r="W1920" t="str">
        <f>IF(B1920="","",_xll.BDP(B1920,"INDUSTRY_SECTOR"))</f>
        <v/>
      </c>
      <c r="X1920" t="str">
        <f>IF($B1920="","",_xll.BDP($B1920,"INDUSTRY_GROUP"))</f>
        <v/>
      </c>
      <c r="Y1920" t="str">
        <f>IF($B1920="","",_xll.BDP($B1920,"INDUSTRY_SUBGROUP"))</f>
        <v/>
      </c>
      <c r="Z1920" t="str">
        <f>IF($B1920="","",_xll.BDP($B1920,"COUNTRY_FULL_NAME"))</f>
        <v/>
      </c>
    </row>
    <row r="1921" spans="15:26" x14ac:dyDescent="0.25">
      <c r="O1921"/>
      <c r="P1921"/>
      <c r="Q1921"/>
      <c r="W1921" t="str">
        <f>IF(B1921="","",_xll.BDP(B1921,"INDUSTRY_SECTOR"))</f>
        <v/>
      </c>
      <c r="X1921" t="str">
        <f>IF($B1921="","",_xll.BDP($B1921,"INDUSTRY_GROUP"))</f>
        <v/>
      </c>
      <c r="Y1921" t="str">
        <f>IF($B1921="","",_xll.BDP($B1921,"INDUSTRY_SUBGROUP"))</f>
        <v/>
      </c>
      <c r="Z1921" t="str">
        <f>IF($B1921="","",_xll.BDP($B1921,"COUNTRY_FULL_NAME"))</f>
        <v/>
      </c>
    </row>
    <row r="1922" spans="15:26" x14ac:dyDescent="0.25">
      <c r="O1922"/>
      <c r="P1922"/>
      <c r="Q1922"/>
      <c r="W1922" t="str">
        <f>IF(B1922="","",_xll.BDP(B1922,"INDUSTRY_SECTOR"))</f>
        <v/>
      </c>
      <c r="X1922" t="str">
        <f>IF($B1922="","",_xll.BDP($B1922,"INDUSTRY_GROUP"))</f>
        <v/>
      </c>
      <c r="Y1922" t="str">
        <f>IF($B1922="","",_xll.BDP($B1922,"INDUSTRY_SUBGROUP"))</f>
        <v/>
      </c>
      <c r="Z1922" t="str">
        <f>IF($B1922="","",_xll.BDP($B1922,"COUNTRY_FULL_NAME"))</f>
        <v/>
      </c>
    </row>
    <row r="1923" spans="15:26" x14ac:dyDescent="0.25">
      <c r="O1923"/>
      <c r="P1923"/>
      <c r="Q1923"/>
      <c r="W1923" t="str">
        <f>IF(B1923="","",_xll.BDP(B1923,"INDUSTRY_SECTOR"))</f>
        <v/>
      </c>
      <c r="X1923" t="str">
        <f>IF($B1923="","",_xll.BDP($B1923,"INDUSTRY_GROUP"))</f>
        <v/>
      </c>
      <c r="Y1923" t="str">
        <f>IF($B1923="","",_xll.BDP($B1923,"INDUSTRY_SUBGROUP"))</f>
        <v/>
      </c>
      <c r="Z1923" t="str">
        <f>IF($B1923="","",_xll.BDP($B1923,"COUNTRY_FULL_NAME"))</f>
        <v/>
      </c>
    </row>
    <row r="1924" spans="15:26" x14ac:dyDescent="0.25">
      <c r="O1924"/>
      <c r="P1924"/>
      <c r="Q1924"/>
      <c r="W1924" t="str">
        <f>IF(B1924="","",_xll.BDP(B1924,"INDUSTRY_SECTOR"))</f>
        <v/>
      </c>
      <c r="X1924" t="str">
        <f>IF($B1924="","",_xll.BDP($B1924,"INDUSTRY_GROUP"))</f>
        <v/>
      </c>
      <c r="Y1924" t="str">
        <f>IF($B1924="","",_xll.BDP($B1924,"INDUSTRY_SUBGROUP"))</f>
        <v/>
      </c>
      <c r="Z1924" t="str">
        <f>IF($B1924="","",_xll.BDP($B1924,"COUNTRY_FULL_NAME"))</f>
        <v/>
      </c>
    </row>
    <row r="1925" spans="15:26" x14ac:dyDescent="0.25">
      <c r="O1925"/>
      <c r="P1925"/>
      <c r="Q1925"/>
      <c r="W1925" t="str">
        <f>IF(B1925="","",_xll.BDP(B1925,"INDUSTRY_SECTOR"))</f>
        <v/>
      </c>
      <c r="X1925" t="str">
        <f>IF($B1925="","",_xll.BDP($B1925,"INDUSTRY_GROUP"))</f>
        <v/>
      </c>
      <c r="Y1925" t="str">
        <f>IF($B1925="","",_xll.BDP($B1925,"INDUSTRY_SUBGROUP"))</f>
        <v/>
      </c>
      <c r="Z1925" t="str">
        <f>IF($B1925="","",_xll.BDP($B1925,"COUNTRY_FULL_NAME"))</f>
        <v/>
      </c>
    </row>
    <row r="1926" spans="15:26" x14ac:dyDescent="0.25">
      <c r="O1926"/>
      <c r="P1926"/>
      <c r="Q1926"/>
      <c r="W1926" t="str">
        <f>IF(B1926="","",_xll.BDP(B1926,"INDUSTRY_SECTOR"))</f>
        <v/>
      </c>
      <c r="X1926" t="str">
        <f>IF($B1926="","",_xll.BDP($B1926,"INDUSTRY_GROUP"))</f>
        <v/>
      </c>
      <c r="Y1926" t="str">
        <f>IF($B1926="","",_xll.BDP($B1926,"INDUSTRY_SUBGROUP"))</f>
        <v/>
      </c>
      <c r="Z1926" t="str">
        <f>IF($B1926="","",_xll.BDP($B1926,"COUNTRY_FULL_NAME"))</f>
        <v/>
      </c>
    </row>
    <row r="1927" spans="15:26" x14ac:dyDescent="0.25">
      <c r="O1927"/>
      <c r="P1927"/>
      <c r="Q1927"/>
      <c r="W1927" t="str">
        <f>IF(B1927="","",_xll.BDP(B1927,"INDUSTRY_SECTOR"))</f>
        <v/>
      </c>
      <c r="X1927" t="str">
        <f>IF($B1927="","",_xll.BDP($B1927,"INDUSTRY_GROUP"))</f>
        <v/>
      </c>
      <c r="Y1927" t="str">
        <f>IF($B1927="","",_xll.BDP($B1927,"INDUSTRY_SUBGROUP"))</f>
        <v/>
      </c>
      <c r="Z1927" t="str">
        <f>IF($B1927="","",_xll.BDP($B1927,"COUNTRY_FULL_NAME"))</f>
        <v/>
      </c>
    </row>
    <row r="1928" spans="15:26" x14ac:dyDescent="0.25">
      <c r="O1928"/>
      <c r="P1928"/>
      <c r="Q1928"/>
      <c r="W1928" t="str">
        <f>IF(B1928="","",_xll.BDP(B1928,"INDUSTRY_SECTOR"))</f>
        <v/>
      </c>
      <c r="X1928" t="str">
        <f>IF($B1928="","",_xll.BDP($B1928,"INDUSTRY_GROUP"))</f>
        <v/>
      </c>
      <c r="Y1928" t="str">
        <f>IF($B1928="","",_xll.BDP($B1928,"INDUSTRY_SUBGROUP"))</f>
        <v/>
      </c>
      <c r="Z1928" t="str">
        <f>IF($B1928="","",_xll.BDP($B1928,"COUNTRY_FULL_NAME"))</f>
        <v/>
      </c>
    </row>
    <row r="1929" spans="15:26" x14ac:dyDescent="0.25">
      <c r="O1929"/>
      <c r="P1929"/>
      <c r="Q1929"/>
      <c r="W1929" t="str">
        <f>IF(B1929="","",_xll.BDP(B1929,"INDUSTRY_SECTOR"))</f>
        <v/>
      </c>
      <c r="X1929" t="str">
        <f>IF($B1929="","",_xll.BDP($B1929,"INDUSTRY_GROUP"))</f>
        <v/>
      </c>
      <c r="Y1929" t="str">
        <f>IF($B1929="","",_xll.BDP($B1929,"INDUSTRY_SUBGROUP"))</f>
        <v/>
      </c>
      <c r="Z1929" t="str">
        <f>IF($B1929="","",_xll.BDP($B1929,"COUNTRY_FULL_NAME"))</f>
        <v/>
      </c>
    </row>
    <row r="1930" spans="15:26" x14ac:dyDescent="0.25">
      <c r="O1930"/>
      <c r="P1930"/>
      <c r="Q1930"/>
      <c r="W1930" t="str">
        <f>IF(B1930="","",_xll.BDP(B1930,"INDUSTRY_SECTOR"))</f>
        <v/>
      </c>
      <c r="X1930" t="str">
        <f>IF($B1930="","",_xll.BDP($B1930,"INDUSTRY_GROUP"))</f>
        <v/>
      </c>
      <c r="Y1930" t="str">
        <f>IF($B1930="","",_xll.BDP($B1930,"INDUSTRY_SUBGROUP"))</f>
        <v/>
      </c>
      <c r="Z1930" t="str">
        <f>IF($B1930="","",_xll.BDP($B1930,"COUNTRY_FULL_NAME"))</f>
        <v/>
      </c>
    </row>
    <row r="1931" spans="15:26" x14ac:dyDescent="0.25">
      <c r="O1931"/>
      <c r="P1931"/>
      <c r="Q1931"/>
      <c r="W1931" t="str">
        <f>IF(B1931="","",_xll.BDP(B1931,"INDUSTRY_SECTOR"))</f>
        <v/>
      </c>
      <c r="X1931" t="str">
        <f>IF($B1931="","",_xll.BDP($B1931,"INDUSTRY_GROUP"))</f>
        <v/>
      </c>
      <c r="Y1931" t="str">
        <f>IF($B1931="","",_xll.BDP($B1931,"INDUSTRY_SUBGROUP"))</f>
        <v/>
      </c>
      <c r="Z1931" t="str">
        <f>IF($B1931="","",_xll.BDP($B1931,"COUNTRY_FULL_NAME"))</f>
        <v/>
      </c>
    </row>
    <row r="1932" spans="15:26" x14ac:dyDescent="0.25">
      <c r="O1932"/>
      <c r="P1932"/>
      <c r="Q1932"/>
      <c r="W1932" t="str">
        <f>IF(B1932="","",_xll.BDP(B1932,"INDUSTRY_SECTOR"))</f>
        <v/>
      </c>
      <c r="X1932" t="str">
        <f>IF($B1932="","",_xll.BDP($B1932,"INDUSTRY_GROUP"))</f>
        <v/>
      </c>
      <c r="Y1932" t="str">
        <f>IF($B1932="","",_xll.BDP($B1932,"INDUSTRY_SUBGROUP"))</f>
        <v/>
      </c>
      <c r="Z1932" t="str">
        <f>IF($B1932="","",_xll.BDP($B1932,"COUNTRY_FULL_NAME"))</f>
        <v/>
      </c>
    </row>
    <row r="1933" spans="15:26" x14ac:dyDescent="0.25">
      <c r="O1933"/>
      <c r="P1933"/>
      <c r="Q1933"/>
      <c r="W1933" t="str">
        <f>IF(B1933="","",_xll.BDP(B1933,"INDUSTRY_SECTOR"))</f>
        <v/>
      </c>
      <c r="X1933" t="str">
        <f>IF($B1933="","",_xll.BDP($B1933,"INDUSTRY_GROUP"))</f>
        <v/>
      </c>
      <c r="Y1933" t="str">
        <f>IF($B1933="","",_xll.BDP($B1933,"INDUSTRY_SUBGROUP"))</f>
        <v/>
      </c>
      <c r="Z1933" t="str">
        <f>IF($B1933="","",_xll.BDP($B1933,"COUNTRY_FULL_NAME"))</f>
        <v/>
      </c>
    </row>
    <row r="1934" spans="15:26" x14ac:dyDescent="0.25">
      <c r="O1934"/>
      <c r="P1934"/>
      <c r="Q1934"/>
      <c r="W1934" t="str">
        <f>IF(B1934="","",_xll.BDP(B1934,"INDUSTRY_SECTOR"))</f>
        <v/>
      </c>
      <c r="X1934" t="str">
        <f>IF($B1934="","",_xll.BDP($B1934,"INDUSTRY_GROUP"))</f>
        <v/>
      </c>
      <c r="Y1934" t="str">
        <f>IF($B1934="","",_xll.BDP($B1934,"INDUSTRY_SUBGROUP"))</f>
        <v/>
      </c>
      <c r="Z1934" t="str">
        <f>IF($B1934="","",_xll.BDP($B1934,"COUNTRY_FULL_NAME"))</f>
        <v/>
      </c>
    </row>
    <row r="1935" spans="15:26" x14ac:dyDescent="0.25">
      <c r="O1935"/>
      <c r="P1935"/>
      <c r="Q1935"/>
      <c r="W1935" t="str">
        <f>IF(B1935="","",_xll.BDP(B1935,"INDUSTRY_SECTOR"))</f>
        <v/>
      </c>
      <c r="X1935" t="str">
        <f>IF($B1935="","",_xll.BDP($B1935,"INDUSTRY_GROUP"))</f>
        <v/>
      </c>
      <c r="Y1935" t="str">
        <f>IF($B1935="","",_xll.BDP($B1935,"INDUSTRY_SUBGROUP"))</f>
        <v/>
      </c>
      <c r="Z1935" t="str">
        <f>IF($B1935="","",_xll.BDP($B1935,"COUNTRY_FULL_NAME"))</f>
        <v/>
      </c>
    </row>
    <row r="1936" spans="15:26" x14ac:dyDescent="0.25">
      <c r="O1936"/>
      <c r="P1936"/>
      <c r="Q1936"/>
      <c r="W1936" t="str">
        <f>IF(B1936="","",_xll.BDP(B1936,"INDUSTRY_SECTOR"))</f>
        <v/>
      </c>
      <c r="X1936" t="str">
        <f>IF($B1936="","",_xll.BDP($B1936,"INDUSTRY_GROUP"))</f>
        <v/>
      </c>
      <c r="Y1936" t="str">
        <f>IF($B1936="","",_xll.BDP($B1936,"INDUSTRY_SUBGROUP"))</f>
        <v/>
      </c>
      <c r="Z1936" t="str">
        <f>IF($B1936="","",_xll.BDP($B1936,"COUNTRY_FULL_NAME"))</f>
        <v/>
      </c>
    </row>
    <row r="1937" spans="15:26" x14ac:dyDescent="0.25">
      <c r="O1937"/>
      <c r="P1937"/>
      <c r="Q1937"/>
      <c r="W1937" t="str">
        <f>IF(B1937="","",_xll.BDP(B1937,"INDUSTRY_SECTOR"))</f>
        <v/>
      </c>
      <c r="X1937" t="str">
        <f>IF($B1937="","",_xll.BDP($B1937,"INDUSTRY_GROUP"))</f>
        <v/>
      </c>
      <c r="Y1937" t="str">
        <f>IF($B1937="","",_xll.BDP($B1937,"INDUSTRY_SUBGROUP"))</f>
        <v/>
      </c>
      <c r="Z1937" t="str">
        <f>IF($B1937="","",_xll.BDP($B1937,"COUNTRY_FULL_NAME"))</f>
        <v/>
      </c>
    </row>
    <row r="1938" spans="15:26" x14ac:dyDescent="0.25">
      <c r="O1938"/>
      <c r="P1938"/>
      <c r="Q1938"/>
      <c r="W1938" t="str">
        <f>IF(B1938="","",_xll.BDP(B1938,"INDUSTRY_SECTOR"))</f>
        <v/>
      </c>
      <c r="X1938" t="str">
        <f>IF($B1938="","",_xll.BDP($B1938,"INDUSTRY_GROUP"))</f>
        <v/>
      </c>
      <c r="Y1938" t="str">
        <f>IF($B1938="","",_xll.BDP($B1938,"INDUSTRY_SUBGROUP"))</f>
        <v/>
      </c>
      <c r="Z1938" t="str">
        <f>IF($B1938="","",_xll.BDP($B1938,"COUNTRY_FULL_NAME"))</f>
        <v/>
      </c>
    </row>
    <row r="1939" spans="15:26" x14ac:dyDescent="0.25">
      <c r="O1939"/>
      <c r="P1939"/>
      <c r="Q1939"/>
      <c r="W1939" t="str">
        <f>IF(B1939="","",_xll.BDP(B1939,"INDUSTRY_SECTOR"))</f>
        <v/>
      </c>
      <c r="X1939" t="str">
        <f>IF($B1939="","",_xll.BDP($B1939,"INDUSTRY_GROUP"))</f>
        <v/>
      </c>
      <c r="Y1939" t="str">
        <f>IF($B1939="","",_xll.BDP($B1939,"INDUSTRY_SUBGROUP"))</f>
        <v/>
      </c>
      <c r="Z1939" t="str">
        <f>IF($B1939="","",_xll.BDP($B1939,"COUNTRY_FULL_NAME"))</f>
        <v/>
      </c>
    </row>
    <row r="1940" spans="15:26" x14ac:dyDescent="0.25">
      <c r="O1940"/>
      <c r="P1940"/>
      <c r="Q1940"/>
      <c r="W1940" t="str">
        <f>IF(B1940="","",_xll.BDP(B1940,"INDUSTRY_SECTOR"))</f>
        <v/>
      </c>
      <c r="X1940" t="str">
        <f>IF($B1940="","",_xll.BDP($B1940,"INDUSTRY_GROUP"))</f>
        <v/>
      </c>
      <c r="Y1940" t="str">
        <f>IF($B1940="","",_xll.BDP($B1940,"INDUSTRY_SUBGROUP"))</f>
        <v/>
      </c>
      <c r="Z1940" t="str">
        <f>IF($B1940="","",_xll.BDP($B1940,"COUNTRY_FULL_NAME"))</f>
        <v/>
      </c>
    </row>
    <row r="1941" spans="15:26" x14ac:dyDescent="0.25">
      <c r="O1941"/>
      <c r="P1941"/>
      <c r="Q1941"/>
      <c r="W1941" t="str">
        <f>IF(B1941="","",_xll.BDP(B1941,"INDUSTRY_SECTOR"))</f>
        <v/>
      </c>
      <c r="X1941" t="str">
        <f>IF($B1941="","",_xll.BDP($B1941,"INDUSTRY_GROUP"))</f>
        <v/>
      </c>
      <c r="Y1941" t="str">
        <f>IF($B1941="","",_xll.BDP($B1941,"INDUSTRY_SUBGROUP"))</f>
        <v/>
      </c>
      <c r="Z1941" t="str">
        <f>IF($B1941="","",_xll.BDP($B1941,"COUNTRY_FULL_NAME"))</f>
        <v/>
      </c>
    </row>
    <row r="1942" spans="15:26" x14ac:dyDescent="0.25">
      <c r="O1942"/>
      <c r="P1942"/>
      <c r="Q1942"/>
      <c r="W1942" t="str">
        <f>IF(B1942="","",_xll.BDP(B1942,"INDUSTRY_SECTOR"))</f>
        <v/>
      </c>
      <c r="X1942" t="str">
        <f>IF($B1942="","",_xll.BDP($B1942,"INDUSTRY_GROUP"))</f>
        <v/>
      </c>
      <c r="Y1942" t="str">
        <f>IF($B1942="","",_xll.BDP($B1942,"INDUSTRY_SUBGROUP"))</f>
        <v/>
      </c>
      <c r="Z1942" t="str">
        <f>IF($B1942="","",_xll.BDP($B1942,"COUNTRY_FULL_NAME"))</f>
        <v/>
      </c>
    </row>
    <row r="1943" spans="15:26" x14ac:dyDescent="0.25">
      <c r="O1943"/>
      <c r="P1943"/>
      <c r="Q1943"/>
      <c r="W1943" t="str">
        <f>IF(B1943="","",_xll.BDP(B1943,"INDUSTRY_SECTOR"))</f>
        <v/>
      </c>
      <c r="X1943" t="str">
        <f>IF($B1943="","",_xll.BDP($B1943,"INDUSTRY_GROUP"))</f>
        <v/>
      </c>
      <c r="Y1943" t="str">
        <f>IF($B1943="","",_xll.BDP($B1943,"INDUSTRY_SUBGROUP"))</f>
        <v/>
      </c>
      <c r="Z1943" t="str">
        <f>IF($B1943="","",_xll.BDP($B1943,"COUNTRY_FULL_NAME"))</f>
        <v/>
      </c>
    </row>
    <row r="1944" spans="15:26" x14ac:dyDescent="0.25">
      <c r="O1944"/>
      <c r="P1944"/>
      <c r="Q1944"/>
      <c r="W1944" t="str">
        <f>IF(B1944="","",_xll.BDP(B1944,"INDUSTRY_SECTOR"))</f>
        <v/>
      </c>
      <c r="X1944" t="str">
        <f>IF($B1944="","",_xll.BDP($B1944,"INDUSTRY_GROUP"))</f>
        <v/>
      </c>
      <c r="Y1944" t="str">
        <f>IF($B1944="","",_xll.BDP($B1944,"INDUSTRY_SUBGROUP"))</f>
        <v/>
      </c>
      <c r="Z1944" t="str">
        <f>IF($B1944="","",_xll.BDP($B1944,"COUNTRY_FULL_NAME"))</f>
        <v/>
      </c>
    </row>
    <row r="1945" spans="15:26" x14ac:dyDescent="0.25">
      <c r="O1945"/>
      <c r="P1945"/>
      <c r="Q1945"/>
      <c r="W1945" t="str">
        <f>IF(B1945="","",_xll.BDP(B1945,"INDUSTRY_SECTOR"))</f>
        <v/>
      </c>
      <c r="X1945" t="str">
        <f>IF($B1945="","",_xll.BDP($B1945,"INDUSTRY_GROUP"))</f>
        <v/>
      </c>
      <c r="Y1945" t="str">
        <f>IF($B1945="","",_xll.BDP($B1945,"INDUSTRY_SUBGROUP"))</f>
        <v/>
      </c>
      <c r="Z1945" t="str">
        <f>IF($B1945="","",_xll.BDP($B1945,"COUNTRY_FULL_NAME"))</f>
        <v/>
      </c>
    </row>
    <row r="1946" spans="15:26" x14ac:dyDescent="0.25">
      <c r="O1946"/>
      <c r="P1946"/>
      <c r="Q1946"/>
      <c r="W1946" t="str">
        <f>IF(B1946="","",_xll.BDP(B1946,"INDUSTRY_SECTOR"))</f>
        <v/>
      </c>
      <c r="X1946" t="str">
        <f>IF($B1946="","",_xll.BDP($B1946,"INDUSTRY_GROUP"))</f>
        <v/>
      </c>
      <c r="Y1946" t="str">
        <f>IF($B1946="","",_xll.BDP($B1946,"INDUSTRY_SUBGROUP"))</f>
        <v/>
      </c>
      <c r="Z1946" t="str">
        <f>IF($B1946="","",_xll.BDP($B1946,"COUNTRY_FULL_NAME"))</f>
        <v/>
      </c>
    </row>
    <row r="1947" spans="15:26" x14ac:dyDescent="0.25">
      <c r="O1947"/>
      <c r="P1947"/>
      <c r="Q1947"/>
      <c r="W1947" t="str">
        <f>IF(B1947="","",_xll.BDP(B1947,"INDUSTRY_SECTOR"))</f>
        <v/>
      </c>
      <c r="X1947" t="str">
        <f>IF($B1947="","",_xll.BDP($B1947,"INDUSTRY_GROUP"))</f>
        <v/>
      </c>
      <c r="Y1947" t="str">
        <f>IF($B1947="","",_xll.BDP($B1947,"INDUSTRY_SUBGROUP"))</f>
        <v/>
      </c>
      <c r="Z1947" t="str">
        <f>IF($B1947="","",_xll.BDP($B1947,"COUNTRY_FULL_NAME"))</f>
        <v/>
      </c>
    </row>
    <row r="1948" spans="15:26" x14ac:dyDescent="0.25">
      <c r="O1948"/>
      <c r="P1948"/>
      <c r="Q1948"/>
      <c r="W1948" t="str">
        <f>IF(B1948="","",_xll.BDP(B1948,"INDUSTRY_SECTOR"))</f>
        <v/>
      </c>
      <c r="X1948" t="str">
        <f>IF($B1948="","",_xll.BDP($B1948,"INDUSTRY_GROUP"))</f>
        <v/>
      </c>
      <c r="Y1948" t="str">
        <f>IF($B1948="","",_xll.BDP($B1948,"INDUSTRY_SUBGROUP"))</f>
        <v/>
      </c>
      <c r="Z1948" t="str">
        <f>IF($B1948="","",_xll.BDP($B1948,"COUNTRY_FULL_NAME"))</f>
        <v/>
      </c>
    </row>
    <row r="1949" spans="15:26" x14ac:dyDescent="0.25">
      <c r="O1949"/>
      <c r="P1949"/>
      <c r="Q1949"/>
      <c r="W1949" t="str">
        <f>IF(B1949="","",_xll.BDP(B1949,"INDUSTRY_SECTOR"))</f>
        <v/>
      </c>
      <c r="X1949" t="str">
        <f>IF($B1949="","",_xll.BDP($B1949,"INDUSTRY_GROUP"))</f>
        <v/>
      </c>
      <c r="Y1949" t="str">
        <f>IF($B1949="","",_xll.BDP($B1949,"INDUSTRY_SUBGROUP"))</f>
        <v/>
      </c>
      <c r="Z1949" t="str">
        <f>IF($B1949="","",_xll.BDP($B1949,"COUNTRY_FULL_NAME"))</f>
        <v/>
      </c>
    </row>
    <row r="1950" spans="15:26" x14ac:dyDescent="0.25">
      <c r="O1950"/>
      <c r="P1950"/>
      <c r="Q1950"/>
      <c r="W1950" t="str">
        <f>IF(B1950="","",_xll.BDP(B1950,"INDUSTRY_SECTOR"))</f>
        <v/>
      </c>
      <c r="X1950" t="str">
        <f>IF($B1950="","",_xll.BDP($B1950,"INDUSTRY_GROUP"))</f>
        <v/>
      </c>
      <c r="Y1950" t="str">
        <f>IF($B1950="","",_xll.BDP($B1950,"INDUSTRY_SUBGROUP"))</f>
        <v/>
      </c>
      <c r="Z1950" t="str">
        <f>IF($B1950="","",_xll.BDP($B1950,"COUNTRY_FULL_NAME"))</f>
        <v/>
      </c>
    </row>
    <row r="1951" spans="15:26" x14ac:dyDescent="0.25">
      <c r="O1951"/>
      <c r="P1951"/>
      <c r="Q1951"/>
      <c r="W1951" t="str">
        <f>IF(B1951="","",_xll.BDP(B1951,"INDUSTRY_SECTOR"))</f>
        <v/>
      </c>
      <c r="X1951" t="str">
        <f>IF($B1951="","",_xll.BDP($B1951,"INDUSTRY_GROUP"))</f>
        <v/>
      </c>
      <c r="Y1951" t="str">
        <f>IF($B1951="","",_xll.BDP($B1951,"INDUSTRY_SUBGROUP"))</f>
        <v/>
      </c>
      <c r="Z1951" t="str">
        <f>IF($B1951="","",_xll.BDP($B1951,"COUNTRY_FULL_NAME"))</f>
        <v/>
      </c>
    </row>
    <row r="1952" spans="15:26" x14ac:dyDescent="0.25">
      <c r="O1952"/>
      <c r="P1952"/>
      <c r="Q1952"/>
      <c r="W1952" t="str">
        <f>IF(B1952="","",_xll.BDP(B1952,"INDUSTRY_SECTOR"))</f>
        <v/>
      </c>
      <c r="X1952" t="str">
        <f>IF($B1952="","",_xll.BDP($B1952,"INDUSTRY_GROUP"))</f>
        <v/>
      </c>
      <c r="Y1952" t="str">
        <f>IF($B1952="","",_xll.BDP($B1952,"INDUSTRY_SUBGROUP"))</f>
        <v/>
      </c>
      <c r="Z1952" t="str">
        <f>IF($B1952="","",_xll.BDP($B1952,"COUNTRY_FULL_NAME"))</f>
        <v/>
      </c>
    </row>
    <row r="1953" spans="15:26" x14ac:dyDescent="0.25">
      <c r="O1953"/>
      <c r="P1953"/>
      <c r="Q1953"/>
      <c r="W1953" t="str">
        <f>IF(B1953="","",_xll.BDP(B1953,"INDUSTRY_SECTOR"))</f>
        <v/>
      </c>
      <c r="X1953" t="str">
        <f>IF($B1953="","",_xll.BDP($B1953,"INDUSTRY_GROUP"))</f>
        <v/>
      </c>
      <c r="Y1953" t="str">
        <f>IF($B1953="","",_xll.BDP($B1953,"INDUSTRY_SUBGROUP"))</f>
        <v/>
      </c>
      <c r="Z1953" t="str">
        <f>IF($B1953="","",_xll.BDP($B1953,"COUNTRY_FULL_NAME"))</f>
        <v/>
      </c>
    </row>
    <row r="1954" spans="15:26" x14ac:dyDescent="0.25">
      <c r="O1954"/>
      <c r="P1954"/>
      <c r="Q1954"/>
      <c r="W1954" t="str">
        <f>IF(B1954="","",_xll.BDP(B1954,"INDUSTRY_SECTOR"))</f>
        <v/>
      </c>
      <c r="X1954" t="str">
        <f>IF($B1954="","",_xll.BDP($B1954,"INDUSTRY_GROUP"))</f>
        <v/>
      </c>
      <c r="Y1954" t="str">
        <f>IF($B1954="","",_xll.BDP($B1954,"INDUSTRY_SUBGROUP"))</f>
        <v/>
      </c>
      <c r="Z1954" t="str">
        <f>IF($B1954="","",_xll.BDP($B1954,"COUNTRY_FULL_NAME"))</f>
        <v/>
      </c>
    </row>
    <row r="1955" spans="15:26" x14ac:dyDescent="0.25">
      <c r="O1955"/>
      <c r="P1955"/>
      <c r="Q1955"/>
      <c r="W1955" t="str">
        <f>IF(B1955="","",_xll.BDP(B1955,"INDUSTRY_SECTOR"))</f>
        <v/>
      </c>
      <c r="X1955" t="str">
        <f>IF($B1955="","",_xll.BDP($B1955,"INDUSTRY_GROUP"))</f>
        <v/>
      </c>
      <c r="Y1955" t="str">
        <f>IF($B1955="","",_xll.BDP($B1955,"INDUSTRY_SUBGROUP"))</f>
        <v/>
      </c>
      <c r="Z1955" t="str">
        <f>IF($B1955="","",_xll.BDP($B1955,"COUNTRY_FULL_NAME"))</f>
        <v/>
      </c>
    </row>
    <row r="1956" spans="15:26" x14ac:dyDescent="0.25">
      <c r="O1956"/>
      <c r="P1956"/>
      <c r="Q1956"/>
      <c r="W1956" t="str">
        <f>IF(B1956="","",_xll.BDP(B1956,"INDUSTRY_SECTOR"))</f>
        <v/>
      </c>
      <c r="X1956" t="str">
        <f>IF($B1956="","",_xll.BDP($B1956,"INDUSTRY_GROUP"))</f>
        <v/>
      </c>
      <c r="Y1956" t="str">
        <f>IF($B1956="","",_xll.BDP($B1956,"INDUSTRY_SUBGROUP"))</f>
        <v/>
      </c>
      <c r="Z1956" t="str">
        <f>IF($B1956="","",_xll.BDP($B1956,"COUNTRY_FULL_NAME"))</f>
        <v/>
      </c>
    </row>
    <row r="1957" spans="15:26" x14ac:dyDescent="0.25">
      <c r="O1957"/>
      <c r="P1957"/>
      <c r="Q1957"/>
      <c r="W1957" t="str">
        <f>IF(B1957="","",_xll.BDP(B1957,"INDUSTRY_SECTOR"))</f>
        <v/>
      </c>
      <c r="X1957" t="str">
        <f>IF($B1957="","",_xll.BDP($B1957,"INDUSTRY_GROUP"))</f>
        <v/>
      </c>
      <c r="Y1957" t="str">
        <f>IF($B1957="","",_xll.BDP($B1957,"INDUSTRY_SUBGROUP"))</f>
        <v/>
      </c>
      <c r="Z1957" t="str">
        <f>IF($B1957="","",_xll.BDP($B1957,"COUNTRY_FULL_NAME"))</f>
        <v/>
      </c>
    </row>
    <row r="1958" spans="15:26" x14ac:dyDescent="0.25">
      <c r="O1958"/>
      <c r="P1958"/>
      <c r="Q1958"/>
      <c r="W1958" t="str">
        <f>IF(B1958="","",_xll.BDP(B1958,"INDUSTRY_SECTOR"))</f>
        <v/>
      </c>
      <c r="X1958" t="str">
        <f>IF($B1958="","",_xll.BDP($B1958,"INDUSTRY_GROUP"))</f>
        <v/>
      </c>
      <c r="Y1958" t="str">
        <f>IF($B1958="","",_xll.BDP($B1958,"INDUSTRY_SUBGROUP"))</f>
        <v/>
      </c>
      <c r="Z1958" t="str">
        <f>IF($B1958="","",_xll.BDP($B1958,"COUNTRY_FULL_NAME"))</f>
        <v/>
      </c>
    </row>
    <row r="1959" spans="15:26" x14ac:dyDescent="0.25">
      <c r="O1959"/>
      <c r="P1959"/>
      <c r="Q1959"/>
      <c r="W1959" t="str">
        <f>IF(B1959="","",_xll.BDP(B1959,"INDUSTRY_SECTOR"))</f>
        <v/>
      </c>
      <c r="X1959" t="str">
        <f>IF($B1959="","",_xll.BDP($B1959,"INDUSTRY_GROUP"))</f>
        <v/>
      </c>
      <c r="Y1959" t="str">
        <f>IF($B1959="","",_xll.BDP($B1959,"INDUSTRY_SUBGROUP"))</f>
        <v/>
      </c>
      <c r="Z1959" t="str">
        <f>IF($B1959="","",_xll.BDP($B1959,"COUNTRY_FULL_NAME"))</f>
        <v/>
      </c>
    </row>
    <row r="1960" spans="15:26" x14ac:dyDescent="0.25">
      <c r="O1960"/>
      <c r="P1960"/>
      <c r="Q1960"/>
      <c r="W1960" t="str">
        <f>IF(B1960="","",_xll.BDP(B1960,"INDUSTRY_SECTOR"))</f>
        <v/>
      </c>
      <c r="X1960" t="str">
        <f>IF($B1960="","",_xll.BDP($B1960,"INDUSTRY_GROUP"))</f>
        <v/>
      </c>
      <c r="Y1960" t="str">
        <f>IF($B1960="","",_xll.BDP($B1960,"INDUSTRY_SUBGROUP"))</f>
        <v/>
      </c>
      <c r="Z1960" t="str">
        <f>IF($B1960="","",_xll.BDP($B1960,"COUNTRY_FULL_NAME"))</f>
        <v/>
      </c>
    </row>
    <row r="1961" spans="15:26" x14ac:dyDescent="0.25">
      <c r="O1961"/>
      <c r="P1961"/>
      <c r="Q1961"/>
      <c r="W1961" t="str">
        <f>IF(B1961="","",_xll.BDP(B1961,"INDUSTRY_SECTOR"))</f>
        <v/>
      </c>
      <c r="X1961" t="str">
        <f>IF($B1961="","",_xll.BDP($B1961,"INDUSTRY_GROUP"))</f>
        <v/>
      </c>
      <c r="Y1961" t="str">
        <f>IF($B1961="","",_xll.BDP($B1961,"INDUSTRY_SUBGROUP"))</f>
        <v/>
      </c>
      <c r="Z1961" t="str">
        <f>IF($B1961="","",_xll.BDP($B1961,"COUNTRY_FULL_NAME"))</f>
        <v/>
      </c>
    </row>
    <row r="1962" spans="15:26" x14ac:dyDescent="0.25">
      <c r="O1962"/>
      <c r="P1962"/>
      <c r="Q1962"/>
      <c r="W1962" t="str">
        <f>IF(B1962="","",_xll.BDP(B1962,"INDUSTRY_SECTOR"))</f>
        <v/>
      </c>
      <c r="X1962" t="str">
        <f>IF($B1962="","",_xll.BDP($B1962,"INDUSTRY_GROUP"))</f>
        <v/>
      </c>
      <c r="Y1962" t="str">
        <f>IF($B1962="","",_xll.BDP($B1962,"INDUSTRY_SUBGROUP"))</f>
        <v/>
      </c>
      <c r="Z1962" t="str">
        <f>IF($B1962="","",_xll.BDP($B1962,"COUNTRY_FULL_NAME"))</f>
        <v/>
      </c>
    </row>
    <row r="1963" spans="15:26" x14ac:dyDescent="0.25">
      <c r="O1963"/>
      <c r="P1963"/>
      <c r="Q1963"/>
      <c r="W1963" t="str">
        <f>IF(B1963="","",_xll.BDP(B1963,"INDUSTRY_SECTOR"))</f>
        <v/>
      </c>
      <c r="X1963" t="str">
        <f>IF($B1963="","",_xll.BDP($B1963,"INDUSTRY_GROUP"))</f>
        <v/>
      </c>
      <c r="Y1963" t="str">
        <f>IF($B1963="","",_xll.BDP($B1963,"INDUSTRY_SUBGROUP"))</f>
        <v/>
      </c>
      <c r="Z1963" t="str">
        <f>IF($B1963="","",_xll.BDP($B1963,"COUNTRY_FULL_NAME"))</f>
        <v/>
      </c>
    </row>
    <row r="1964" spans="15:26" x14ac:dyDescent="0.25">
      <c r="O1964"/>
      <c r="P1964"/>
      <c r="Q1964"/>
      <c r="W1964" t="str">
        <f>IF(B1964="","",_xll.BDP(B1964,"INDUSTRY_SECTOR"))</f>
        <v/>
      </c>
      <c r="X1964" t="str">
        <f>IF($B1964="","",_xll.BDP($B1964,"INDUSTRY_GROUP"))</f>
        <v/>
      </c>
      <c r="Y1964" t="str">
        <f>IF($B1964="","",_xll.BDP($B1964,"INDUSTRY_SUBGROUP"))</f>
        <v/>
      </c>
      <c r="Z1964" t="str">
        <f>IF($B1964="","",_xll.BDP($B1964,"COUNTRY_FULL_NAME"))</f>
        <v/>
      </c>
    </row>
    <row r="1965" spans="15:26" x14ac:dyDescent="0.25">
      <c r="O1965"/>
      <c r="P1965"/>
      <c r="Q1965"/>
      <c r="W1965" t="str">
        <f>IF(B1965="","",_xll.BDP(B1965,"INDUSTRY_SECTOR"))</f>
        <v/>
      </c>
      <c r="X1965" t="str">
        <f>IF($B1965="","",_xll.BDP($B1965,"INDUSTRY_GROUP"))</f>
        <v/>
      </c>
      <c r="Y1965" t="str">
        <f>IF($B1965="","",_xll.BDP($B1965,"INDUSTRY_SUBGROUP"))</f>
        <v/>
      </c>
      <c r="Z1965" t="str">
        <f>IF($B1965="","",_xll.BDP($B1965,"COUNTRY_FULL_NAME"))</f>
        <v/>
      </c>
    </row>
    <row r="1966" spans="15:26" x14ac:dyDescent="0.25">
      <c r="O1966"/>
      <c r="P1966"/>
      <c r="Q1966"/>
      <c r="W1966" t="str">
        <f>IF(B1966="","",_xll.BDP(B1966,"INDUSTRY_SECTOR"))</f>
        <v/>
      </c>
      <c r="X1966" t="str">
        <f>IF($B1966="","",_xll.BDP($B1966,"INDUSTRY_GROUP"))</f>
        <v/>
      </c>
      <c r="Y1966" t="str">
        <f>IF($B1966="","",_xll.BDP($B1966,"INDUSTRY_SUBGROUP"))</f>
        <v/>
      </c>
      <c r="Z1966" t="str">
        <f>IF($B1966="","",_xll.BDP($B1966,"COUNTRY_FULL_NAME"))</f>
        <v/>
      </c>
    </row>
    <row r="1967" spans="15:26" x14ac:dyDescent="0.25">
      <c r="O1967"/>
      <c r="P1967"/>
      <c r="Q1967"/>
      <c r="W1967" t="str">
        <f>IF(B1967="","",_xll.BDP(B1967,"INDUSTRY_SECTOR"))</f>
        <v/>
      </c>
      <c r="X1967" t="str">
        <f>IF($B1967="","",_xll.BDP($B1967,"INDUSTRY_GROUP"))</f>
        <v/>
      </c>
      <c r="Y1967" t="str">
        <f>IF($B1967="","",_xll.BDP($B1967,"INDUSTRY_SUBGROUP"))</f>
        <v/>
      </c>
      <c r="Z1967" t="str">
        <f>IF($B1967="","",_xll.BDP($B1967,"COUNTRY_FULL_NAME"))</f>
        <v/>
      </c>
    </row>
    <row r="1968" spans="15:26" x14ac:dyDescent="0.25">
      <c r="O1968"/>
      <c r="P1968"/>
      <c r="Q1968"/>
      <c r="W1968" t="str">
        <f>IF(B1968="","",_xll.BDP(B1968,"INDUSTRY_SECTOR"))</f>
        <v/>
      </c>
      <c r="X1968" t="str">
        <f>IF($B1968="","",_xll.BDP($B1968,"INDUSTRY_GROUP"))</f>
        <v/>
      </c>
      <c r="Y1968" t="str">
        <f>IF($B1968="","",_xll.BDP($B1968,"INDUSTRY_SUBGROUP"))</f>
        <v/>
      </c>
      <c r="Z1968" t="str">
        <f>IF($B1968="","",_xll.BDP($B1968,"COUNTRY_FULL_NAME"))</f>
        <v/>
      </c>
    </row>
    <row r="1969" spans="15:26" x14ac:dyDescent="0.25">
      <c r="O1969"/>
      <c r="P1969"/>
      <c r="Q1969"/>
      <c r="W1969" t="str">
        <f>IF(B1969="","",_xll.BDP(B1969,"INDUSTRY_SECTOR"))</f>
        <v/>
      </c>
      <c r="X1969" t="str">
        <f>IF($B1969="","",_xll.BDP($B1969,"INDUSTRY_GROUP"))</f>
        <v/>
      </c>
      <c r="Y1969" t="str">
        <f>IF($B1969="","",_xll.BDP($B1969,"INDUSTRY_SUBGROUP"))</f>
        <v/>
      </c>
      <c r="Z1969" t="str">
        <f>IF($B1969="","",_xll.BDP($B1969,"COUNTRY_FULL_NAME"))</f>
        <v/>
      </c>
    </row>
    <row r="1970" spans="15:26" x14ac:dyDescent="0.25">
      <c r="O1970"/>
      <c r="P1970"/>
      <c r="Q1970"/>
      <c r="W1970" t="str">
        <f>IF(B1970="","",_xll.BDP(B1970,"INDUSTRY_SECTOR"))</f>
        <v/>
      </c>
      <c r="X1970" t="str">
        <f>IF($B1970="","",_xll.BDP($B1970,"INDUSTRY_GROUP"))</f>
        <v/>
      </c>
      <c r="Y1970" t="str">
        <f>IF($B1970="","",_xll.BDP($B1970,"INDUSTRY_SUBGROUP"))</f>
        <v/>
      </c>
      <c r="Z1970" t="str">
        <f>IF($B1970="","",_xll.BDP($B1970,"COUNTRY_FULL_NAME"))</f>
        <v/>
      </c>
    </row>
    <row r="1971" spans="15:26" x14ac:dyDescent="0.25">
      <c r="O1971"/>
      <c r="P1971"/>
      <c r="Q1971"/>
      <c r="W1971" t="str">
        <f>IF(B1971="","",_xll.BDP(B1971,"INDUSTRY_SECTOR"))</f>
        <v/>
      </c>
      <c r="X1971" t="str">
        <f>IF($B1971="","",_xll.BDP($B1971,"INDUSTRY_GROUP"))</f>
        <v/>
      </c>
      <c r="Y1971" t="str">
        <f>IF($B1971="","",_xll.BDP($B1971,"INDUSTRY_SUBGROUP"))</f>
        <v/>
      </c>
      <c r="Z1971" t="str">
        <f>IF($B1971="","",_xll.BDP($B1971,"COUNTRY_FULL_NAME"))</f>
        <v/>
      </c>
    </row>
    <row r="1972" spans="15:26" x14ac:dyDescent="0.25">
      <c r="O1972"/>
      <c r="P1972"/>
      <c r="Q1972"/>
      <c r="W1972" t="str">
        <f>IF(B1972="","",_xll.BDP(B1972,"INDUSTRY_SECTOR"))</f>
        <v/>
      </c>
      <c r="X1972" t="str">
        <f>IF($B1972="","",_xll.BDP($B1972,"INDUSTRY_GROUP"))</f>
        <v/>
      </c>
      <c r="Y1972" t="str">
        <f>IF($B1972="","",_xll.BDP($B1972,"INDUSTRY_SUBGROUP"))</f>
        <v/>
      </c>
      <c r="Z1972" t="str">
        <f>IF($B1972="","",_xll.BDP($B1972,"COUNTRY_FULL_NAME"))</f>
        <v/>
      </c>
    </row>
    <row r="1973" spans="15:26" x14ac:dyDescent="0.25">
      <c r="O1973"/>
      <c r="P1973"/>
      <c r="Q1973"/>
      <c r="W1973" t="str">
        <f>IF(B1973="","",_xll.BDP(B1973,"INDUSTRY_SECTOR"))</f>
        <v/>
      </c>
      <c r="X1973" t="str">
        <f>IF($B1973="","",_xll.BDP($B1973,"INDUSTRY_GROUP"))</f>
        <v/>
      </c>
      <c r="Y1973" t="str">
        <f>IF($B1973="","",_xll.BDP($B1973,"INDUSTRY_SUBGROUP"))</f>
        <v/>
      </c>
      <c r="Z1973" t="str">
        <f>IF($B1973="","",_xll.BDP($B1973,"COUNTRY_FULL_NAME"))</f>
        <v/>
      </c>
    </row>
    <row r="1974" spans="15:26" x14ac:dyDescent="0.25">
      <c r="O1974"/>
      <c r="P1974"/>
      <c r="Q1974"/>
      <c r="W1974" t="str">
        <f>IF(B1974="","",_xll.BDP(B1974,"INDUSTRY_SECTOR"))</f>
        <v/>
      </c>
      <c r="X1974" t="str">
        <f>IF($B1974="","",_xll.BDP($B1974,"INDUSTRY_GROUP"))</f>
        <v/>
      </c>
      <c r="Y1974" t="str">
        <f>IF($B1974="","",_xll.BDP($B1974,"INDUSTRY_SUBGROUP"))</f>
        <v/>
      </c>
      <c r="Z1974" t="str">
        <f>IF($B1974="","",_xll.BDP($B1974,"COUNTRY_FULL_NAME"))</f>
        <v/>
      </c>
    </row>
    <row r="1975" spans="15:26" x14ac:dyDescent="0.25">
      <c r="O1975"/>
      <c r="P1975"/>
      <c r="Q1975"/>
      <c r="W1975" t="str">
        <f>IF(B1975="","",_xll.BDP(B1975,"INDUSTRY_SECTOR"))</f>
        <v/>
      </c>
      <c r="X1975" t="str">
        <f>IF($B1975="","",_xll.BDP($B1975,"INDUSTRY_GROUP"))</f>
        <v/>
      </c>
      <c r="Y1975" t="str">
        <f>IF($B1975="","",_xll.BDP($B1975,"INDUSTRY_SUBGROUP"))</f>
        <v/>
      </c>
      <c r="Z1975" t="str">
        <f>IF($B1975="","",_xll.BDP($B1975,"COUNTRY_FULL_NAME"))</f>
        <v/>
      </c>
    </row>
    <row r="1976" spans="15:26" x14ac:dyDescent="0.25">
      <c r="O1976"/>
      <c r="P1976"/>
      <c r="Q1976"/>
      <c r="W1976" t="str">
        <f>IF(B1976="","",_xll.BDP(B1976,"INDUSTRY_SECTOR"))</f>
        <v/>
      </c>
      <c r="X1976" t="str">
        <f>IF($B1976="","",_xll.BDP($B1976,"INDUSTRY_GROUP"))</f>
        <v/>
      </c>
      <c r="Y1976" t="str">
        <f>IF($B1976="","",_xll.BDP($B1976,"INDUSTRY_SUBGROUP"))</f>
        <v/>
      </c>
      <c r="Z1976" t="str">
        <f>IF($B1976="","",_xll.BDP($B1976,"COUNTRY_FULL_NAME"))</f>
        <v/>
      </c>
    </row>
    <row r="1977" spans="15:26" x14ac:dyDescent="0.25">
      <c r="O1977"/>
      <c r="P1977"/>
      <c r="Q1977"/>
      <c r="W1977" t="str">
        <f>IF(B1977="","",_xll.BDP(B1977,"INDUSTRY_SECTOR"))</f>
        <v/>
      </c>
      <c r="X1977" t="str">
        <f>IF($B1977="","",_xll.BDP($B1977,"INDUSTRY_GROUP"))</f>
        <v/>
      </c>
      <c r="Y1977" t="str">
        <f>IF($B1977="","",_xll.BDP($B1977,"INDUSTRY_SUBGROUP"))</f>
        <v/>
      </c>
      <c r="Z1977" t="str">
        <f>IF($B1977="","",_xll.BDP($B1977,"COUNTRY_FULL_NAME"))</f>
        <v/>
      </c>
    </row>
    <row r="1978" spans="15:26" x14ac:dyDescent="0.25">
      <c r="O1978"/>
      <c r="P1978"/>
      <c r="Q1978"/>
      <c r="W1978" t="str">
        <f>IF(B1978="","",_xll.BDP(B1978,"INDUSTRY_SECTOR"))</f>
        <v/>
      </c>
      <c r="X1978" t="str">
        <f>IF($B1978="","",_xll.BDP($B1978,"INDUSTRY_GROUP"))</f>
        <v/>
      </c>
      <c r="Y1978" t="str">
        <f>IF($B1978="","",_xll.BDP($B1978,"INDUSTRY_SUBGROUP"))</f>
        <v/>
      </c>
      <c r="Z1978" t="str">
        <f>IF($B1978="","",_xll.BDP($B1978,"COUNTRY_FULL_NAME"))</f>
        <v/>
      </c>
    </row>
    <row r="1979" spans="15:26" x14ac:dyDescent="0.25">
      <c r="O1979"/>
      <c r="P1979"/>
      <c r="Q1979"/>
      <c r="W1979" t="str">
        <f>IF(B1979="","",_xll.BDP(B1979,"INDUSTRY_SECTOR"))</f>
        <v/>
      </c>
      <c r="X1979" t="str">
        <f>IF($B1979="","",_xll.BDP($B1979,"INDUSTRY_GROUP"))</f>
        <v/>
      </c>
      <c r="Y1979" t="str">
        <f>IF($B1979="","",_xll.BDP($B1979,"INDUSTRY_SUBGROUP"))</f>
        <v/>
      </c>
      <c r="Z1979" t="str">
        <f>IF($B1979="","",_xll.BDP($B1979,"COUNTRY_FULL_NAME"))</f>
        <v/>
      </c>
    </row>
    <row r="1980" spans="15:26" x14ac:dyDescent="0.25">
      <c r="O1980"/>
      <c r="P1980"/>
      <c r="Q1980"/>
      <c r="W1980" t="str">
        <f>IF(B1980="","",_xll.BDP(B1980,"INDUSTRY_SECTOR"))</f>
        <v/>
      </c>
      <c r="X1980" t="str">
        <f>IF($B1980="","",_xll.BDP($B1980,"INDUSTRY_GROUP"))</f>
        <v/>
      </c>
      <c r="Y1980" t="str">
        <f>IF($B1980="","",_xll.BDP($B1980,"INDUSTRY_SUBGROUP"))</f>
        <v/>
      </c>
      <c r="Z1980" t="str">
        <f>IF($B1980="","",_xll.BDP($B1980,"COUNTRY_FULL_NAME"))</f>
        <v/>
      </c>
    </row>
    <row r="1981" spans="15:26" x14ac:dyDescent="0.25">
      <c r="O1981"/>
      <c r="P1981"/>
      <c r="Q1981"/>
      <c r="W1981" t="str">
        <f>IF(B1981="","",_xll.BDP(B1981,"INDUSTRY_SECTOR"))</f>
        <v/>
      </c>
      <c r="X1981" t="str">
        <f>IF($B1981="","",_xll.BDP($B1981,"INDUSTRY_GROUP"))</f>
        <v/>
      </c>
      <c r="Y1981" t="str">
        <f>IF($B1981="","",_xll.BDP($B1981,"INDUSTRY_SUBGROUP"))</f>
        <v/>
      </c>
      <c r="Z1981" t="str">
        <f>IF($B1981="","",_xll.BDP($B1981,"COUNTRY_FULL_NAME"))</f>
        <v/>
      </c>
    </row>
    <row r="1982" spans="15:26" x14ac:dyDescent="0.25">
      <c r="O1982"/>
      <c r="P1982"/>
      <c r="Q1982"/>
      <c r="W1982" t="str">
        <f>IF(B1982="","",_xll.BDP(B1982,"INDUSTRY_SECTOR"))</f>
        <v/>
      </c>
      <c r="X1982" t="str">
        <f>IF($B1982="","",_xll.BDP($B1982,"INDUSTRY_GROUP"))</f>
        <v/>
      </c>
      <c r="Y1982" t="str">
        <f>IF($B1982="","",_xll.BDP($B1982,"INDUSTRY_SUBGROUP"))</f>
        <v/>
      </c>
      <c r="Z1982" t="str">
        <f>IF($B1982="","",_xll.BDP($B1982,"COUNTRY_FULL_NAME"))</f>
        <v/>
      </c>
    </row>
    <row r="1983" spans="15:26" x14ac:dyDescent="0.25">
      <c r="O1983"/>
      <c r="P1983"/>
      <c r="Q1983"/>
      <c r="W1983" t="str">
        <f>IF(B1983="","",_xll.BDP(B1983,"INDUSTRY_SECTOR"))</f>
        <v/>
      </c>
      <c r="X1983" t="str">
        <f>IF($B1983="","",_xll.BDP($B1983,"INDUSTRY_GROUP"))</f>
        <v/>
      </c>
      <c r="Y1983" t="str">
        <f>IF($B1983="","",_xll.BDP($B1983,"INDUSTRY_SUBGROUP"))</f>
        <v/>
      </c>
      <c r="Z1983" t="str">
        <f>IF($B1983="","",_xll.BDP($B1983,"COUNTRY_FULL_NAME"))</f>
        <v/>
      </c>
    </row>
    <row r="1984" spans="15:26" x14ac:dyDescent="0.25">
      <c r="O1984"/>
      <c r="P1984"/>
      <c r="Q1984"/>
      <c r="W1984" t="str">
        <f>IF(B1984="","",_xll.BDP(B1984,"INDUSTRY_SECTOR"))</f>
        <v/>
      </c>
      <c r="X1984" t="str">
        <f>IF($B1984="","",_xll.BDP($B1984,"INDUSTRY_GROUP"))</f>
        <v/>
      </c>
      <c r="Y1984" t="str">
        <f>IF($B1984="","",_xll.BDP($B1984,"INDUSTRY_SUBGROUP"))</f>
        <v/>
      </c>
      <c r="Z1984" t="str">
        <f>IF($B1984="","",_xll.BDP($B1984,"COUNTRY_FULL_NAME"))</f>
        <v/>
      </c>
    </row>
    <row r="1985" spans="15:26" x14ac:dyDescent="0.25">
      <c r="O1985"/>
      <c r="P1985"/>
      <c r="Q1985"/>
      <c r="W1985" t="str">
        <f>IF(B1985="","",_xll.BDP(B1985,"INDUSTRY_SECTOR"))</f>
        <v/>
      </c>
      <c r="X1985" t="str">
        <f>IF($B1985="","",_xll.BDP($B1985,"INDUSTRY_GROUP"))</f>
        <v/>
      </c>
      <c r="Y1985" t="str">
        <f>IF($B1985="","",_xll.BDP($B1985,"INDUSTRY_SUBGROUP"))</f>
        <v/>
      </c>
      <c r="Z1985" t="str">
        <f>IF($B1985="","",_xll.BDP($B1985,"COUNTRY_FULL_NAME"))</f>
        <v/>
      </c>
    </row>
    <row r="1986" spans="15:26" x14ac:dyDescent="0.25">
      <c r="O1986"/>
      <c r="P1986"/>
      <c r="Q1986"/>
      <c r="W1986" t="str">
        <f>IF(B1986="","",_xll.BDP(B1986,"INDUSTRY_SECTOR"))</f>
        <v/>
      </c>
      <c r="X1986" t="str">
        <f>IF($B1986="","",_xll.BDP($B1986,"INDUSTRY_GROUP"))</f>
        <v/>
      </c>
      <c r="Y1986" t="str">
        <f>IF($B1986="","",_xll.BDP($B1986,"INDUSTRY_SUBGROUP"))</f>
        <v/>
      </c>
      <c r="Z1986" t="str">
        <f>IF($B1986="","",_xll.BDP($B1986,"COUNTRY_FULL_NAME"))</f>
        <v/>
      </c>
    </row>
    <row r="1987" spans="15:26" x14ac:dyDescent="0.25">
      <c r="O1987"/>
      <c r="P1987"/>
      <c r="Q1987"/>
      <c r="W1987" t="str">
        <f>IF(B1987="","",_xll.BDP(B1987,"INDUSTRY_SECTOR"))</f>
        <v/>
      </c>
      <c r="X1987" t="str">
        <f>IF($B1987="","",_xll.BDP($B1987,"INDUSTRY_GROUP"))</f>
        <v/>
      </c>
      <c r="Y1987" t="str">
        <f>IF($B1987="","",_xll.BDP($B1987,"INDUSTRY_SUBGROUP"))</f>
        <v/>
      </c>
      <c r="Z1987" t="str">
        <f>IF($B1987="","",_xll.BDP($B1987,"COUNTRY_FULL_NAME"))</f>
        <v/>
      </c>
    </row>
    <row r="1988" spans="15:26" x14ac:dyDescent="0.25">
      <c r="O1988"/>
      <c r="P1988"/>
      <c r="Q1988"/>
      <c r="W1988" t="str">
        <f>IF(B1988="","",_xll.BDP(B1988,"INDUSTRY_SECTOR"))</f>
        <v/>
      </c>
      <c r="X1988" t="str">
        <f>IF($B1988="","",_xll.BDP($B1988,"INDUSTRY_GROUP"))</f>
        <v/>
      </c>
      <c r="Y1988" t="str">
        <f>IF($B1988="","",_xll.BDP($B1988,"INDUSTRY_SUBGROUP"))</f>
        <v/>
      </c>
      <c r="Z1988" t="str">
        <f>IF($B1988="","",_xll.BDP($B1988,"COUNTRY_FULL_NAME"))</f>
        <v/>
      </c>
    </row>
    <row r="1989" spans="15:26" x14ac:dyDescent="0.25">
      <c r="O1989"/>
      <c r="P1989"/>
      <c r="Q1989"/>
      <c r="W1989" t="str">
        <f>IF(B1989="","",_xll.BDP(B1989,"INDUSTRY_SECTOR"))</f>
        <v/>
      </c>
      <c r="X1989" t="str">
        <f>IF($B1989="","",_xll.BDP($B1989,"INDUSTRY_GROUP"))</f>
        <v/>
      </c>
      <c r="Y1989" t="str">
        <f>IF($B1989="","",_xll.BDP($B1989,"INDUSTRY_SUBGROUP"))</f>
        <v/>
      </c>
      <c r="Z1989" t="str">
        <f>IF($B1989="","",_xll.BDP($B1989,"COUNTRY_FULL_NAME"))</f>
        <v/>
      </c>
    </row>
    <row r="1990" spans="15:26" x14ac:dyDescent="0.25">
      <c r="O1990"/>
      <c r="P1990"/>
      <c r="Q1990"/>
      <c r="W1990" t="str">
        <f>IF(B1990="","",_xll.BDP(B1990,"INDUSTRY_SECTOR"))</f>
        <v/>
      </c>
      <c r="X1990" t="str">
        <f>IF($B1990="","",_xll.BDP($B1990,"INDUSTRY_GROUP"))</f>
        <v/>
      </c>
      <c r="Y1990" t="str">
        <f>IF($B1990="","",_xll.BDP($B1990,"INDUSTRY_SUBGROUP"))</f>
        <v/>
      </c>
      <c r="Z1990" t="str">
        <f>IF($B1990="","",_xll.BDP($B1990,"COUNTRY_FULL_NAME"))</f>
        <v/>
      </c>
    </row>
    <row r="1991" spans="15:26" x14ac:dyDescent="0.25">
      <c r="O1991"/>
      <c r="P1991"/>
      <c r="Q1991"/>
      <c r="W1991" t="str">
        <f>IF(B1991="","",_xll.BDP(B1991,"INDUSTRY_SECTOR"))</f>
        <v/>
      </c>
      <c r="X1991" t="str">
        <f>IF($B1991="","",_xll.BDP($B1991,"INDUSTRY_GROUP"))</f>
        <v/>
      </c>
      <c r="Y1991" t="str">
        <f>IF($B1991="","",_xll.BDP($B1991,"INDUSTRY_SUBGROUP"))</f>
        <v/>
      </c>
      <c r="Z1991" t="str">
        <f>IF($B1991="","",_xll.BDP($B1991,"COUNTRY_FULL_NAME"))</f>
        <v/>
      </c>
    </row>
    <row r="1992" spans="15:26" x14ac:dyDescent="0.25">
      <c r="O1992"/>
      <c r="P1992"/>
      <c r="Q1992"/>
      <c r="W1992" t="str">
        <f>IF(B1992="","",_xll.BDP(B1992,"INDUSTRY_SECTOR"))</f>
        <v/>
      </c>
      <c r="X1992" t="str">
        <f>IF($B1992="","",_xll.BDP($B1992,"INDUSTRY_GROUP"))</f>
        <v/>
      </c>
      <c r="Y1992" t="str">
        <f>IF($B1992="","",_xll.BDP($B1992,"INDUSTRY_SUBGROUP"))</f>
        <v/>
      </c>
      <c r="Z1992" t="str">
        <f>IF($B1992="","",_xll.BDP($B1992,"COUNTRY_FULL_NAME"))</f>
        <v/>
      </c>
    </row>
    <row r="1993" spans="15:26" x14ac:dyDescent="0.25">
      <c r="O1993"/>
      <c r="P1993"/>
      <c r="Q1993"/>
      <c r="W1993" t="str">
        <f>IF(B1993="","",_xll.BDP(B1993,"INDUSTRY_SECTOR"))</f>
        <v/>
      </c>
      <c r="X1993" t="str">
        <f>IF($B1993="","",_xll.BDP($B1993,"INDUSTRY_GROUP"))</f>
        <v/>
      </c>
      <c r="Y1993" t="str">
        <f>IF($B1993="","",_xll.BDP($B1993,"INDUSTRY_SUBGROUP"))</f>
        <v/>
      </c>
      <c r="Z1993" t="str">
        <f>IF($B1993="","",_xll.BDP($B1993,"COUNTRY_FULL_NAME"))</f>
        <v/>
      </c>
    </row>
    <row r="1994" spans="15:26" x14ac:dyDescent="0.25">
      <c r="O1994"/>
      <c r="P1994"/>
      <c r="Q1994"/>
      <c r="W1994" t="str">
        <f>IF(B1994="","",_xll.BDP(B1994,"INDUSTRY_SECTOR"))</f>
        <v/>
      </c>
      <c r="X1994" t="str">
        <f>IF($B1994="","",_xll.BDP($B1994,"INDUSTRY_GROUP"))</f>
        <v/>
      </c>
      <c r="Y1994" t="str">
        <f>IF($B1994="","",_xll.BDP($B1994,"INDUSTRY_SUBGROUP"))</f>
        <v/>
      </c>
      <c r="Z1994" t="str">
        <f>IF($B1994="","",_xll.BDP($B1994,"COUNTRY_FULL_NAME"))</f>
        <v/>
      </c>
    </row>
    <row r="1995" spans="15:26" x14ac:dyDescent="0.25">
      <c r="O1995"/>
      <c r="P1995"/>
      <c r="Q1995"/>
      <c r="W1995" t="str">
        <f>IF(B1995="","",_xll.BDP(B1995,"INDUSTRY_SECTOR"))</f>
        <v/>
      </c>
      <c r="X1995" t="str">
        <f>IF($B1995="","",_xll.BDP($B1995,"INDUSTRY_GROUP"))</f>
        <v/>
      </c>
      <c r="Y1995" t="str">
        <f>IF($B1995="","",_xll.BDP($B1995,"INDUSTRY_SUBGROUP"))</f>
        <v/>
      </c>
      <c r="Z1995" t="str">
        <f>IF($B1995="","",_xll.BDP($B1995,"COUNTRY_FULL_NAME"))</f>
        <v/>
      </c>
    </row>
    <row r="1996" spans="15:26" x14ac:dyDescent="0.25">
      <c r="O1996"/>
      <c r="P1996"/>
      <c r="Q1996"/>
      <c r="W1996" t="str">
        <f>IF(B1996="","",_xll.BDP(B1996,"INDUSTRY_SECTOR"))</f>
        <v/>
      </c>
      <c r="X1996" t="str">
        <f>IF($B1996="","",_xll.BDP($B1996,"INDUSTRY_GROUP"))</f>
        <v/>
      </c>
      <c r="Y1996" t="str">
        <f>IF($B1996="","",_xll.BDP($B1996,"INDUSTRY_SUBGROUP"))</f>
        <v/>
      </c>
      <c r="Z1996" t="str">
        <f>IF($B1996="","",_xll.BDP($B1996,"COUNTRY_FULL_NAME"))</f>
        <v/>
      </c>
    </row>
    <row r="1997" spans="15:26" x14ac:dyDescent="0.25">
      <c r="O1997"/>
      <c r="P1997"/>
      <c r="Q1997"/>
      <c r="W1997" t="str">
        <f>IF(B1997="","",_xll.BDP(B1997,"INDUSTRY_SECTOR"))</f>
        <v/>
      </c>
      <c r="X1997" t="str">
        <f>IF($B1997="","",_xll.BDP($B1997,"INDUSTRY_GROUP"))</f>
        <v/>
      </c>
      <c r="Y1997" t="str">
        <f>IF($B1997="","",_xll.BDP($B1997,"INDUSTRY_SUBGROUP"))</f>
        <v/>
      </c>
      <c r="Z1997" t="str">
        <f>IF($B1997="","",_xll.BDP($B1997,"COUNTRY_FULL_NAME"))</f>
        <v/>
      </c>
    </row>
    <row r="1998" spans="15:26" x14ac:dyDescent="0.25">
      <c r="O1998"/>
      <c r="P1998"/>
      <c r="Q1998"/>
      <c r="W1998" t="str">
        <f>IF(B1998="","",_xll.BDP(B1998,"INDUSTRY_SECTOR"))</f>
        <v/>
      </c>
      <c r="X1998" t="str">
        <f>IF($B1998="","",_xll.BDP($B1998,"INDUSTRY_GROUP"))</f>
        <v/>
      </c>
      <c r="Y1998" t="str">
        <f>IF($B1998="","",_xll.BDP($B1998,"INDUSTRY_SUBGROUP"))</f>
        <v/>
      </c>
      <c r="Z1998" t="str">
        <f>IF($B1998="","",_xll.BDP($B1998,"COUNTRY_FULL_NAME"))</f>
        <v/>
      </c>
    </row>
    <row r="1999" spans="15:26" x14ac:dyDescent="0.25">
      <c r="O1999"/>
      <c r="P1999"/>
      <c r="Q1999"/>
      <c r="W1999" t="str">
        <f>IF(B1999="","",_xll.BDP(B1999,"INDUSTRY_SECTOR"))</f>
        <v/>
      </c>
      <c r="X1999" t="str">
        <f>IF($B1999="","",_xll.BDP($B1999,"INDUSTRY_GROUP"))</f>
        <v/>
      </c>
      <c r="Y1999" t="str">
        <f>IF($B1999="","",_xll.BDP($B1999,"INDUSTRY_SUBGROUP"))</f>
        <v/>
      </c>
      <c r="Z1999" t="str">
        <f>IF($B1999="","",_xll.BDP($B1999,"COUNTRY_FULL_NAME"))</f>
        <v/>
      </c>
    </row>
    <row r="2000" spans="15:26" x14ac:dyDescent="0.25">
      <c r="O2000"/>
      <c r="P2000"/>
      <c r="Q2000"/>
      <c r="W2000" t="str">
        <f>IF(B2000="","",_xll.BDP(B2000,"INDUSTRY_SECTOR"))</f>
        <v/>
      </c>
      <c r="X2000" t="str">
        <f>IF($B2000="","",_xll.BDP($B2000,"INDUSTRY_GROUP"))</f>
        <v/>
      </c>
      <c r="Y2000" t="str">
        <f>IF($B2000="","",_xll.BDP($B2000,"INDUSTRY_SUBGROUP"))</f>
        <v/>
      </c>
      <c r="Z2000" t="str">
        <f>IF($B2000="","",_xll.BDP($B2000,"COUNTRY_FULL_NAME"))</f>
        <v/>
      </c>
    </row>
    <row r="2001" spans="15:26" x14ac:dyDescent="0.25">
      <c r="O2001"/>
      <c r="P2001"/>
      <c r="Q2001"/>
      <c r="W2001" t="str">
        <f>IF(B2001="","",_xll.BDP(B2001,"INDUSTRY_SECTOR"))</f>
        <v/>
      </c>
      <c r="X2001" t="str">
        <f>IF($B2001="","",_xll.BDP($B2001,"INDUSTRY_GROUP"))</f>
        <v/>
      </c>
      <c r="Y2001" t="str">
        <f>IF($B2001="","",_xll.BDP($B2001,"INDUSTRY_SUBGROUP"))</f>
        <v/>
      </c>
      <c r="Z2001" t="str">
        <f>IF($B2001="","",_xll.BDP($B2001,"COUNTRY_FULL_NAME"))</f>
        <v/>
      </c>
    </row>
    <row r="2002" spans="15:26" x14ac:dyDescent="0.25">
      <c r="O2002"/>
      <c r="P2002"/>
      <c r="Q2002"/>
      <c r="W2002" t="str">
        <f>IF(B2002="","",_xll.BDP(B2002,"INDUSTRY_SECTOR"))</f>
        <v/>
      </c>
      <c r="X2002" t="str">
        <f>IF($B2002="","",_xll.BDP($B2002,"INDUSTRY_GROUP"))</f>
        <v/>
      </c>
      <c r="Y2002" t="str">
        <f>IF($B2002="","",_xll.BDP($B2002,"INDUSTRY_SUBGROUP"))</f>
        <v/>
      </c>
      <c r="Z2002" t="str">
        <f>IF($B2002="","",_xll.BDP($B2002,"COUNTRY_FULL_NAME"))</f>
        <v/>
      </c>
    </row>
    <row r="2003" spans="15:26" x14ac:dyDescent="0.25">
      <c r="O2003"/>
      <c r="P2003"/>
      <c r="Q2003"/>
      <c r="W2003" t="str">
        <f>IF(B2003="","",_xll.BDP(B2003,"INDUSTRY_SECTOR"))</f>
        <v/>
      </c>
      <c r="X2003" t="str">
        <f>IF($B2003="","",_xll.BDP($B2003,"INDUSTRY_GROUP"))</f>
        <v/>
      </c>
      <c r="Y2003" t="str">
        <f>IF($B2003="","",_xll.BDP($B2003,"INDUSTRY_SUBGROUP"))</f>
        <v/>
      </c>
      <c r="Z2003" t="str">
        <f>IF($B2003="","",_xll.BDP($B2003,"COUNTRY_FULL_NAME"))</f>
        <v/>
      </c>
    </row>
    <row r="2004" spans="15:26" x14ac:dyDescent="0.25">
      <c r="O2004"/>
      <c r="P2004"/>
      <c r="Q2004"/>
      <c r="W2004" t="str">
        <f>IF(B2004="","",_xll.BDP(B2004,"INDUSTRY_SECTOR"))</f>
        <v/>
      </c>
      <c r="X2004" t="str">
        <f>IF($B2004="","",_xll.BDP($B2004,"INDUSTRY_GROUP"))</f>
        <v/>
      </c>
      <c r="Y2004" t="str">
        <f>IF($B2004="","",_xll.BDP($B2004,"INDUSTRY_SUBGROUP"))</f>
        <v/>
      </c>
      <c r="Z2004" t="str">
        <f>IF($B2004="","",_xll.BDP($B2004,"COUNTRY_FULL_NAME"))</f>
        <v/>
      </c>
    </row>
    <row r="2005" spans="15:26" x14ac:dyDescent="0.25">
      <c r="O2005"/>
      <c r="P2005"/>
      <c r="Q2005"/>
      <c r="W2005" t="str">
        <f>IF(B2005="","",_xll.BDP(B2005,"INDUSTRY_SECTOR"))</f>
        <v/>
      </c>
      <c r="X2005" t="str">
        <f>IF($B2005="","",_xll.BDP($B2005,"INDUSTRY_GROUP"))</f>
        <v/>
      </c>
      <c r="Y2005" t="str">
        <f>IF($B2005="","",_xll.BDP($B2005,"INDUSTRY_SUBGROUP"))</f>
        <v/>
      </c>
      <c r="Z2005" t="str">
        <f>IF($B2005="","",_xll.BDP($B2005,"COUNTRY_FULL_NAME"))</f>
        <v/>
      </c>
    </row>
    <row r="2006" spans="15:26" x14ac:dyDescent="0.25">
      <c r="O2006"/>
      <c r="P2006"/>
      <c r="Q2006"/>
      <c r="W2006" t="str">
        <f>IF(B2006="","",_xll.BDP(B2006,"INDUSTRY_SECTOR"))</f>
        <v/>
      </c>
      <c r="X2006" t="str">
        <f>IF($B2006="","",_xll.BDP($B2006,"INDUSTRY_GROUP"))</f>
        <v/>
      </c>
      <c r="Y2006" t="str">
        <f>IF($B2006="","",_xll.BDP($B2006,"INDUSTRY_SUBGROUP"))</f>
        <v/>
      </c>
      <c r="Z2006" t="str">
        <f>IF($B2006="","",_xll.BDP($B2006,"COUNTRY_FULL_NAME"))</f>
        <v/>
      </c>
    </row>
    <row r="2007" spans="15:26" x14ac:dyDescent="0.25">
      <c r="O2007"/>
      <c r="P2007"/>
      <c r="Q2007"/>
      <c r="W2007" t="str">
        <f>IF(B2007="","",_xll.BDP(B2007,"INDUSTRY_SECTOR"))</f>
        <v/>
      </c>
      <c r="X2007" t="str">
        <f>IF($B2007="","",_xll.BDP($B2007,"INDUSTRY_GROUP"))</f>
        <v/>
      </c>
      <c r="Y2007" t="str">
        <f>IF($B2007="","",_xll.BDP($B2007,"INDUSTRY_SUBGROUP"))</f>
        <v/>
      </c>
      <c r="Z2007" t="str">
        <f>IF($B2007="","",_xll.BDP($B2007,"COUNTRY_FULL_NAME"))</f>
        <v/>
      </c>
    </row>
    <row r="2008" spans="15:26" x14ac:dyDescent="0.25">
      <c r="O2008"/>
      <c r="P2008"/>
      <c r="Q2008"/>
      <c r="W2008" t="str">
        <f>IF(B2008="","",_xll.BDP(B2008,"INDUSTRY_SECTOR"))</f>
        <v/>
      </c>
      <c r="X2008" t="str">
        <f>IF($B2008="","",_xll.BDP($B2008,"INDUSTRY_GROUP"))</f>
        <v/>
      </c>
      <c r="Y2008" t="str">
        <f>IF($B2008="","",_xll.BDP($B2008,"INDUSTRY_SUBGROUP"))</f>
        <v/>
      </c>
      <c r="Z2008" t="str">
        <f>IF($B2008="","",_xll.BDP($B2008,"COUNTRY_FULL_NAME"))</f>
        <v/>
      </c>
    </row>
    <row r="2009" spans="15:26" x14ac:dyDescent="0.25">
      <c r="O2009"/>
      <c r="P2009"/>
      <c r="Q2009"/>
      <c r="W2009" t="str">
        <f>IF(B2009="","",_xll.BDP(B2009,"INDUSTRY_SECTOR"))</f>
        <v/>
      </c>
      <c r="X2009" t="str">
        <f>IF($B2009="","",_xll.BDP($B2009,"INDUSTRY_GROUP"))</f>
        <v/>
      </c>
      <c r="Y2009" t="str">
        <f>IF($B2009="","",_xll.BDP($B2009,"INDUSTRY_SUBGROUP"))</f>
        <v/>
      </c>
      <c r="Z2009" t="str">
        <f>IF($B2009="","",_xll.BDP($B2009,"COUNTRY_FULL_NAME"))</f>
        <v/>
      </c>
    </row>
    <row r="2010" spans="15:26" x14ac:dyDescent="0.25">
      <c r="O2010"/>
      <c r="P2010"/>
      <c r="Q2010"/>
      <c r="W2010" t="str">
        <f>IF(B2010="","",_xll.BDP(B2010,"INDUSTRY_SECTOR"))</f>
        <v/>
      </c>
      <c r="X2010" t="str">
        <f>IF($B2010="","",_xll.BDP($B2010,"INDUSTRY_GROUP"))</f>
        <v/>
      </c>
      <c r="Y2010" t="str">
        <f>IF($B2010="","",_xll.BDP($B2010,"INDUSTRY_SUBGROUP"))</f>
        <v/>
      </c>
      <c r="Z2010" t="str">
        <f>IF($B2010="","",_xll.BDP($B2010,"COUNTRY_FULL_NAME"))</f>
        <v/>
      </c>
    </row>
    <row r="2011" spans="15:26" x14ac:dyDescent="0.25">
      <c r="O2011"/>
      <c r="P2011"/>
      <c r="Q2011"/>
      <c r="W2011" t="str">
        <f>IF(B2011="","",_xll.BDP(B2011,"INDUSTRY_SECTOR"))</f>
        <v/>
      </c>
      <c r="X2011" t="str">
        <f>IF($B2011="","",_xll.BDP($B2011,"INDUSTRY_GROUP"))</f>
        <v/>
      </c>
      <c r="Y2011" t="str">
        <f>IF($B2011="","",_xll.BDP($B2011,"INDUSTRY_SUBGROUP"))</f>
        <v/>
      </c>
      <c r="Z2011" t="str">
        <f>IF($B2011="","",_xll.BDP($B2011,"COUNTRY_FULL_NAME"))</f>
        <v/>
      </c>
    </row>
    <row r="2012" spans="15:26" x14ac:dyDescent="0.25">
      <c r="O2012"/>
      <c r="P2012"/>
      <c r="Q2012"/>
      <c r="W2012" t="str">
        <f>IF(B2012="","",_xll.BDP(B2012,"INDUSTRY_SECTOR"))</f>
        <v/>
      </c>
      <c r="X2012" t="str">
        <f>IF($B2012="","",_xll.BDP($B2012,"INDUSTRY_GROUP"))</f>
        <v/>
      </c>
      <c r="Y2012" t="str">
        <f>IF($B2012="","",_xll.BDP($B2012,"INDUSTRY_SUBGROUP"))</f>
        <v/>
      </c>
      <c r="Z2012" t="str">
        <f>IF($B2012="","",_xll.BDP($B2012,"COUNTRY_FULL_NAME"))</f>
        <v/>
      </c>
    </row>
    <row r="2013" spans="15:26" x14ac:dyDescent="0.25">
      <c r="O2013"/>
      <c r="P2013"/>
      <c r="Q2013"/>
      <c r="W2013" t="str">
        <f>IF(B2013="","",_xll.BDP(B2013,"INDUSTRY_SECTOR"))</f>
        <v/>
      </c>
      <c r="X2013" t="str">
        <f>IF($B2013="","",_xll.BDP($B2013,"INDUSTRY_GROUP"))</f>
        <v/>
      </c>
      <c r="Y2013" t="str">
        <f>IF($B2013="","",_xll.BDP($B2013,"INDUSTRY_SUBGROUP"))</f>
        <v/>
      </c>
      <c r="Z2013" t="str">
        <f>IF($B2013="","",_xll.BDP($B2013,"COUNTRY_FULL_NAME"))</f>
        <v/>
      </c>
    </row>
    <row r="2014" spans="15:26" x14ac:dyDescent="0.25">
      <c r="O2014"/>
      <c r="P2014"/>
      <c r="Q2014"/>
      <c r="W2014" t="str">
        <f>IF(B2014="","",_xll.BDP(B2014,"INDUSTRY_SECTOR"))</f>
        <v/>
      </c>
      <c r="X2014" t="str">
        <f>IF($B2014="","",_xll.BDP($B2014,"INDUSTRY_GROUP"))</f>
        <v/>
      </c>
      <c r="Y2014" t="str">
        <f>IF($B2014="","",_xll.BDP($B2014,"INDUSTRY_SUBGROUP"))</f>
        <v/>
      </c>
      <c r="Z2014" t="str">
        <f>IF($B2014="","",_xll.BDP($B2014,"COUNTRY_FULL_NAME"))</f>
        <v/>
      </c>
    </row>
    <row r="2015" spans="15:26" x14ac:dyDescent="0.25">
      <c r="O2015"/>
      <c r="P2015"/>
      <c r="Q2015"/>
      <c r="W2015" t="str">
        <f>IF(B2015="","",_xll.BDP(B2015,"INDUSTRY_SECTOR"))</f>
        <v/>
      </c>
      <c r="X2015" t="str">
        <f>IF($B2015="","",_xll.BDP($B2015,"INDUSTRY_GROUP"))</f>
        <v/>
      </c>
      <c r="Y2015" t="str">
        <f>IF($B2015="","",_xll.BDP($B2015,"INDUSTRY_SUBGROUP"))</f>
        <v/>
      </c>
      <c r="Z2015" t="str">
        <f>IF($B2015="","",_xll.BDP($B2015,"COUNTRY_FULL_NAME"))</f>
        <v/>
      </c>
    </row>
    <row r="2016" spans="15:26" x14ac:dyDescent="0.25">
      <c r="O2016"/>
      <c r="P2016"/>
      <c r="Q2016"/>
      <c r="W2016" t="str">
        <f>IF(B2016="","",_xll.BDP(B2016,"INDUSTRY_SECTOR"))</f>
        <v/>
      </c>
      <c r="X2016" t="str">
        <f>IF($B2016="","",_xll.BDP($B2016,"INDUSTRY_GROUP"))</f>
        <v/>
      </c>
      <c r="Y2016" t="str">
        <f>IF($B2016="","",_xll.BDP($B2016,"INDUSTRY_SUBGROUP"))</f>
        <v/>
      </c>
      <c r="Z2016" t="str">
        <f>IF($B2016="","",_xll.BDP($B2016,"COUNTRY_FULL_NAME"))</f>
        <v/>
      </c>
    </row>
    <row r="2017" spans="15:26" x14ac:dyDescent="0.25">
      <c r="O2017"/>
      <c r="P2017"/>
      <c r="Q2017"/>
      <c r="W2017" t="str">
        <f>IF(B2017="","",_xll.BDP(B2017,"INDUSTRY_SECTOR"))</f>
        <v/>
      </c>
      <c r="X2017" t="str">
        <f>IF($B2017="","",_xll.BDP($B2017,"INDUSTRY_GROUP"))</f>
        <v/>
      </c>
      <c r="Y2017" t="str">
        <f>IF($B2017="","",_xll.BDP($B2017,"INDUSTRY_SUBGROUP"))</f>
        <v/>
      </c>
      <c r="Z2017" t="str">
        <f>IF($B2017="","",_xll.BDP($B2017,"COUNTRY_FULL_NAME"))</f>
        <v/>
      </c>
    </row>
    <row r="2018" spans="15:26" x14ac:dyDescent="0.25">
      <c r="O2018"/>
      <c r="P2018"/>
      <c r="Q2018"/>
      <c r="W2018" t="str">
        <f>IF(B2018="","",_xll.BDP(B2018,"INDUSTRY_SECTOR"))</f>
        <v/>
      </c>
      <c r="X2018" t="str">
        <f>IF($B2018="","",_xll.BDP($B2018,"INDUSTRY_GROUP"))</f>
        <v/>
      </c>
      <c r="Y2018" t="str">
        <f>IF($B2018="","",_xll.BDP($B2018,"INDUSTRY_SUBGROUP"))</f>
        <v/>
      </c>
      <c r="Z2018" t="str">
        <f>IF($B2018="","",_xll.BDP($B2018,"COUNTRY_FULL_NAME"))</f>
        <v/>
      </c>
    </row>
    <row r="2019" spans="15:26" x14ac:dyDescent="0.25">
      <c r="O2019"/>
      <c r="P2019"/>
      <c r="Q2019"/>
      <c r="W2019" t="str">
        <f>IF(B2019="","",_xll.BDP(B2019,"INDUSTRY_SECTOR"))</f>
        <v/>
      </c>
      <c r="X2019" t="str">
        <f>IF($B2019="","",_xll.BDP($B2019,"INDUSTRY_GROUP"))</f>
        <v/>
      </c>
      <c r="Y2019" t="str">
        <f>IF($B2019="","",_xll.BDP($B2019,"INDUSTRY_SUBGROUP"))</f>
        <v/>
      </c>
      <c r="Z2019" t="str">
        <f>IF($B2019="","",_xll.BDP($B2019,"COUNTRY_FULL_NAME"))</f>
        <v/>
      </c>
    </row>
    <row r="2020" spans="15:26" x14ac:dyDescent="0.25">
      <c r="O2020"/>
      <c r="P2020"/>
      <c r="Q2020"/>
      <c r="W2020" t="str">
        <f>IF(B2020="","",_xll.BDP(B2020,"INDUSTRY_SECTOR"))</f>
        <v/>
      </c>
      <c r="X2020" t="str">
        <f>IF($B2020="","",_xll.BDP($B2020,"INDUSTRY_GROUP"))</f>
        <v/>
      </c>
      <c r="Y2020" t="str">
        <f>IF($B2020="","",_xll.BDP($B2020,"INDUSTRY_SUBGROUP"))</f>
        <v/>
      </c>
      <c r="Z2020" t="str">
        <f>IF($B2020="","",_xll.BDP($B2020,"COUNTRY_FULL_NAME"))</f>
        <v/>
      </c>
    </row>
    <row r="2021" spans="15:26" x14ac:dyDescent="0.25">
      <c r="O2021"/>
      <c r="P2021"/>
      <c r="Q2021"/>
      <c r="W2021" t="str">
        <f>IF(B2021="","",_xll.BDP(B2021,"INDUSTRY_SECTOR"))</f>
        <v/>
      </c>
      <c r="X2021" t="str">
        <f>IF($B2021="","",_xll.BDP($B2021,"INDUSTRY_GROUP"))</f>
        <v/>
      </c>
      <c r="Y2021" t="str">
        <f>IF($B2021="","",_xll.BDP($B2021,"INDUSTRY_SUBGROUP"))</f>
        <v/>
      </c>
      <c r="Z2021" t="str">
        <f>IF($B2021="","",_xll.BDP($B2021,"COUNTRY_FULL_NAME"))</f>
        <v/>
      </c>
    </row>
    <row r="2022" spans="15:26" x14ac:dyDescent="0.25">
      <c r="O2022"/>
      <c r="P2022"/>
      <c r="Q2022"/>
      <c r="W2022" t="str">
        <f>IF(B2022="","",_xll.BDP(B2022,"INDUSTRY_SECTOR"))</f>
        <v/>
      </c>
      <c r="X2022" t="str">
        <f>IF($B2022="","",_xll.BDP($B2022,"INDUSTRY_GROUP"))</f>
        <v/>
      </c>
      <c r="Y2022" t="str">
        <f>IF($B2022="","",_xll.BDP($B2022,"INDUSTRY_SUBGROUP"))</f>
        <v/>
      </c>
      <c r="Z2022" t="str">
        <f>IF($B2022="","",_xll.BDP($B2022,"COUNTRY_FULL_NAME"))</f>
        <v/>
      </c>
    </row>
    <row r="2023" spans="15:26" x14ac:dyDescent="0.25">
      <c r="O2023"/>
      <c r="P2023"/>
      <c r="Q2023"/>
      <c r="W2023" t="str">
        <f>IF(B2023="","",_xll.BDP(B2023,"INDUSTRY_SECTOR"))</f>
        <v/>
      </c>
      <c r="X2023" t="str">
        <f>IF($B2023="","",_xll.BDP($B2023,"INDUSTRY_GROUP"))</f>
        <v/>
      </c>
      <c r="Y2023" t="str">
        <f>IF($B2023="","",_xll.BDP($B2023,"INDUSTRY_SUBGROUP"))</f>
        <v/>
      </c>
      <c r="Z2023" t="str">
        <f>IF($B2023="","",_xll.BDP($B2023,"COUNTRY_FULL_NAME"))</f>
        <v/>
      </c>
    </row>
    <row r="2024" spans="15:26" x14ac:dyDescent="0.25">
      <c r="O2024"/>
      <c r="P2024"/>
      <c r="Q2024"/>
      <c r="W2024" t="str">
        <f>IF(B2024="","",_xll.BDP(B2024,"INDUSTRY_SECTOR"))</f>
        <v/>
      </c>
      <c r="X2024" t="str">
        <f>IF($B2024="","",_xll.BDP($B2024,"INDUSTRY_GROUP"))</f>
        <v/>
      </c>
      <c r="Y2024" t="str">
        <f>IF($B2024="","",_xll.BDP($B2024,"INDUSTRY_SUBGROUP"))</f>
        <v/>
      </c>
      <c r="Z2024" t="str">
        <f>IF($B2024="","",_xll.BDP($B2024,"COUNTRY_FULL_NAME"))</f>
        <v/>
      </c>
    </row>
    <row r="2025" spans="15:26" x14ac:dyDescent="0.25">
      <c r="O2025"/>
      <c r="P2025"/>
      <c r="Q2025"/>
      <c r="W2025" t="str">
        <f>IF(B2025="","",_xll.BDP(B2025,"INDUSTRY_SECTOR"))</f>
        <v/>
      </c>
      <c r="X2025" t="str">
        <f>IF($B2025="","",_xll.BDP($B2025,"INDUSTRY_GROUP"))</f>
        <v/>
      </c>
      <c r="Y2025" t="str">
        <f>IF($B2025="","",_xll.BDP($B2025,"INDUSTRY_SUBGROUP"))</f>
        <v/>
      </c>
      <c r="Z2025" t="str">
        <f>IF($B2025="","",_xll.BDP($B2025,"COUNTRY_FULL_NAME"))</f>
        <v/>
      </c>
    </row>
    <row r="2026" spans="15:26" x14ac:dyDescent="0.25">
      <c r="O2026"/>
      <c r="P2026"/>
      <c r="Q2026"/>
      <c r="W2026" t="str">
        <f>IF(B2026="","",_xll.BDP(B2026,"INDUSTRY_SECTOR"))</f>
        <v/>
      </c>
      <c r="X2026" t="str">
        <f>IF($B2026="","",_xll.BDP($B2026,"INDUSTRY_GROUP"))</f>
        <v/>
      </c>
      <c r="Y2026" t="str">
        <f>IF($B2026="","",_xll.BDP($B2026,"INDUSTRY_SUBGROUP"))</f>
        <v/>
      </c>
      <c r="Z2026" t="str">
        <f>IF($B2026="","",_xll.BDP($B2026,"COUNTRY_FULL_NAME"))</f>
        <v/>
      </c>
    </row>
    <row r="2027" spans="15:26" x14ac:dyDescent="0.25">
      <c r="O2027"/>
      <c r="P2027"/>
      <c r="Q2027"/>
      <c r="W2027" t="str">
        <f>IF(B2027="","",_xll.BDP(B2027,"INDUSTRY_SECTOR"))</f>
        <v/>
      </c>
      <c r="X2027" t="str">
        <f>IF($B2027="","",_xll.BDP($B2027,"INDUSTRY_GROUP"))</f>
        <v/>
      </c>
      <c r="Y2027" t="str">
        <f>IF($B2027="","",_xll.BDP($B2027,"INDUSTRY_SUBGROUP"))</f>
        <v/>
      </c>
      <c r="Z2027" t="str">
        <f>IF($B2027="","",_xll.BDP($B2027,"COUNTRY_FULL_NAME"))</f>
        <v/>
      </c>
    </row>
    <row r="2028" spans="15:26" x14ac:dyDescent="0.25">
      <c r="O2028"/>
      <c r="P2028"/>
      <c r="Q2028"/>
      <c r="W2028" t="str">
        <f>IF(B2028="","",_xll.BDP(B2028,"INDUSTRY_SECTOR"))</f>
        <v/>
      </c>
      <c r="X2028" t="str">
        <f>IF($B2028="","",_xll.BDP($B2028,"INDUSTRY_GROUP"))</f>
        <v/>
      </c>
      <c r="Y2028" t="str">
        <f>IF($B2028="","",_xll.BDP($B2028,"INDUSTRY_SUBGROUP"))</f>
        <v/>
      </c>
      <c r="Z2028" t="str">
        <f>IF($B2028="","",_xll.BDP($B2028,"COUNTRY_FULL_NAME"))</f>
        <v/>
      </c>
    </row>
    <row r="2029" spans="15:26" x14ac:dyDescent="0.25">
      <c r="O2029"/>
      <c r="P2029"/>
      <c r="Q2029"/>
      <c r="W2029" t="str">
        <f>IF(B2029="","",_xll.BDP(B2029,"INDUSTRY_SECTOR"))</f>
        <v/>
      </c>
      <c r="X2029" t="str">
        <f>IF($B2029="","",_xll.BDP($B2029,"INDUSTRY_GROUP"))</f>
        <v/>
      </c>
      <c r="Y2029" t="str">
        <f>IF($B2029="","",_xll.BDP($B2029,"INDUSTRY_SUBGROUP"))</f>
        <v/>
      </c>
      <c r="Z2029" t="str">
        <f>IF($B2029="","",_xll.BDP($B2029,"COUNTRY_FULL_NAME"))</f>
        <v/>
      </c>
    </row>
    <row r="2030" spans="15:26" x14ac:dyDescent="0.25">
      <c r="O2030"/>
      <c r="P2030"/>
      <c r="Q2030"/>
      <c r="W2030" t="str">
        <f>IF(B2030="","",_xll.BDP(B2030,"INDUSTRY_SECTOR"))</f>
        <v/>
      </c>
      <c r="X2030" t="str">
        <f>IF($B2030="","",_xll.BDP($B2030,"INDUSTRY_GROUP"))</f>
        <v/>
      </c>
      <c r="Y2030" t="str">
        <f>IF($B2030="","",_xll.BDP($B2030,"INDUSTRY_SUBGROUP"))</f>
        <v/>
      </c>
      <c r="Z2030" t="str">
        <f>IF($B2030="","",_xll.BDP($B2030,"COUNTRY_FULL_NAME"))</f>
        <v/>
      </c>
    </row>
    <row r="2031" spans="15:26" x14ac:dyDescent="0.25">
      <c r="O2031"/>
      <c r="P2031"/>
      <c r="Q2031"/>
      <c r="W2031" t="str">
        <f>IF(B2031="","",_xll.BDP(B2031,"INDUSTRY_SECTOR"))</f>
        <v/>
      </c>
      <c r="X2031" t="str">
        <f>IF($B2031="","",_xll.BDP($B2031,"INDUSTRY_GROUP"))</f>
        <v/>
      </c>
      <c r="Y2031" t="str">
        <f>IF($B2031="","",_xll.BDP($B2031,"INDUSTRY_SUBGROUP"))</f>
        <v/>
      </c>
      <c r="Z2031" t="str">
        <f>IF($B2031="","",_xll.BDP($B2031,"COUNTRY_FULL_NAME"))</f>
        <v/>
      </c>
    </row>
    <row r="2032" spans="15:26" x14ac:dyDescent="0.25">
      <c r="O2032"/>
      <c r="P2032"/>
      <c r="Q2032"/>
      <c r="W2032" t="str">
        <f>IF(B2032="","",_xll.BDP(B2032,"INDUSTRY_SECTOR"))</f>
        <v/>
      </c>
      <c r="X2032" t="str">
        <f>IF($B2032="","",_xll.BDP($B2032,"INDUSTRY_GROUP"))</f>
        <v/>
      </c>
      <c r="Y2032" t="str">
        <f>IF($B2032="","",_xll.BDP($B2032,"INDUSTRY_SUBGROUP"))</f>
        <v/>
      </c>
      <c r="Z2032" t="str">
        <f>IF($B2032="","",_xll.BDP($B2032,"COUNTRY_FULL_NAME"))</f>
        <v/>
      </c>
    </row>
    <row r="2033" spans="15:26" x14ac:dyDescent="0.25">
      <c r="O2033"/>
      <c r="P2033"/>
      <c r="Q2033"/>
      <c r="W2033" t="str">
        <f>IF(B2033="","",_xll.BDP(B2033,"INDUSTRY_SECTOR"))</f>
        <v/>
      </c>
      <c r="X2033" t="str">
        <f>IF($B2033="","",_xll.BDP($B2033,"INDUSTRY_GROUP"))</f>
        <v/>
      </c>
      <c r="Y2033" t="str">
        <f>IF($B2033="","",_xll.BDP($B2033,"INDUSTRY_SUBGROUP"))</f>
        <v/>
      </c>
      <c r="Z2033" t="str">
        <f>IF($B2033="","",_xll.BDP($B2033,"COUNTRY_FULL_NAME"))</f>
        <v/>
      </c>
    </row>
    <row r="2034" spans="15:26" x14ac:dyDescent="0.25">
      <c r="O2034"/>
      <c r="P2034"/>
      <c r="Q2034"/>
      <c r="W2034" t="str">
        <f>IF(B2034="","",_xll.BDP(B2034,"INDUSTRY_SECTOR"))</f>
        <v/>
      </c>
      <c r="X2034" t="str">
        <f>IF($B2034="","",_xll.BDP($B2034,"INDUSTRY_GROUP"))</f>
        <v/>
      </c>
      <c r="Y2034" t="str">
        <f>IF($B2034="","",_xll.BDP($B2034,"INDUSTRY_SUBGROUP"))</f>
        <v/>
      </c>
      <c r="Z2034" t="str">
        <f>IF($B2034="","",_xll.BDP($B2034,"COUNTRY_FULL_NAME"))</f>
        <v/>
      </c>
    </row>
    <row r="2035" spans="15:26" x14ac:dyDescent="0.25">
      <c r="O2035"/>
      <c r="P2035"/>
      <c r="Q2035"/>
      <c r="W2035" t="str">
        <f>IF(B2035="","",_xll.BDP(B2035,"INDUSTRY_SECTOR"))</f>
        <v/>
      </c>
      <c r="X2035" t="str">
        <f>IF($B2035="","",_xll.BDP($B2035,"INDUSTRY_GROUP"))</f>
        <v/>
      </c>
      <c r="Y2035" t="str">
        <f>IF($B2035="","",_xll.BDP($B2035,"INDUSTRY_SUBGROUP"))</f>
        <v/>
      </c>
      <c r="Z2035" t="str">
        <f>IF($B2035="","",_xll.BDP($B2035,"COUNTRY_FULL_NAME"))</f>
        <v/>
      </c>
    </row>
    <row r="2036" spans="15:26" x14ac:dyDescent="0.25">
      <c r="O2036"/>
      <c r="P2036"/>
      <c r="Q2036"/>
      <c r="W2036" t="str">
        <f>IF(B2036="","",_xll.BDP(B2036,"INDUSTRY_SECTOR"))</f>
        <v/>
      </c>
      <c r="X2036" t="str">
        <f>IF($B2036="","",_xll.BDP($B2036,"INDUSTRY_GROUP"))</f>
        <v/>
      </c>
      <c r="Y2036" t="str">
        <f>IF($B2036="","",_xll.BDP($B2036,"INDUSTRY_SUBGROUP"))</f>
        <v/>
      </c>
      <c r="Z2036" t="str">
        <f>IF($B2036="","",_xll.BDP($B2036,"COUNTRY_FULL_NAME"))</f>
        <v/>
      </c>
    </row>
    <row r="2037" spans="15:26" x14ac:dyDescent="0.25">
      <c r="O2037"/>
      <c r="P2037"/>
      <c r="Q2037"/>
      <c r="W2037" t="str">
        <f>IF(B2037="","",_xll.BDP(B2037,"INDUSTRY_SECTOR"))</f>
        <v/>
      </c>
      <c r="X2037" t="str">
        <f>IF($B2037="","",_xll.BDP($B2037,"INDUSTRY_GROUP"))</f>
        <v/>
      </c>
      <c r="Y2037" t="str">
        <f>IF($B2037="","",_xll.BDP($B2037,"INDUSTRY_SUBGROUP"))</f>
        <v/>
      </c>
      <c r="Z2037" t="str">
        <f>IF($B2037="","",_xll.BDP($B2037,"COUNTRY_FULL_NAME"))</f>
        <v/>
      </c>
    </row>
    <row r="2038" spans="15:26" x14ac:dyDescent="0.25">
      <c r="O2038"/>
      <c r="P2038"/>
      <c r="Q2038"/>
      <c r="W2038" t="str">
        <f>IF(B2038="","",_xll.BDP(B2038,"INDUSTRY_SECTOR"))</f>
        <v/>
      </c>
      <c r="X2038" t="str">
        <f>IF($B2038="","",_xll.BDP($B2038,"INDUSTRY_GROUP"))</f>
        <v/>
      </c>
      <c r="Y2038" t="str">
        <f>IF($B2038="","",_xll.BDP($B2038,"INDUSTRY_SUBGROUP"))</f>
        <v/>
      </c>
      <c r="Z2038" t="str">
        <f>IF($B2038="","",_xll.BDP($B2038,"COUNTRY_FULL_NAME"))</f>
        <v/>
      </c>
    </row>
    <row r="2039" spans="15:26" x14ac:dyDescent="0.25">
      <c r="O2039"/>
      <c r="P2039"/>
      <c r="Q2039"/>
      <c r="W2039" t="str">
        <f>IF(B2039="","",_xll.BDP(B2039,"INDUSTRY_SECTOR"))</f>
        <v/>
      </c>
      <c r="X2039" t="str">
        <f>IF($B2039="","",_xll.BDP($B2039,"INDUSTRY_GROUP"))</f>
        <v/>
      </c>
      <c r="Y2039" t="str">
        <f>IF($B2039="","",_xll.BDP($B2039,"INDUSTRY_SUBGROUP"))</f>
        <v/>
      </c>
      <c r="Z2039" t="str">
        <f>IF($B2039="","",_xll.BDP($B2039,"COUNTRY_FULL_NAME"))</f>
        <v/>
      </c>
    </row>
    <row r="2040" spans="15:26" x14ac:dyDescent="0.25">
      <c r="O2040"/>
      <c r="P2040"/>
      <c r="Q2040"/>
      <c r="W2040" t="str">
        <f>IF(B2040="","",_xll.BDP(B2040,"INDUSTRY_SECTOR"))</f>
        <v/>
      </c>
      <c r="X2040" t="str">
        <f>IF($B2040="","",_xll.BDP($B2040,"INDUSTRY_GROUP"))</f>
        <v/>
      </c>
      <c r="Y2040" t="str">
        <f>IF($B2040="","",_xll.BDP($B2040,"INDUSTRY_SUBGROUP"))</f>
        <v/>
      </c>
      <c r="Z2040" t="str">
        <f>IF($B2040="","",_xll.BDP($B2040,"COUNTRY_FULL_NAME"))</f>
        <v/>
      </c>
    </row>
    <row r="2041" spans="15:26" x14ac:dyDescent="0.25">
      <c r="O2041"/>
      <c r="P2041"/>
      <c r="Q2041"/>
      <c r="W2041" t="str">
        <f>IF(B2041="","",_xll.BDP(B2041,"INDUSTRY_SECTOR"))</f>
        <v/>
      </c>
      <c r="X2041" t="str">
        <f>IF($B2041="","",_xll.BDP($B2041,"INDUSTRY_GROUP"))</f>
        <v/>
      </c>
      <c r="Y2041" t="str">
        <f>IF($B2041="","",_xll.BDP($B2041,"INDUSTRY_SUBGROUP"))</f>
        <v/>
      </c>
      <c r="Z2041" t="str">
        <f>IF($B2041="","",_xll.BDP($B2041,"COUNTRY_FULL_NAME"))</f>
        <v/>
      </c>
    </row>
    <row r="2042" spans="15:26" x14ac:dyDescent="0.25">
      <c r="O2042"/>
      <c r="P2042"/>
      <c r="Q2042"/>
      <c r="W2042" t="str">
        <f>IF(B2042="","",_xll.BDP(B2042,"INDUSTRY_SECTOR"))</f>
        <v/>
      </c>
      <c r="X2042" t="str">
        <f>IF($B2042="","",_xll.BDP($B2042,"INDUSTRY_GROUP"))</f>
        <v/>
      </c>
      <c r="Y2042" t="str">
        <f>IF($B2042="","",_xll.BDP($B2042,"INDUSTRY_SUBGROUP"))</f>
        <v/>
      </c>
      <c r="Z2042" t="str">
        <f>IF($B2042="","",_xll.BDP($B2042,"COUNTRY_FULL_NAME"))</f>
        <v/>
      </c>
    </row>
    <row r="2043" spans="15:26" x14ac:dyDescent="0.25">
      <c r="O2043"/>
      <c r="P2043"/>
      <c r="Q2043"/>
      <c r="W2043" t="str">
        <f>IF(B2043="","",_xll.BDP(B2043,"INDUSTRY_SECTOR"))</f>
        <v/>
      </c>
      <c r="X2043" t="str">
        <f>IF($B2043="","",_xll.BDP($B2043,"INDUSTRY_GROUP"))</f>
        <v/>
      </c>
      <c r="Y2043" t="str">
        <f>IF($B2043="","",_xll.BDP($B2043,"INDUSTRY_SUBGROUP"))</f>
        <v/>
      </c>
      <c r="Z2043" t="str">
        <f>IF($B2043="","",_xll.BDP($B2043,"COUNTRY_FULL_NAME"))</f>
        <v/>
      </c>
    </row>
    <row r="2044" spans="15:26" x14ac:dyDescent="0.25">
      <c r="O2044"/>
      <c r="P2044"/>
      <c r="Q2044"/>
      <c r="W2044" t="str">
        <f>IF(B2044="","",_xll.BDP(B2044,"INDUSTRY_SECTOR"))</f>
        <v/>
      </c>
      <c r="X2044" t="str">
        <f>IF($B2044="","",_xll.BDP($B2044,"INDUSTRY_GROUP"))</f>
        <v/>
      </c>
      <c r="Y2044" t="str">
        <f>IF($B2044="","",_xll.BDP($B2044,"INDUSTRY_SUBGROUP"))</f>
        <v/>
      </c>
      <c r="Z2044" t="str">
        <f>IF($B2044="","",_xll.BDP($B2044,"COUNTRY_FULL_NAME"))</f>
        <v/>
      </c>
    </row>
    <row r="2045" spans="15:26" x14ac:dyDescent="0.25">
      <c r="O2045"/>
      <c r="P2045"/>
      <c r="Q2045"/>
      <c r="W2045" t="str">
        <f>IF(B2045="","",_xll.BDP(B2045,"INDUSTRY_SECTOR"))</f>
        <v/>
      </c>
      <c r="X2045" t="str">
        <f>IF($B2045="","",_xll.BDP($B2045,"INDUSTRY_GROUP"))</f>
        <v/>
      </c>
      <c r="Y2045" t="str">
        <f>IF($B2045="","",_xll.BDP($B2045,"INDUSTRY_SUBGROUP"))</f>
        <v/>
      </c>
      <c r="Z2045" t="str">
        <f>IF($B2045="","",_xll.BDP($B2045,"COUNTRY_FULL_NAME"))</f>
        <v/>
      </c>
    </row>
    <row r="2046" spans="15:26" x14ac:dyDescent="0.25">
      <c r="O2046"/>
      <c r="P2046"/>
      <c r="Q2046"/>
      <c r="W2046" t="str">
        <f>IF(B2046="","",_xll.BDP(B2046,"INDUSTRY_SECTOR"))</f>
        <v/>
      </c>
      <c r="X2046" t="str">
        <f>IF($B2046="","",_xll.BDP($B2046,"INDUSTRY_GROUP"))</f>
        <v/>
      </c>
      <c r="Y2046" t="str">
        <f>IF($B2046="","",_xll.BDP($B2046,"INDUSTRY_SUBGROUP"))</f>
        <v/>
      </c>
      <c r="Z2046" t="str">
        <f>IF($B2046="","",_xll.BDP($B2046,"COUNTRY_FULL_NAME"))</f>
        <v/>
      </c>
    </row>
    <row r="2047" spans="15:26" x14ac:dyDescent="0.25">
      <c r="O2047"/>
      <c r="P2047"/>
      <c r="Q2047"/>
      <c r="W2047" t="str">
        <f>IF(B2047="","",_xll.BDP(B2047,"INDUSTRY_SECTOR"))</f>
        <v/>
      </c>
      <c r="X2047" t="str">
        <f>IF($B2047="","",_xll.BDP($B2047,"INDUSTRY_GROUP"))</f>
        <v/>
      </c>
      <c r="Y2047" t="str">
        <f>IF($B2047="","",_xll.BDP($B2047,"INDUSTRY_SUBGROUP"))</f>
        <v/>
      </c>
      <c r="Z2047" t="str">
        <f>IF($B2047="","",_xll.BDP($B2047,"COUNTRY_FULL_NAME"))</f>
        <v/>
      </c>
    </row>
    <row r="2048" spans="15:26" x14ac:dyDescent="0.25">
      <c r="O2048"/>
      <c r="P2048"/>
      <c r="Q2048"/>
      <c r="W2048" t="str">
        <f>IF(B2048="","",_xll.BDP(B2048,"INDUSTRY_SECTOR"))</f>
        <v/>
      </c>
      <c r="X2048" t="str">
        <f>IF($B2048="","",_xll.BDP($B2048,"INDUSTRY_GROUP"))</f>
        <v/>
      </c>
      <c r="Y2048" t="str">
        <f>IF($B2048="","",_xll.BDP($B2048,"INDUSTRY_SUBGROUP"))</f>
        <v/>
      </c>
      <c r="Z2048" t="str">
        <f>IF($B2048="","",_xll.BDP($B2048,"COUNTRY_FULL_NAME"))</f>
        <v/>
      </c>
    </row>
    <row r="2049" spans="15:26" x14ac:dyDescent="0.25">
      <c r="O2049"/>
      <c r="P2049"/>
      <c r="Q2049"/>
      <c r="W2049" t="str">
        <f>IF(B2049="","",_xll.BDP(B2049,"INDUSTRY_SECTOR"))</f>
        <v/>
      </c>
      <c r="X2049" t="str">
        <f>IF($B2049="","",_xll.BDP($B2049,"INDUSTRY_GROUP"))</f>
        <v/>
      </c>
      <c r="Y2049" t="str">
        <f>IF($B2049="","",_xll.BDP($B2049,"INDUSTRY_SUBGROUP"))</f>
        <v/>
      </c>
      <c r="Z2049" t="str">
        <f>IF($B2049="","",_xll.BDP($B2049,"COUNTRY_FULL_NAME"))</f>
        <v/>
      </c>
    </row>
    <row r="2050" spans="15:26" x14ac:dyDescent="0.25">
      <c r="O2050"/>
      <c r="P2050"/>
      <c r="Q2050"/>
      <c r="W2050" t="str">
        <f>IF(B2050="","",_xll.BDP(B2050,"INDUSTRY_SECTOR"))</f>
        <v/>
      </c>
      <c r="X2050" t="str">
        <f>IF($B2050="","",_xll.BDP($B2050,"INDUSTRY_GROUP"))</f>
        <v/>
      </c>
      <c r="Y2050" t="str">
        <f>IF($B2050="","",_xll.BDP($B2050,"INDUSTRY_SUBGROUP"))</f>
        <v/>
      </c>
      <c r="Z2050" t="str">
        <f>IF($B2050="","",_xll.BDP($B2050,"COUNTRY_FULL_NAME"))</f>
        <v/>
      </c>
    </row>
    <row r="2051" spans="15:26" x14ac:dyDescent="0.25">
      <c r="O2051"/>
      <c r="P2051"/>
      <c r="Q2051"/>
      <c r="W2051" t="str">
        <f>IF(B2051="","",_xll.BDP(B2051,"INDUSTRY_SECTOR"))</f>
        <v/>
      </c>
      <c r="X2051" t="str">
        <f>IF($B2051="","",_xll.BDP($B2051,"INDUSTRY_GROUP"))</f>
        <v/>
      </c>
      <c r="Y2051" t="str">
        <f>IF($B2051="","",_xll.BDP($B2051,"INDUSTRY_SUBGROUP"))</f>
        <v/>
      </c>
      <c r="Z2051" t="str">
        <f>IF($B2051="","",_xll.BDP($B2051,"COUNTRY_FULL_NAME"))</f>
        <v/>
      </c>
    </row>
    <row r="2052" spans="15:26" x14ac:dyDescent="0.25">
      <c r="O2052"/>
      <c r="P2052"/>
      <c r="Q2052"/>
      <c r="W2052" t="str">
        <f>IF(B2052="","",_xll.BDP(B2052,"INDUSTRY_SECTOR"))</f>
        <v/>
      </c>
      <c r="X2052" t="str">
        <f>IF($B2052="","",_xll.BDP($B2052,"INDUSTRY_GROUP"))</f>
        <v/>
      </c>
      <c r="Y2052" t="str">
        <f>IF($B2052="","",_xll.BDP($B2052,"INDUSTRY_SUBGROUP"))</f>
        <v/>
      </c>
      <c r="Z2052" t="str">
        <f>IF($B2052="","",_xll.BDP($B2052,"COUNTRY_FULL_NAME"))</f>
        <v/>
      </c>
    </row>
    <row r="2053" spans="15:26" x14ac:dyDescent="0.25">
      <c r="O2053"/>
      <c r="P2053"/>
      <c r="Q2053"/>
      <c r="W2053" t="str">
        <f>IF(B2053="","",_xll.BDP(B2053,"INDUSTRY_SECTOR"))</f>
        <v/>
      </c>
      <c r="X2053" t="str">
        <f>IF($B2053="","",_xll.BDP($B2053,"INDUSTRY_GROUP"))</f>
        <v/>
      </c>
      <c r="Y2053" t="str">
        <f>IF($B2053="","",_xll.BDP($B2053,"INDUSTRY_SUBGROUP"))</f>
        <v/>
      </c>
      <c r="Z2053" t="str">
        <f>IF($B2053="","",_xll.BDP($B2053,"COUNTRY_FULL_NAME"))</f>
        <v/>
      </c>
    </row>
    <row r="2054" spans="15:26" x14ac:dyDescent="0.25">
      <c r="O2054"/>
      <c r="P2054"/>
      <c r="Q2054"/>
      <c r="W2054" t="str">
        <f>IF(B2054="","",_xll.BDP(B2054,"INDUSTRY_SECTOR"))</f>
        <v/>
      </c>
      <c r="X2054" t="str">
        <f>IF($B2054="","",_xll.BDP($B2054,"INDUSTRY_GROUP"))</f>
        <v/>
      </c>
      <c r="Y2054" t="str">
        <f>IF($B2054="","",_xll.BDP($B2054,"INDUSTRY_SUBGROUP"))</f>
        <v/>
      </c>
      <c r="Z2054" t="str">
        <f>IF($B2054="","",_xll.BDP($B2054,"COUNTRY_FULL_NAME"))</f>
        <v/>
      </c>
    </row>
    <row r="2055" spans="15:26" x14ac:dyDescent="0.25">
      <c r="O2055"/>
      <c r="P2055"/>
      <c r="Q2055"/>
      <c r="W2055" t="str">
        <f>IF(B2055="","",_xll.BDP(B2055,"INDUSTRY_SECTOR"))</f>
        <v/>
      </c>
      <c r="X2055" t="str">
        <f>IF($B2055="","",_xll.BDP($B2055,"INDUSTRY_GROUP"))</f>
        <v/>
      </c>
      <c r="Y2055" t="str">
        <f>IF($B2055="","",_xll.BDP($B2055,"INDUSTRY_SUBGROUP"))</f>
        <v/>
      </c>
      <c r="Z2055" t="str">
        <f>IF($B2055="","",_xll.BDP($B2055,"COUNTRY_FULL_NAME"))</f>
        <v/>
      </c>
    </row>
    <row r="2056" spans="15:26" x14ac:dyDescent="0.25">
      <c r="O2056"/>
      <c r="P2056"/>
      <c r="Q2056"/>
      <c r="W2056" t="str">
        <f>IF(B2056="","",_xll.BDP(B2056,"INDUSTRY_SECTOR"))</f>
        <v/>
      </c>
      <c r="X2056" t="str">
        <f>IF($B2056="","",_xll.BDP($B2056,"INDUSTRY_GROUP"))</f>
        <v/>
      </c>
      <c r="Y2056" t="str">
        <f>IF($B2056="","",_xll.BDP($B2056,"INDUSTRY_SUBGROUP"))</f>
        <v/>
      </c>
      <c r="Z2056" t="str">
        <f>IF($B2056="","",_xll.BDP($B2056,"COUNTRY_FULL_NAME"))</f>
        <v/>
      </c>
    </row>
    <row r="2057" spans="15:26" x14ac:dyDescent="0.25">
      <c r="O2057"/>
      <c r="P2057"/>
      <c r="Q2057"/>
      <c r="W2057" t="str">
        <f>IF(B2057="","",_xll.BDP(B2057,"INDUSTRY_SECTOR"))</f>
        <v/>
      </c>
      <c r="X2057" t="str">
        <f>IF($B2057="","",_xll.BDP($B2057,"INDUSTRY_GROUP"))</f>
        <v/>
      </c>
      <c r="Y2057" t="str">
        <f>IF($B2057="","",_xll.BDP($B2057,"INDUSTRY_SUBGROUP"))</f>
        <v/>
      </c>
      <c r="Z2057" t="str">
        <f>IF($B2057="","",_xll.BDP($B2057,"COUNTRY_FULL_NAME"))</f>
        <v/>
      </c>
    </row>
    <row r="2058" spans="15:26" x14ac:dyDescent="0.25">
      <c r="O2058"/>
      <c r="P2058"/>
      <c r="Q2058"/>
      <c r="W2058" t="str">
        <f>IF(B2058="","",_xll.BDP(B2058,"INDUSTRY_SECTOR"))</f>
        <v/>
      </c>
      <c r="X2058" t="str">
        <f>IF($B2058="","",_xll.BDP($B2058,"INDUSTRY_GROUP"))</f>
        <v/>
      </c>
      <c r="Y2058" t="str">
        <f>IF($B2058="","",_xll.BDP($B2058,"INDUSTRY_SUBGROUP"))</f>
        <v/>
      </c>
      <c r="Z2058" t="str">
        <f>IF($B2058="","",_xll.BDP($B2058,"COUNTRY_FULL_NAME"))</f>
        <v/>
      </c>
    </row>
    <row r="2059" spans="15:26" x14ac:dyDescent="0.25">
      <c r="O2059"/>
      <c r="P2059"/>
      <c r="Q2059"/>
      <c r="W2059" t="str">
        <f>IF(B2059="","",_xll.BDP(B2059,"INDUSTRY_SECTOR"))</f>
        <v/>
      </c>
      <c r="X2059" t="str">
        <f>IF($B2059="","",_xll.BDP($B2059,"INDUSTRY_GROUP"))</f>
        <v/>
      </c>
      <c r="Y2059" t="str">
        <f>IF($B2059="","",_xll.BDP($B2059,"INDUSTRY_SUBGROUP"))</f>
        <v/>
      </c>
      <c r="Z2059" t="str">
        <f>IF($B2059="","",_xll.BDP($B2059,"COUNTRY_FULL_NAME"))</f>
        <v/>
      </c>
    </row>
    <row r="2060" spans="15:26" x14ac:dyDescent="0.25">
      <c r="O2060"/>
      <c r="P2060"/>
      <c r="Q2060"/>
      <c r="W2060" t="str">
        <f>IF(B2060="","",_xll.BDP(B2060,"INDUSTRY_SECTOR"))</f>
        <v/>
      </c>
      <c r="X2060" t="str">
        <f>IF($B2060="","",_xll.BDP($B2060,"INDUSTRY_GROUP"))</f>
        <v/>
      </c>
      <c r="Y2060" t="str">
        <f>IF($B2060="","",_xll.BDP($B2060,"INDUSTRY_SUBGROUP"))</f>
        <v/>
      </c>
      <c r="Z2060" t="str">
        <f>IF($B2060="","",_xll.BDP($B2060,"COUNTRY_FULL_NAME"))</f>
        <v/>
      </c>
    </row>
    <row r="2061" spans="15:26" x14ac:dyDescent="0.25">
      <c r="O2061"/>
      <c r="P2061"/>
      <c r="Q2061"/>
      <c r="W2061" t="str">
        <f>IF(B2061="","",_xll.BDP(B2061,"INDUSTRY_SECTOR"))</f>
        <v/>
      </c>
      <c r="X2061" t="str">
        <f>IF($B2061="","",_xll.BDP($B2061,"INDUSTRY_GROUP"))</f>
        <v/>
      </c>
      <c r="Y2061" t="str">
        <f>IF($B2061="","",_xll.BDP($B2061,"INDUSTRY_SUBGROUP"))</f>
        <v/>
      </c>
      <c r="Z2061" t="str">
        <f>IF($B2061="","",_xll.BDP($B2061,"COUNTRY_FULL_NAME"))</f>
        <v/>
      </c>
    </row>
    <row r="2062" spans="15:26" x14ac:dyDescent="0.25">
      <c r="O2062"/>
      <c r="P2062"/>
      <c r="Q2062"/>
      <c r="W2062" t="str">
        <f>IF(B2062="","",_xll.BDP(B2062,"INDUSTRY_SECTOR"))</f>
        <v/>
      </c>
      <c r="X2062" t="str">
        <f>IF($B2062="","",_xll.BDP($B2062,"INDUSTRY_GROUP"))</f>
        <v/>
      </c>
      <c r="Y2062" t="str">
        <f>IF($B2062="","",_xll.BDP($B2062,"INDUSTRY_SUBGROUP"))</f>
        <v/>
      </c>
      <c r="Z2062" t="str">
        <f>IF($B2062="","",_xll.BDP($B2062,"COUNTRY_FULL_NAME"))</f>
        <v/>
      </c>
    </row>
    <row r="2063" spans="15:26" x14ac:dyDescent="0.25">
      <c r="O2063"/>
      <c r="P2063"/>
      <c r="Q2063"/>
      <c r="W2063" t="str">
        <f>IF(B2063="","",_xll.BDP(B2063,"INDUSTRY_SECTOR"))</f>
        <v/>
      </c>
      <c r="X2063" t="str">
        <f>IF($B2063="","",_xll.BDP($B2063,"INDUSTRY_GROUP"))</f>
        <v/>
      </c>
      <c r="Y2063" t="str">
        <f>IF($B2063="","",_xll.BDP($B2063,"INDUSTRY_SUBGROUP"))</f>
        <v/>
      </c>
      <c r="Z2063" t="str">
        <f>IF($B2063="","",_xll.BDP($B2063,"COUNTRY_FULL_NAME"))</f>
        <v/>
      </c>
    </row>
    <row r="2064" spans="15:26" x14ac:dyDescent="0.25">
      <c r="O2064"/>
      <c r="P2064"/>
      <c r="Q2064"/>
      <c r="W2064" t="str">
        <f>IF(B2064="","",_xll.BDP(B2064,"INDUSTRY_SECTOR"))</f>
        <v/>
      </c>
      <c r="X2064" t="str">
        <f>IF($B2064="","",_xll.BDP($B2064,"INDUSTRY_GROUP"))</f>
        <v/>
      </c>
      <c r="Y2064" t="str">
        <f>IF($B2064="","",_xll.BDP($B2064,"INDUSTRY_SUBGROUP"))</f>
        <v/>
      </c>
      <c r="Z2064" t="str">
        <f>IF($B2064="","",_xll.BDP($B2064,"COUNTRY_FULL_NAME"))</f>
        <v/>
      </c>
    </row>
    <row r="2065" spans="15:26" x14ac:dyDescent="0.25">
      <c r="O2065"/>
      <c r="P2065"/>
      <c r="Q2065"/>
      <c r="W2065" t="str">
        <f>IF(B2065="","",_xll.BDP(B2065,"INDUSTRY_SECTOR"))</f>
        <v/>
      </c>
      <c r="X2065" t="str">
        <f>IF($B2065="","",_xll.BDP($B2065,"INDUSTRY_GROUP"))</f>
        <v/>
      </c>
      <c r="Y2065" t="str">
        <f>IF($B2065="","",_xll.BDP($B2065,"INDUSTRY_SUBGROUP"))</f>
        <v/>
      </c>
      <c r="Z2065" t="str">
        <f>IF($B2065="","",_xll.BDP($B2065,"COUNTRY_FULL_NAME"))</f>
        <v/>
      </c>
    </row>
    <row r="2066" spans="15:26" x14ac:dyDescent="0.25">
      <c r="O2066"/>
      <c r="P2066"/>
      <c r="Q2066"/>
      <c r="W2066" t="str">
        <f>IF(B2066="","",_xll.BDP(B2066,"INDUSTRY_SECTOR"))</f>
        <v/>
      </c>
      <c r="X2066" t="str">
        <f>IF($B2066="","",_xll.BDP($B2066,"INDUSTRY_GROUP"))</f>
        <v/>
      </c>
      <c r="Y2066" t="str">
        <f>IF($B2066="","",_xll.BDP($B2066,"INDUSTRY_SUBGROUP"))</f>
        <v/>
      </c>
      <c r="Z2066" t="str">
        <f>IF($B2066="","",_xll.BDP($B2066,"COUNTRY_FULL_NAME"))</f>
        <v/>
      </c>
    </row>
    <row r="2067" spans="15:26" x14ac:dyDescent="0.25">
      <c r="O2067"/>
      <c r="P2067"/>
      <c r="Q2067"/>
      <c r="W2067" t="str">
        <f>IF(B2067="","",_xll.BDP(B2067,"INDUSTRY_SECTOR"))</f>
        <v/>
      </c>
      <c r="X2067" t="str">
        <f>IF($B2067="","",_xll.BDP($B2067,"INDUSTRY_GROUP"))</f>
        <v/>
      </c>
      <c r="Y2067" t="str">
        <f>IF($B2067="","",_xll.BDP($B2067,"INDUSTRY_SUBGROUP"))</f>
        <v/>
      </c>
      <c r="Z2067" t="str">
        <f>IF($B2067="","",_xll.BDP($B2067,"COUNTRY_FULL_NAME"))</f>
        <v/>
      </c>
    </row>
    <row r="2068" spans="15:26" x14ac:dyDescent="0.25">
      <c r="O2068"/>
      <c r="P2068"/>
      <c r="Q2068"/>
      <c r="W2068" t="str">
        <f>IF(B2068="","",_xll.BDP(B2068,"INDUSTRY_SECTOR"))</f>
        <v/>
      </c>
      <c r="X2068" t="str">
        <f>IF($B2068="","",_xll.BDP($B2068,"INDUSTRY_GROUP"))</f>
        <v/>
      </c>
      <c r="Y2068" t="str">
        <f>IF($B2068="","",_xll.BDP($B2068,"INDUSTRY_SUBGROUP"))</f>
        <v/>
      </c>
      <c r="Z2068" t="str">
        <f>IF($B2068="","",_xll.BDP($B2068,"COUNTRY_FULL_NAME"))</f>
        <v/>
      </c>
    </row>
    <row r="2069" spans="15:26" x14ac:dyDescent="0.25">
      <c r="O2069"/>
      <c r="P2069"/>
      <c r="Q2069"/>
      <c r="W2069" t="str">
        <f>IF(B2069="","",_xll.BDP(B2069,"INDUSTRY_SECTOR"))</f>
        <v/>
      </c>
      <c r="X2069" t="str">
        <f>IF($B2069="","",_xll.BDP($B2069,"INDUSTRY_GROUP"))</f>
        <v/>
      </c>
      <c r="Y2069" t="str">
        <f>IF($B2069="","",_xll.BDP($B2069,"INDUSTRY_SUBGROUP"))</f>
        <v/>
      </c>
      <c r="Z2069" t="str">
        <f>IF($B2069="","",_xll.BDP($B2069,"COUNTRY_FULL_NAME"))</f>
        <v/>
      </c>
    </row>
    <row r="2070" spans="15:26" x14ac:dyDescent="0.25">
      <c r="O2070"/>
      <c r="P2070"/>
      <c r="Q2070"/>
      <c r="W2070" t="str">
        <f>IF(B2070="","",_xll.BDP(B2070,"INDUSTRY_SECTOR"))</f>
        <v/>
      </c>
      <c r="X2070" t="str">
        <f>IF($B2070="","",_xll.BDP($B2070,"INDUSTRY_GROUP"))</f>
        <v/>
      </c>
      <c r="Y2070" t="str">
        <f>IF($B2070="","",_xll.BDP($B2070,"INDUSTRY_SUBGROUP"))</f>
        <v/>
      </c>
      <c r="Z2070" t="str">
        <f>IF($B2070="","",_xll.BDP($B2070,"COUNTRY_FULL_NAME"))</f>
        <v/>
      </c>
    </row>
    <row r="2071" spans="15:26" x14ac:dyDescent="0.25">
      <c r="O2071"/>
      <c r="P2071"/>
      <c r="Q2071"/>
      <c r="W2071" t="str">
        <f>IF(B2071="","",_xll.BDP(B2071,"INDUSTRY_SECTOR"))</f>
        <v/>
      </c>
      <c r="X2071" t="str">
        <f>IF($B2071="","",_xll.BDP($B2071,"INDUSTRY_GROUP"))</f>
        <v/>
      </c>
      <c r="Y2071" t="str">
        <f>IF($B2071="","",_xll.BDP($B2071,"INDUSTRY_SUBGROUP"))</f>
        <v/>
      </c>
      <c r="Z2071" t="str">
        <f>IF($B2071="","",_xll.BDP($B2071,"COUNTRY_FULL_NAME"))</f>
        <v/>
      </c>
    </row>
    <row r="2072" spans="15:26" x14ac:dyDescent="0.25">
      <c r="O2072"/>
      <c r="P2072"/>
      <c r="Q2072"/>
      <c r="W2072" t="str">
        <f>IF(B2072="","",_xll.BDP(B2072,"INDUSTRY_SECTOR"))</f>
        <v/>
      </c>
      <c r="X2072" t="str">
        <f>IF($B2072="","",_xll.BDP($B2072,"INDUSTRY_GROUP"))</f>
        <v/>
      </c>
      <c r="Y2072" t="str">
        <f>IF($B2072="","",_xll.BDP($B2072,"INDUSTRY_SUBGROUP"))</f>
        <v/>
      </c>
      <c r="Z2072" t="str">
        <f>IF($B2072="","",_xll.BDP($B2072,"COUNTRY_FULL_NAME"))</f>
        <v/>
      </c>
    </row>
    <row r="2073" spans="15:26" x14ac:dyDescent="0.25">
      <c r="O2073"/>
      <c r="P2073"/>
      <c r="Q2073"/>
      <c r="W2073" t="str">
        <f>IF(B2073="","",_xll.BDP(B2073,"INDUSTRY_SECTOR"))</f>
        <v/>
      </c>
      <c r="X2073" t="str">
        <f>IF($B2073="","",_xll.BDP($B2073,"INDUSTRY_GROUP"))</f>
        <v/>
      </c>
      <c r="Y2073" t="str">
        <f>IF($B2073="","",_xll.BDP($B2073,"INDUSTRY_SUBGROUP"))</f>
        <v/>
      </c>
      <c r="Z2073" t="str">
        <f>IF($B2073="","",_xll.BDP($B2073,"COUNTRY_FULL_NAME"))</f>
        <v/>
      </c>
    </row>
    <row r="2074" spans="15:26" x14ac:dyDescent="0.25">
      <c r="O2074"/>
      <c r="P2074"/>
      <c r="Q2074"/>
      <c r="W2074" t="str">
        <f>IF(B2074="","",_xll.BDP(B2074,"INDUSTRY_SECTOR"))</f>
        <v/>
      </c>
      <c r="X2074" t="str">
        <f>IF($B2074="","",_xll.BDP($B2074,"INDUSTRY_GROUP"))</f>
        <v/>
      </c>
      <c r="Y2074" t="str">
        <f>IF($B2074="","",_xll.BDP($B2074,"INDUSTRY_SUBGROUP"))</f>
        <v/>
      </c>
      <c r="Z2074" t="str">
        <f>IF($B2074="","",_xll.BDP($B2074,"COUNTRY_FULL_NAME"))</f>
        <v/>
      </c>
    </row>
    <row r="2075" spans="15:26" x14ac:dyDescent="0.25">
      <c r="O2075"/>
      <c r="P2075"/>
      <c r="Q2075"/>
      <c r="W2075" t="str">
        <f>IF(B2075="","",_xll.BDP(B2075,"INDUSTRY_SECTOR"))</f>
        <v/>
      </c>
      <c r="X2075" t="str">
        <f>IF($B2075="","",_xll.BDP($B2075,"INDUSTRY_GROUP"))</f>
        <v/>
      </c>
      <c r="Y2075" t="str">
        <f>IF($B2075="","",_xll.BDP($B2075,"INDUSTRY_SUBGROUP"))</f>
        <v/>
      </c>
      <c r="Z2075" t="str">
        <f>IF($B2075="","",_xll.BDP($B2075,"COUNTRY_FULL_NAME"))</f>
        <v/>
      </c>
    </row>
    <row r="2076" spans="15:26" x14ac:dyDescent="0.25">
      <c r="O2076"/>
      <c r="P2076"/>
      <c r="Q2076"/>
      <c r="W2076" t="str">
        <f>IF(B2076="","",_xll.BDP(B2076,"INDUSTRY_SECTOR"))</f>
        <v/>
      </c>
      <c r="X2076" t="str">
        <f>IF($B2076="","",_xll.BDP($B2076,"INDUSTRY_GROUP"))</f>
        <v/>
      </c>
      <c r="Y2076" t="str">
        <f>IF($B2076="","",_xll.BDP($B2076,"INDUSTRY_SUBGROUP"))</f>
        <v/>
      </c>
      <c r="Z2076" t="str">
        <f>IF($B2076="","",_xll.BDP($B2076,"COUNTRY_FULL_NAME"))</f>
        <v/>
      </c>
    </row>
    <row r="2077" spans="15:26" x14ac:dyDescent="0.25">
      <c r="O2077"/>
      <c r="P2077"/>
      <c r="Q2077"/>
      <c r="W2077" t="str">
        <f>IF(B2077="","",_xll.BDP(B2077,"INDUSTRY_SECTOR"))</f>
        <v/>
      </c>
      <c r="X2077" t="str">
        <f>IF($B2077="","",_xll.BDP($B2077,"INDUSTRY_GROUP"))</f>
        <v/>
      </c>
      <c r="Y2077" t="str">
        <f>IF($B2077="","",_xll.BDP($B2077,"INDUSTRY_SUBGROUP"))</f>
        <v/>
      </c>
      <c r="Z2077" t="str">
        <f>IF($B2077="","",_xll.BDP($B2077,"COUNTRY_FULL_NAME"))</f>
        <v/>
      </c>
    </row>
    <row r="2078" spans="15:26" x14ac:dyDescent="0.25">
      <c r="O2078"/>
      <c r="P2078"/>
      <c r="Q2078"/>
      <c r="W2078" t="str">
        <f>IF(B2078="","",_xll.BDP(B2078,"INDUSTRY_SECTOR"))</f>
        <v/>
      </c>
      <c r="X2078" t="str">
        <f>IF($B2078="","",_xll.BDP($B2078,"INDUSTRY_GROUP"))</f>
        <v/>
      </c>
      <c r="Y2078" t="str">
        <f>IF($B2078="","",_xll.BDP($B2078,"INDUSTRY_SUBGROUP"))</f>
        <v/>
      </c>
      <c r="Z2078" t="str">
        <f>IF($B2078="","",_xll.BDP($B2078,"COUNTRY_FULL_NAME"))</f>
        <v/>
      </c>
    </row>
    <row r="2079" spans="15:26" x14ac:dyDescent="0.25">
      <c r="O2079"/>
      <c r="P2079"/>
      <c r="Q2079"/>
      <c r="W2079" t="str">
        <f>IF(B2079="","",_xll.BDP(B2079,"INDUSTRY_SECTOR"))</f>
        <v/>
      </c>
      <c r="X2079" t="str">
        <f>IF($B2079="","",_xll.BDP($B2079,"INDUSTRY_GROUP"))</f>
        <v/>
      </c>
      <c r="Y2079" t="str">
        <f>IF($B2079="","",_xll.BDP($B2079,"INDUSTRY_SUBGROUP"))</f>
        <v/>
      </c>
      <c r="Z2079" t="str">
        <f>IF($B2079="","",_xll.BDP($B2079,"COUNTRY_FULL_NAME"))</f>
        <v/>
      </c>
    </row>
    <row r="2080" spans="15:26" x14ac:dyDescent="0.25">
      <c r="O2080"/>
      <c r="P2080"/>
      <c r="Q2080"/>
      <c r="W2080" t="str">
        <f>IF(B2080="","",_xll.BDP(B2080,"INDUSTRY_SECTOR"))</f>
        <v/>
      </c>
      <c r="X2080" t="str">
        <f>IF($B2080="","",_xll.BDP($B2080,"INDUSTRY_GROUP"))</f>
        <v/>
      </c>
      <c r="Y2080" t="str">
        <f>IF($B2080="","",_xll.BDP($B2080,"INDUSTRY_SUBGROUP"))</f>
        <v/>
      </c>
      <c r="Z2080" t="str">
        <f>IF($B2080="","",_xll.BDP($B2080,"COUNTRY_FULL_NAME"))</f>
        <v/>
      </c>
    </row>
    <row r="2081" spans="15:26" x14ac:dyDescent="0.25">
      <c r="O2081"/>
      <c r="P2081"/>
      <c r="Q2081"/>
      <c r="W2081" t="str">
        <f>IF(B2081="","",_xll.BDP(B2081,"INDUSTRY_SECTOR"))</f>
        <v/>
      </c>
      <c r="X2081" t="str">
        <f>IF($B2081="","",_xll.BDP($B2081,"INDUSTRY_GROUP"))</f>
        <v/>
      </c>
      <c r="Y2081" t="str">
        <f>IF($B2081="","",_xll.BDP($B2081,"INDUSTRY_SUBGROUP"))</f>
        <v/>
      </c>
      <c r="Z2081" t="str">
        <f>IF($B2081="","",_xll.BDP($B2081,"COUNTRY_FULL_NAME"))</f>
        <v/>
      </c>
    </row>
    <row r="2082" spans="15:26" x14ac:dyDescent="0.25">
      <c r="O2082"/>
      <c r="P2082"/>
      <c r="Q2082"/>
      <c r="W2082" t="str">
        <f>IF(B2082="","",_xll.BDP(B2082,"INDUSTRY_SECTOR"))</f>
        <v/>
      </c>
      <c r="X2082" t="str">
        <f>IF($B2082="","",_xll.BDP($B2082,"INDUSTRY_GROUP"))</f>
        <v/>
      </c>
      <c r="Y2082" t="str">
        <f>IF($B2082="","",_xll.BDP($B2082,"INDUSTRY_SUBGROUP"))</f>
        <v/>
      </c>
      <c r="Z2082" t="str">
        <f>IF($B2082="","",_xll.BDP($B2082,"COUNTRY_FULL_NAME"))</f>
        <v/>
      </c>
    </row>
    <row r="2083" spans="15:26" x14ac:dyDescent="0.25">
      <c r="O2083"/>
      <c r="P2083"/>
      <c r="Q2083"/>
      <c r="W2083" t="str">
        <f>IF(B2083="","",_xll.BDP(B2083,"INDUSTRY_SECTOR"))</f>
        <v/>
      </c>
      <c r="X2083" t="str">
        <f>IF($B2083="","",_xll.BDP($B2083,"INDUSTRY_GROUP"))</f>
        <v/>
      </c>
      <c r="Y2083" t="str">
        <f>IF($B2083="","",_xll.BDP($B2083,"INDUSTRY_SUBGROUP"))</f>
        <v/>
      </c>
      <c r="Z2083" t="str">
        <f>IF($B2083="","",_xll.BDP($B2083,"COUNTRY_FULL_NAME"))</f>
        <v/>
      </c>
    </row>
    <row r="2084" spans="15:26" x14ac:dyDescent="0.25">
      <c r="O2084"/>
      <c r="P2084"/>
      <c r="Q2084"/>
      <c r="W2084" t="str">
        <f>IF(B2084="","",_xll.BDP(B2084,"INDUSTRY_SECTOR"))</f>
        <v/>
      </c>
      <c r="X2084" t="str">
        <f>IF($B2084="","",_xll.BDP($B2084,"INDUSTRY_GROUP"))</f>
        <v/>
      </c>
      <c r="Y2084" t="str">
        <f>IF($B2084="","",_xll.BDP($B2084,"INDUSTRY_SUBGROUP"))</f>
        <v/>
      </c>
      <c r="Z2084" t="str">
        <f>IF($B2084="","",_xll.BDP($B2084,"COUNTRY_FULL_NAME"))</f>
        <v/>
      </c>
    </row>
    <row r="2085" spans="15:26" x14ac:dyDescent="0.25">
      <c r="O2085"/>
      <c r="P2085"/>
      <c r="Q2085"/>
      <c r="W2085" t="str">
        <f>IF(B2085="","",_xll.BDP(B2085,"INDUSTRY_SECTOR"))</f>
        <v/>
      </c>
      <c r="X2085" t="str">
        <f>IF($B2085="","",_xll.BDP($B2085,"INDUSTRY_GROUP"))</f>
        <v/>
      </c>
      <c r="Y2085" t="str">
        <f>IF($B2085="","",_xll.BDP($B2085,"INDUSTRY_SUBGROUP"))</f>
        <v/>
      </c>
      <c r="Z2085" t="str">
        <f>IF($B2085="","",_xll.BDP($B2085,"COUNTRY_FULL_NAME"))</f>
        <v/>
      </c>
    </row>
    <row r="2086" spans="15:26" x14ac:dyDescent="0.25">
      <c r="O2086"/>
      <c r="P2086"/>
      <c r="Q2086"/>
      <c r="W2086" t="str">
        <f>IF(B2086="","",_xll.BDP(B2086,"INDUSTRY_SECTOR"))</f>
        <v/>
      </c>
      <c r="X2086" t="str">
        <f>IF($B2086="","",_xll.BDP($B2086,"INDUSTRY_GROUP"))</f>
        <v/>
      </c>
      <c r="Y2086" t="str">
        <f>IF($B2086="","",_xll.BDP($B2086,"INDUSTRY_SUBGROUP"))</f>
        <v/>
      </c>
      <c r="Z2086" t="str">
        <f>IF($B2086="","",_xll.BDP($B2086,"COUNTRY_FULL_NAME"))</f>
        <v/>
      </c>
    </row>
    <row r="2087" spans="15:26" x14ac:dyDescent="0.25">
      <c r="O2087"/>
      <c r="P2087"/>
      <c r="Q2087"/>
      <c r="W2087" t="str">
        <f>IF(B2087="","",_xll.BDP(B2087,"INDUSTRY_SECTOR"))</f>
        <v/>
      </c>
      <c r="X2087" t="str">
        <f>IF($B2087="","",_xll.BDP($B2087,"INDUSTRY_GROUP"))</f>
        <v/>
      </c>
      <c r="Y2087" t="str">
        <f>IF($B2087="","",_xll.BDP($B2087,"INDUSTRY_SUBGROUP"))</f>
        <v/>
      </c>
      <c r="Z2087" t="str">
        <f>IF($B2087="","",_xll.BDP($B2087,"COUNTRY_FULL_NAME"))</f>
        <v/>
      </c>
    </row>
    <row r="2088" spans="15:26" x14ac:dyDescent="0.25">
      <c r="O2088"/>
      <c r="P2088"/>
      <c r="Q2088"/>
      <c r="W2088" t="str">
        <f>IF(B2088="","",_xll.BDP(B2088,"INDUSTRY_SECTOR"))</f>
        <v/>
      </c>
      <c r="X2088" t="str">
        <f>IF($B2088="","",_xll.BDP($B2088,"INDUSTRY_GROUP"))</f>
        <v/>
      </c>
      <c r="Y2088" t="str">
        <f>IF($B2088="","",_xll.BDP($B2088,"INDUSTRY_SUBGROUP"))</f>
        <v/>
      </c>
      <c r="Z2088" t="str">
        <f>IF($B2088="","",_xll.BDP($B2088,"COUNTRY_FULL_NAME"))</f>
        <v/>
      </c>
    </row>
    <row r="2089" spans="15:26" x14ac:dyDescent="0.25">
      <c r="O2089"/>
      <c r="P2089"/>
      <c r="Q2089"/>
      <c r="W2089" t="str">
        <f>IF(B2089="","",_xll.BDP(B2089,"INDUSTRY_SECTOR"))</f>
        <v/>
      </c>
      <c r="X2089" t="str">
        <f>IF($B2089="","",_xll.BDP($B2089,"INDUSTRY_GROUP"))</f>
        <v/>
      </c>
      <c r="Y2089" t="str">
        <f>IF($B2089="","",_xll.BDP($B2089,"INDUSTRY_SUBGROUP"))</f>
        <v/>
      </c>
      <c r="Z2089" t="str">
        <f>IF($B2089="","",_xll.BDP($B2089,"COUNTRY_FULL_NAME"))</f>
        <v/>
      </c>
    </row>
    <row r="2090" spans="15:26" x14ac:dyDescent="0.25">
      <c r="O2090"/>
      <c r="P2090"/>
      <c r="Q2090"/>
      <c r="W2090" t="str">
        <f>IF(B2090="","",_xll.BDP(B2090,"INDUSTRY_SECTOR"))</f>
        <v/>
      </c>
      <c r="X2090" t="str">
        <f>IF($B2090="","",_xll.BDP($B2090,"INDUSTRY_GROUP"))</f>
        <v/>
      </c>
      <c r="Y2090" t="str">
        <f>IF($B2090="","",_xll.BDP($B2090,"INDUSTRY_SUBGROUP"))</f>
        <v/>
      </c>
      <c r="Z2090" t="str">
        <f>IF($B2090="","",_xll.BDP($B2090,"COUNTRY_FULL_NAME"))</f>
        <v/>
      </c>
    </row>
    <row r="2091" spans="15:26" x14ac:dyDescent="0.25">
      <c r="O2091"/>
      <c r="P2091"/>
      <c r="Q2091"/>
      <c r="W2091" t="str">
        <f>IF(B2091="","",_xll.BDP(B2091,"INDUSTRY_SECTOR"))</f>
        <v/>
      </c>
      <c r="X2091" t="str">
        <f>IF($B2091="","",_xll.BDP($B2091,"INDUSTRY_GROUP"))</f>
        <v/>
      </c>
      <c r="Y2091" t="str">
        <f>IF($B2091="","",_xll.BDP($B2091,"INDUSTRY_SUBGROUP"))</f>
        <v/>
      </c>
      <c r="Z2091" t="str">
        <f>IF($B2091="","",_xll.BDP($B2091,"COUNTRY_FULL_NAME"))</f>
        <v/>
      </c>
    </row>
    <row r="2092" spans="15:26" x14ac:dyDescent="0.25">
      <c r="O2092"/>
      <c r="P2092"/>
      <c r="Q2092"/>
      <c r="W2092" t="str">
        <f>IF(B2092="","",_xll.BDP(B2092,"INDUSTRY_SECTOR"))</f>
        <v/>
      </c>
      <c r="X2092" t="str">
        <f>IF($B2092="","",_xll.BDP($B2092,"INDUSTRY_GROUP"))</f>
        <v/>
      </c>
      <c r="Y2092" t="str">
        <f>IF($B2092="","",_xll.BDP($B2092,"INDUSTRY_SUBGROUP"))</f>
        <v/>
      </c>
      <c r="Z2092" t="str">
        <f>IF($B2092="","",_xll.BDP($B2092,"COUNTRY_FULL_NAME"))</f>
        <v/>
      </c>
    </row>
    <row r="2093" spans="15:26" x14ac:dyDescent="0.25">
      <c r="O2093"/>
      <c r="P2093"/>
      <c r="Q2093"/>
      <c r="W2093" t="str">
        <f>IF(B2093="","",_xll.BDP(B2093,"INDUSTRY_SECTOR"))</f>
        <v/>
      </c>
      <c r="X2093" t="str">
        <f>IF($B2093="","",_xll.BDP($B2093,"INDUSTRY_GROUP"))</f>
        <v/>
      </c>
      <c r="Y2093" t="str">
        <f>IF($B2093="","",_xll.BDP($B2093,"INDUSTRY_SUBGROUP"))</f>
        <v/>
      </c>
      <c r="Z2093" t="str">
        <f>IF($B2093="","",_xll.BDP($B2093,"COUNTRY_FULL_NAME"))</f>
        <v/>
      </c>
    </row>
    <row r="2094" spans="15:26" x14ac:dyDescent="0.25">
      <c r="O2094"/>
      <c r="P2094"/>
      <c r="Q2094"/>
      <c r="W2094" t="str">
        <f>IF(B2094="","",_xll.BDP(B2094,"INDUSTRY_SECTOR"))</f>
        <v/>
      </c>
      <c r="X2094" t="str">
        <f>IF($B2094="","",_xll.BDP($B2094,"INDUSTRY_GROUP"))</f>
        <v/>
      </c>
      <c r="Y2094" t="str">
        <f>IF($B2094="","",_xll.BDP($B2094,"INDUSTRY_SUBGROUP"))</f>
        <v/>
      </c>
      <c r="Z2094" t="str">
        <f>IF($B2094="","",_xll.BDP($B2094,"COUNTRY_FULL_NAME"))</f>
        <v/>
      </c>
    </row>
    <row r="2095" spans="15:26" x14ac:dyDescent="0.25">
      <c r="O2095"/>
      <c r="P2095"/>
      <c r="Q2095"/>
      <c r="W2095" t="str">
        <f>IF(B2095="","",_xll.BDP(B2095,"INDUSTRY_SECTOR"))</f>
        <v/>
      </c>
      <c r="X2095" t="str">
        <f>IF($B2095="","",_xll.BDP($B2095,"INDUSTRY_GROUP"))</f>
        <v/>
      </c>
      <c r="Y2095" t="str">
        <f>IF($B2095="","",_xll.BDP($B2095,"INDUSTRY_SUBGROUP"))</f>
        <v/>
      </c>
      <c r="Z2095" t="str">
        <f>IF($B2095="","",_xll.BDP($B2095,"COUNTRY_FULL_NAME"))</f>
        <v/>
      </c>
    </row>
    <row r="2096" spans="15:26" x14ac:dyDescent="0.25">
      <c r="O2096"/>
      <c r="P2096"/>
      <c r="Q2096"/>
      <c r="W2096" t="str">
        <f>IF(B2096="","",_xll.BDP(B2096,"INDUSTRY_SECTOR"))</f>
        <v/>
      </c>
      <c r="X2096" t="str">
        <f>IF($B2096="","",_xll.BDP($B2096,"INDUSTRY_GROUP"))</f>
        <v/>
      </c>
      <c r="Y2096" t="str">
        <f>IF($B2096="","",_xll.BDP($B2096,"INDUSTRY_SUBGROUP"))</f>
        <v/>
      </c>
      <c r="Z2096" t="str">
        <f>IF($B2096="","",_xll.BDP($B2096,"COUNTRY_FULL_NAME"))</f>
        <v/>
      </c>
    </row>
    <row r="2097" spans="15:26" x14ac:dyDescent="0.25">
      <c r="O2097"/>
      <c r="P2097"/>
      <c r="Q2097"/>
      <c r="W2097" t="str">
        <f>IF(B2097="","",_xll.BDP(B2097,"INDUSTRY_SECTOR"))</f>
        <v/>
      </c>
      <c r="X2097" t="str">
        <f>IF($B2097="","",_xll.BDP($B2097,"INDUSTRY_GROUP"))</f>
        <v/>
      </c>
      <c r="Y2097" t="str">
        <f>IF($B2097="","",_xll.BDP($B2097,"INDUSTRY_SUBGROUP"))</f>
        <v/>
      </c>
      <c r="Z2097" t="str">
        <f>IF($B2097="","",_xll.BDP($B2097,"COUNTRY_FULL_NAME"))</f>
        <v/>
      </c>
    </row>
    <row r="2098" spans="15:26" x14ac:dyDescent="0.25">
      <c r="O2098"/>
      <c r="P2098"/>
      <c r="Q2098"/>
      <c r="W2098" t="str">
        <f>IF(B2098="","",_xll.BDP(B2098,"INDUSTRY_SECTOR"))</f>
        <v/>
      </c>
      <c r="X2098" t="str">
        <f>IF($B2098="","",_xll.BDP($B2098,"INDUSTRY_GROUP"))</f>
        <v/>
      </c>
      <c r="Y2098" t="str">
        <f>IF($B2098="","",_xll.BDP($B2098,"INDUSTRY_SUBGROUP"))</f>
        <v/>
      </c>
      <c r="Z2098" t="str">
        <f>IF($B2098="","",_xll.BDP($B2098,"COUNTRY_FULL_NAME"))</f>
        <v/>
      </c>
    </row>
    <row r="2099" spans="15:26" x14ac:dyDescent="0.25">
      <c r="O2099"/>
      <c r="P2099"/>
      <c r="Q2099"/>
      <c r="W2099" t="str">
        <f>IF(B2099="","",_xll.BDP(B2099,"INDUSTRY_SECTOR"))</f>
        <v/>
      </c>
      <c r="X2099" t="str">
        <f>IF($B2099="","",_xll.BDP($B2099,"INDUSTRY_GROUP"))</f>
        <v/>
      </c>
      <c r="Y2099" t="str">
        <f>IF($B2099="","",_xll.BDP($B2099,"INDUSTRY_SUBGROUP"))</f>
        <v/>
      </c>
      <c r="Z2099" t="str">
        <f>IF($B2099="","",_xll.BDP($B2099,"COUNTRY_FULL_NAME"))</f>
        <v/>
      </c>
    </row>
    <row r="2100" spans="15:26" x14ac:dyDescent="0.25">
      <c r="O2100"/>
      <c r="P2100"/>
      <c r="Q2100"/>
      <c r="W2100" t="str">
        <f>IF(B2100="","",_xll.BDP(B2100,"INDUSTRY_SECTOR"))</f>
        <v/>
      </c>
      <c r="X2100" t="str">
        <f>IF($B2100="","",_xll.BDP($B2100,"INDUSTRY_GROUP"))</f>
        <v/>
      </c>
      <c r="Y2100" t="str">
        <f>IF($B2100="","",_xll.BDP($B2100,"INDUSTRY_SUBGROUP"))</f>
        <v/>
      </c>
      <c r="Z2100" t="str">
        <f>IF($B2100="","",_xll.BDP($B2100,"COUNTRY_FULL_NAME"))</f>
        <v/>
      </c>
    </row>
    <row r="2101" spans="15:26" x14ac:dyDescent="0.25">
      <c r="O2101"/>
      <c r="P2101"/>
      <c r="Q2101"/>
      <c r="W2101" t="str">
        <f>IF(B2101="","",_xll.BDP(B2101,"INDUSTRY_SECTOR"))</f>
        <v/>
      </c>
      <c r="X2101" t="str">
        <f>IF($B2101="","",_xll.BDP($B2101,"INDUSTRY_GROUP"))</f>
        <v/>
      </c>
      <c r="Y2101" t="str">
        <f>IF($B2101="","",_xll.BDP($B2101,"INDUSTRY_SUBGROUP"))</f>
        <v/>
      </c>
      <c r="Z2101" t="str">
        <f>IF($B2101="","",_xll.BDP($B2101,"COUNTRY_FULL_NAME"))</f>
        <v/>
      </c>
    </row>
    <row r="2102" spans="15:26" x14ac:dyDescent="0.25">
      <c r="O2102"/>
      <c r="P2102"/>
      <c r="Q2102"/>
      <c r="W2102" t="str">
        <f>IF(B2102="","",_xll.BDP(B2102,"INDUSTRY_SECTOR"))</f>
        <v/>
      </c>
      <c r="X2102" t="str">
        <f>IF($B2102="","",_xll.BDP($B2102,"INDUSTRY_GROUP"))</f>
        <v/>
      </c>
      <c r="Y2102" t="str">
        <f>IF($B2102="","",_xll.BDP($B2102,"INDUSTRY_SUBGROUP"))</f>
        <v/>
      </c>
      <c r="Z2102" t="str">
        <f>IF($B2102="","",_xll.BDP($B2102,"COUNTRY_FULL_NAME"))</f>
        <v/>
      </c>
    </row>
    <row r="2103" spans="15:26" x14ac:dyDescent="0.25">
      <c r="O2103"/>
      <c r="P2103"/>
      <c r="Q2103"/>
      <c r="W2103" t="str">
        <f>IF(B2103="","",_xll.BDP(B2103,"INDUSTRY_SECTOR"))</f>
        <v/>
      </c>
      <c r="X2103" t="str">
        <f>IF($B2103="","",_xll.BDP($B2103,"INDUSTRY_GROUP"))</f>
        <v/>
      </c>
      <c r="Y2103" t="str">
        <f>IF($B2103="","",_xll.BDP($B2103,"INDUSTRY_SUBGROUP"))</f>
        <v/>
      </c>
      <c r="Z2103" t="str">
        <f>IF($B2103="","",_xll.BDP($B2103,"COUNTRY_FULL_NAME"))</f>
        <v/>
      </c>
    </row>
    <row r="2104" spans="15:26" x14ac:dyDescent="0.25">
      <c r="O2104"/>
      <c r="P2104"/>
      <c r="Q2104"/>
      <c r="W2104" t="str">
        <f>IF(B2104="","",_xll.BDP(B2104,"INDUSTRY_SECTOR"))</f>
        <v/>
      </c>
      <c r="X2104" t="str">
        <f>IF($B2104="","",_xll.BDP($B2104,"INDUSTRY_GROUP"))</f>
        <v/>
      </c>
      <c r="Y2104" t="str">
        <f>IF($B2104="","",_xll.BDP($B2104,"INDUSTRY_SUBGROUP"))</f>
        <v/>
      </c>
      <c r="Z2104" t="str">
        <f>IF($B2104="","",_xll.BDP($B2104,"COUNTRY_FULL_NAME"))</f>
        <v/>
      </c>
    </row>
    <row r="2105" spans="15:26" x14ac:dyDescent="0.25">
      <c r="O2105"/>
      <c r="P2105"/>
      <c r="Q2105"/>
      <c r="W2105" t="str">
        <f>IF(B2105="","",_xll.BDP(B2105,"INDUSTRY_SECTOR"))</f>
        <v/>
      </c>
      <c r="X2105" t="str">
        <f>IF($B2105="","",_xll.BDP($B2105,"INDUSTRY_GROUP"))</f>
        <v/>
      </c>
      <c r="Y2105" t="str">
        <f>IF($B2105="","",_xll.BDP($B2105,"INDUSTRY_SUBGROUP"))</f>
        <v/>
      </c>
      <c r="Z2105" t="str">
        <f>IF($B2105="","",_xll.BDP($B2105,"COUNTRY_FULL_NAME"))</f>
        <v/>
      </c>
    </row>
    <row r="2106" spans="15:26" x14ac:dyDescent="0.25">
      <c r="O2106"/>
      <c r="P2106"/>
      <c r="Q2106"/>
      <c r="W2106" t="str">
        <f>IF(B2106="","",_xll.BDP(B2106,"INDUSTRY_SECTOR"))</f>
        <v/>
      </c>
      <c r="X2106" t="str">
        <f>IF($B2106="","",_xll.BDP($B2106,"INDUSTRY_GROUP"))</f>
        <v/>
      </c>
      <c r="Y2106" t="str">
        <f>IF($B2106="","",_xll.BDP($B2106,"INDUSTRY_SUBGROUP"))</f>
        <v/>
      </c>
      <c r="Z2106" t="str">
        <f>IF($B2106="","",_xll.BDP($B2106,"COUNTRY_FULL_NAME"))</f>
        <v/>
      </c>
    </row>
    <row r="2107" spans="15:26" x14ac:dyDescent="0.25">
      <c r="O2107"/>
      <c r="P2107"/>
      <c r="Q2107"/>
      <c r="W2107" t="str">
        <f>IF(B2107="","",_xll.BDP(B2107,"INDUSTRY_SECTOR"))</f>
        <v/>
      </c>
      <c r="X2107" t="str">
        <f>IF($B2107="","",_xll.BDP($B2107,"INDUSTRY_GROUP"))</f>
        <v/>
      </c>
      <c r="Y2107" t="str">
        <f>IF($B2107="","",_xll.BDP($B2107,"INDUSTRY_SUBGROUP"))</f>
        <v/>
      </c>
      <c r="Z2107" t="str">
        <f>IF($B2107="","",_xll.BDP($B2107,"COUNTRY_FULL_NAME"))</f>
        <v/>
      </c>
    </row>
    <row r="2108" spans="15:26" x14ac:dyDescent="0.25">
      <c r="O2108"/>
      <c r="P2108"/>
      <c r="Q2108"/>
      <c r="W2108" t="str">
        <f>IF(B2108="","",_xll.BDP(B2108,"INDUSTRY_SECTOR"))</f>
        <v/>
      </c>
      <c r="X2108" t="str">
        <f>IF($B2108="","",_xll.BDP($B2108,"INDUSTRY_GROUP"))</f>
        <v/>
      </c>
      <c r="Y2108" t="str">
        <f>IF($B2108="","",_xll.BDP($B2108,"INDUSTRY_SUBGROUP"))</f>
        <v/>
      </c>
      <c r="Z2108" t="str">
        <f>IF($B2108="","",_xll.BDP($B2108,"COUNTRY_FULL_NAME"))</f>
        <v/>
      </c>
    </row>
    <row r="2109" spans="15:26" x14ac:dyDescent="0.25">
      <c r="O2109"/>
      <c r="P2109"/>
      <c r="Q2109"/>
      <c r="W2109" t="str">
        <f>IF(B2109="","",_xll.BDP(B2109,"INDUSTRY_SECTOR"))</f>
        <v/>
      </c>
      <c r="X2109" t="str">
        <f>IF($B2109="","",_xll.BDP($B2109,"INDUSTRY_GROUP"))</f>
        <v/>
      </c>
      <c r="Y2109" t="str">
        <f>IF($B2109="","",_xll.BDP($B2109,"INDUSTRY_SUBGROUP"))</f>
        <v/>
      </c>
      <c r="Z2109" t="str">
        <f>IF($B2109="","",_xll.BDP($B2109,"COUNTRY_FULL_NAME"))</f>
        <v/>
      </c>
    </row>
    <row r="2110" spans="15:26" x14ac:dyDescent="0.25">
      <c r="O2110"/>
      <c r="P2110"/>
      <c r="Q2110"/>
      <c r="W2110" t="str">
        <f>IF(B2110="","",_xll.BDP(B2110,"INDUSTRY_SECTOR"))</f>
        <v/>
      </c>
      <c r="X2110" t="str">
        <f>IF($B2110="","",_xll.BDP($B2110,"INDUSTRY_GROUP"))</f>
        <v/>
      </c>
      <c r="Y2110" t="str">
        <f>IF($B2110="","",_xll.BDP($B2110,"INDUSTRY_SUBGROUP"))</f>
        <v/>
      </c>
      <c r="Z2110" t="str">
        <f>IF($B2110="","",_xll.BDP($B2110,"COUNTRY_FULL_NAME"))</f>
        <v/>
      </c>
    </row>
    <row r="2111" spans="15:26" x14ac:dyDescent="0.25">
      <c r="O2111"/>
      <c r="P2111"/>
      <c r="Q2111"/>
      <c r="W2111" t="str">
        <f>IF(B2111="","",_xll.BDP(B2111,"INDUSTRY_SECTOR"))</f>
        <v/>
      </c>
      <c r="X2111" t="str">
        <f>IF($B2111="","",_xll.BDP($B2111,"INDUSTRY_GROUP"))</f>
        <v/>
      </c>
      <c r="Y2111" t="str">
        <f>IF($B2111="","",_xll.BDP($B2111,"INDUSTRY_SUBGROUP"))</f>
        <v/>
      </c>
      <c r="Z2111" t="str">
        <f>IF($B2111="","",_xll.BDP($B2111,"COUNTRY_FULL_NAME"))</f>
        <v/>
      </c>
    </row>
    <row r="2112" spans="15:26" x14ac:dyDescent="0.25">
      <c r="O2112"/>
      <c r="P2112"/>
      <c r="Q2112"/>
      <c r="W2112" t="str">
        <f>IF(B2112="","",_xll.BDP(B2112,"INDUSTRY_SECTOR"))</f>
        <v/>
      </c>
      <c r="X2112" t="str">
        <f>IF($B2112="","",_xll.BDP($B2112,"INDUSTRY_GROUP"))</f>
        <v/>
      </c>
      <c r="Y2112" t="str">
        <f>IF($B2112="","",_xll.BDP($B2112,"INDUSTRY_SUBGROUP"))</f>
        <v/>
      </c>
      <c r="Z2112" t="str">
        <f>IF($B2112="","",_xll.BDP($B2112,"COUNTRY_FULL_NAME"))</f>
        <v/>
      </c>
    </row>
    <row r="2113" spans="15:26" x14ac:dyDescent="0.25">
      <c r="O2113"/>
      <c r="P2113"/>
      <c r="Q2113"/>
      <c r="W2113" t="str">
        <f>IF(B2113="","",_xll.BDP(B2113,"INDUSTRY_SECTOR"))</f>
        <v/>
      </c>
      <c r="X2113" t="str">
        <f>IF($B2113="","",_xll.BDP($B2113,"INDUSTRY_GROUP"))</f>
        <v/>
      </c>
      <c r="Y2113" t="str">
        <f>IF($B2113="","",_xll.BDP($B2113,"INDUSTRY_SUBGROUP"))</f>
        <v/>
      </c>
      <c r="Z2113" t="str">
        <f>IF($B2113="","",_xll.BDP($B2113,"COUNTRY_FULL_NAME"))</f>
        <v/>
      </c>
    </row>
    <row r="2114" spans="15:26" x14ac:dyDescent="0.25">
      <c r="O2114"/>
      <c r="P2114"/>
      <c r="Q2114"/>
      <c r="W2114" t="str">
        <f>IF(B2114="","",_xll.BDP(B2114,"INDUSTRY_SECTOR"))</f>
        <v/>
      </c>
      <c r="X2114" t="str">
        <f>IF($B2114="","",_xll.BDP($B2114,"INDUSTRY_GROUP"))</f>
        <v/>
      </c>
      <c r="Y2114" t="str">
        <f>IF($B2114="","",_xll.BDP($B2114,"INDUSTRY_SUBGROUP"))</f>
        <v/>
      </c>
      <c r="Z2114" t="str">
        <f>IF($B2114="","",_xll.BDP($B2114,"COUNTRY_FULL_NAME"))</f>
        <v/>
      </c>
    </row>
    <row r="2115" spans="15:26" x14ac:dyDescent="0.25">
      <c r="O2115"/>
      <c r="P2115"/>
      <c r="Q2115"/>
      <c r="W2115" t="str">
        <f>IF(B2115="","",_xll.BDP(B2115,"INDUSTRY_SECTOR"))</f>
        <v/>
      </c>
      <c r="X2115" t="str">
        <f>IF($B2115="","",_xll.BDP($B2115,"INDUSTRY_GROUP"))</f>
        <v/>
      </c>
      <c r="Y2115" t="str">
        <f>IF($B2115="","",_xll.BDP($B2115,"INDUSTRY_SUBGROUP"))</f>
        <v/>
      </c>
      <c r="Z2115" t="str">
        <f>IF($B2115="","",_xll.BDP($B2115,"COUNTRY_FULL_NAME"))</f>
        <v/>
      </c>
    </row>
    <row r="2116" spans="15:26" x14ac:dyDescent="0.25">
      <c r="O2116"/>
      <c r="P2116"/>
      <c r="Q2116"/>
      <c r="W2116" t="str">
        <f>IF(B2116="","",_xll.BDP(B2116,"INDUSTRY_SECTOR"))</f>
        <v/>
      </c>
      <c r="X2116" t="str">
        <f>IF($B2116="","",_xll.BDP($B2116,"INDUSTRY_GROUP"))</f>
        <v/>
      </c>
      <c r="Y2116" t="str">
        <f>IF($B2116="","",_xll.BDP($B2116,"INDUSTRY_SUBGROUP"))</f>
        <v/>
      </c>
      <c r="Z2116" t="str">
        <f>IF($B2116="","",_xll.BDP($B2116,"COUNTRY_FULL_NAME"))</f>
        <v/>
      </c>
    </row>
    <row r="2117" spans="15:26" x14ac:dyDescent="0.25">
      <c r="O2117"/>
      <c r="P2117"/>
      <c r="Q2117"/>
      <c r="W2117" t="str">
        <f>IF(B2117="","",_xll.BDP(B2117,"INDUSTRY_SECTOR"))</f>
        <v/>
      </c>
      <c r="X2117" t="str">
        <f>IF($B2117="","",_xll.BDP($B2117,"INDUSTRY_GROUP"))</f>
        <v/>
      </c>
      <c r="Y2117" t="str">
        <f>IF($B2117="","",_xll.BDP($B2117,"INDUSTRY_SUBGROUP"))</f>
        <v/>
      </c>
      <c r="Z2117" t="str">
        <f>IF($B2117="","",_xll.BDP($B2117,"COUNTRY_FULL_NAME"))</f>
        <v/>
      </c>
    </row>
    <row r="2118" spans="15:26" x14ac:dyDescent="0.25">
      <c r="O2118"/>
      <c r="P2118"/>
      <c r="Q2118"/>
      <c r="W2118" t="str">
        <f>IF(B2118="","",_xll.BDP(B2118,"INDUSTRY_SECTOR"))</f>
        <v/>
      </c>
      <c r="X2118" t="str">
        <f>IF($B2118="","",_xll.BDP($B2118,"INDUSTRY_GROUP"))</f>
        <v/>
      </c>
      <c r="Y2118" t="str">
        <f>IF($B2118="","",_xll.BDP($B2118,"INDUSTRY_SUBGROUP"))</f>
        <v/>
      </c>
      <c r="Z2118" t="str">
        <f>IF($B2118="","",_xll.BDP($B2118,"COUNTRY_FULL_NAME"))</f>
        <v/>
      </c>
    </row>
    <row r="2119" spans="15:26" x14ac:dyDescent="0.25">
      <c r="O2119"/>
      <c r="P2119"/>
      <c r="Q2119"/>
      <c r="W2119" t="str">
        <f>IF(B2119="","",_xll.BDP(B2119,"INDUSTRY_SECTOR"))</f>
        <v/>
      </c>
      <c r="X2119" t="str">
        <f>IF($B2119="","",_xll.BDP($B2119,"INDUSTRY_GROUP"))</f>
        <v/>
      </c>
      <c r="Y2119" t="str">
        <f>IF($B2119="","",_xll.BDP($B2119,"INDUSTRY_SUBGROUP"))</f>
        <v/>
      </c>
      <c r="Z2119" t="str">
        <f>IF($B2119="","",_xll.BDP($B2119,"COUNTRY_FULL_NAME"))</f>
        <v/>
      </c>
    </row>
    <row r="2120" spans="15:26" x14ac:dyDescent="0.25">
      <c r="O2120"/>
      <c r="P2120"/>
      <c r="Q2120"/>
      <c r="W2120" t="str">
        <f>IF(B2120="","",_xll.BDP(B2120,"INDUSTRY_SECTOR"))</f>
        <v/>
      </c>
      <c r="X2120" t="str">
        <f>IF($B2120="","",_xll.BDP($B2120,"INDUSTRY_GROUP"))</f>
        <v/>
      </c>
      <c r="Y2120" t="str">
        <f>IF($B2120="","",_xll.BDP($B2120,"INDUSTRY_SUBGROUP"))</f>
        <v/>
      </c>
      <c r="Z2120" t="str">
        <f>IF($B2120="","",_xll.BDP($B2120,"COUNTRY_FULL_NAME"))</f>
        <v/>
      </c>
    </row>
    <row r="2121" spans="15:26" x14ac:dyDescent="0.25">
      <c r="O2121"/>
      <c r="P2121"/>
      <c r="Q2121"/>
      <c r="W2121" t="str">
        <f>IF(B2121="","",_xll.BDP(B2121,"INDUSTRY_SECTOR"))</f>
        <v/>
      </c>
      <c r="X2121" t="str">
        <f>IF($B2121="","",_xll.BDP($B2121,"INDUSTRY_GROUP"))</f>
        <v/>
      </c>
      <c r="Y2121" t="str">
        <f>IF($B2121="","",_xll.BDP($B2121,"INDUSTRY_SUBGROUP"))</f>
        <v/>
      </c>
      <c r="Z2121" t="str">
        <f>IF($B2121="","",_xll.BDP($B2121,"COUNTRY_FULL_NAME"))</f>
        <v/>
      </c>
    </row>
    <row r="2122" spans="15:26" x14ac:dyDescent="0.25">
      <c r="O2122"/>
      <c r="P2122"/>
      <c r="Q2122"/>
      <c r="W2122" t="str">
        <f>IF(B2122="","",_xll.BDP(B2122,"INDUSTRY_SECTOR"))</f>
        <v/>
      </c>
      <c r="X2122" t="str">
        <f>IF($B2122="","",_xll.BDP($B2122,"INDUSTRY_GROUP"))</f>
        <v/>
      </c>
      <c r="Y2122" t="str">
        <f>IF($B2122="","",_xll.BDP($B2122,"INDUSTRY_SUBGROUP"))</f>
        <v/>
      </c>
      <c r="Z2122" t="str">
        <f>IF($B2122="","",_xll.BDP($B2122,"COUNTRY_FULL_NAME"))</f>
        <v/>
      </c>
    </row>
    <row r="2123" spans="15:26" x14ac:dyDescent="0.25">
      <c r="O2123"/>
      <c r="P2123"/>
      <c r="Q2123"/>
      <c r="W2123" t="str">
        <f>IF(B2123="","",_xll.BDP(B2123,"INDUSTRY_SECTOR"))</f>
        <v/>
      </c>
      <c r="X2123" t="str">
        <f>IF($B2123="","",_xll.BDP($B2123,"INDUSTRY_GROUP"))</f>
        <v/>
      </c>
      <c r="Y2123" t="str">
        <f>IF($B2123="","",_xll.BDP($B2123,"INDUSTRY_SUBGROUP"))</f>
        <v/>
      </c>
      <c r="Z2123" t="str">
        <f>IF($B2123="","",_xll.BDP($B2123,"COUNTRY_FULL_NAME"))</f>
        <v/>
      </c>
    </row>
    <row r="2124" spans="15:26" x14ac:dyDescent="0.25">
      <c r="O2124"/>
      <c r="P2124"/>
      <c r="Q2124"/>
      <c r="W2124" t="str">
        <f>IF(B2124="","",_xll.BDP(B2124,"INDUSTRY_SECTOR"))</f>
        <v/>
      </c>
      <c r="X2124" t="str">
        <f>IF($B2124="","",_xll.BDP($B2124,"INDUSTRY_GROUP"))</f>
        <v/>
      </c>
      <c r="Y2124" t="str">
        <f>IF($B2124="","",_xll.BDP($B2124,"INDUSTRY_SUBGROUP"))</f>
        <v/>
      </c>
      <c r="Z2124" t="str">
        <f>IF($B2124="","",_xll.BDP($B2124,"COUNTRY_FULL_NAME"))</f>
        <v/>
      </c>
    </row>
    <row r="2125" spans="15:26" x14ac:dyDescent="0.25">
      <c r="O2125"/>
      <c r="P2125"/>
      <c r="Q2125"/>
      <c r="W2125" t="str">
        <f>IF(B2125="","",_xll.BDP(B2125,"INDUSTRY_SECTOR"))</f>
        <v/>
      </c>
      <c r="X2125" t="str">
        <f>IF($B2125="","",_xll.BDP($B2125,"INDUSTRY_GROUP"))</f>
        <v/>
      </c>
      <c r="Y2125" t="str">
        <f>IF($B2125="","",_xll.BDP($B2125,"INDUSTRY_SUBGROUP"))</f>
        <v/>
      </c>
      <c r="Z2125" t="str">
        <f>IF($B2125="","",_xll.BDP($B2125,"COUNTRY_FULL_NAME"))</f>
        <v/>
      </c>
    </row>
    <row r="2126" spans="15:26" x14ac:dyDescent="0.25">
      <c r="O2126"/>
      <c r="P2126"/>
      <c r="Q2126"/>
      <c r="W2126" t="str">
        <f>IF(B2126="","",_xll.BDP(B2126,"INDUSTRY_SECTOR"))</f>
        <v/>
      </c>
      <c r="X2126" t="str">
        <f>IF($B2126="","",_xll.BDP($B2126,"INDUSTRY_GROUP"))</f>
        <v/>
      </c>
      <c r="Y2126" t="str">
        <f>IF($B2126="","",_xll.BDP($B2126,"INDUSTRY_SUBGROUP"))</f>
        <v/>
      </c>
      <c r="Z2126" t="str">
        <f>IF($B2126="","",_xll.BDP($B2126,"COUNTRY_FULL_NAME"))</f>
        <v/>
      </c>
    </row>
    <row r="2127" spans="15:26" x14ac:dyDescent="0.25">
      <c r="O2127"/>
      <c r="P2127"/>
      <c r="Q2127"/>
      <c r="W2127" t="str">
        <f>IF(B2127="","",_xll.BDP(B2127,"INDUSTRY_SECTOR"))</f>
        <v/>
      </c>
      <c r="X2127" t="str">
        <f>IF($B2127="","",_xll.BDP($B2127,"INDUSTRY_GROUP"))</f>
        <v/>
      </c>
      <c r="Y2127" t="str">
        <f>IF($B2127="","",_xll.BDP($B2127,"INDUSTRY_SUBGROUP"))</f>
        <v/>
      </c>
      <c r="Z2127" t="str">
        <f>IF($B2127="","",_xll.BDP($B2127,"COUNTRY_FULL_NAME"))</f>
        <v/>
      </c>
    </row>
    <row r="2128" spans="15:26" x14ac:dyDescent="0.25">
      <c r="O2128"/>
      <c r="P2128"/>
      <c r="Q2128"/>
      <c r="W2128" t="str">
        <f>IF(B2128="","",_xll.BDP(B2128,"INDUSTRY_SECTOR"))</f>
        <v/>
      </c>
      <c r="X2128" t="str">
        <f>IF($B2128="","",_xll.BDP($B2128,"INDUSTRY_GROUP"))</f>
        <v/>
      </c>
      <c r="Y2128" t="str">
        <f>IF($B2128="","",_xll.BDP($B2128,"INDUSTRY_SUBGROUP"))</f>
        <v/>
      </c>
      <c r="Z2128" t="str">
        <f>IF($B2128="","",_xll.BDP($B2128,"COUNTRY_FULL_NAME"))</f>
        <v/>
      </c>
    </row>
    <row r="2129" spans="15:26" x14ac:dyDescent="0.25">
      <c r="O2129"/>
      <c r="P2129"/>
      <c r="Q2129"/>
      <c r="W2129" t="str">
        <f>IF(B2129="","",_xll.BDP(B2129,"INDUSTRY_SECTOR"))</f>
        <v/>
      </c>
      <c r="X2129" t="str">
        <f>IF($B2129="","",_xll.BDP($B2129,"INDUSTRY_GROUP"))</f>
        <v/>
      </c>
      <c r="Y2129" t="str">
        <f>IF($B2129="","",_xll.BDP($B2129,"INDUSTRY_SUBGROUP"))</f>
        <v/>
      </c>
      <c r="Z2129" t="str">
        <f>IF($B2129="","",_xll.BDP($B2129,"COUNTRY_FULL_NAME"))</f>
        <v/>
      </c>
    </row>
    <row r="2130" spans="15:26" x14ac:dyDescent="0.25">
      <c r="O2130"/>
      <c r="P2130"/>
      <c r="Q2130"/>
      <c r="W2130" t="str">
        <f>IF(B2130="","",_xll.BDP(B2130,"INDUSTRY_SECTOR"))</f>
        <v/>
      </c>
      <c r="X2130" t="str">
        <f>IF($B2130="","",_xll.BDP($B2130,"INDUSTRY_GROUP"))</f>
        <v/>
      </c>
      <c r="Y2130" t="str">
        <f>IF($B2130="","",_xll.BDP($B2130,"INDUSTRY_SUBGROUP"))</f>
        <v/>
      </c>
      <c r="Z2130" t="str">
        <f>IF($B2130="","",_xll.BDP($B2130,"COUNTRY_FULL_NAME"))</f>
        <v/>
      </c>
    </row>
    <row r="2131" spans="15:26" x14ac:dyDescent="0.25">
      <c r="O2131"/>
      <c r="P2131"/>
      <c r="Q2131"/>
      <c r="W2131" t="str">
        <f>IF(B2131="","",_xll.BDP(B2131,"INDUSTRY_SECTOR"))</f>
        <v/>
      </c>
      <c r="X2131" t="str">
        <f>IF($B2131="","",_xll.BDP($B2131,"INDUSTRY_GROUP"))</f>
        <v/>
      </c>
      <c r="Y2131" t="str">
        <f>IF($B2131="","",_xll.BDP($B2131,"INDUSTRY_SUBGROUP"))</f>
        <v/>
      </c>
      <c r="Z2131" t="str">
        <f>IF($B2131="","",_xll.BDP($B2131,"COUNTRY_FULL_NAME"))</f>
        <v/>
      </c>
    </row>
    <row r="2132" spans="15:26" x14ac:dyDescent="0.25">
      <c r="O2132"/>
      <c r="P2132"/>
      <c r="Q2132"/>
      <c r="W2132" t="str">
        <f>IF(B2132="","",_xll.BDP(B2132,"INDUSTRY_SECTOR"))</f>
        <v/>
      </c>
      <c r="X2132" t="str">
        <f>IF($B2132="","",_xll.BDP($B2132,"INDUSTRY_GROUP"))</f>
        <v/>
      </c>
      <c r="Y2132" t="str">
        <f>IF($B2132="","",_xll.BDP($B2132,"INDUSTRY_SUBGROUP"))</f>
        <v/>
      </c>
      <c r="Z2132" t="str">
        <f>IF($B2132="","",_xll.BDP($B2132,"COUNTRY_FULL_NAME"))</f>
        <v/>
      </c>
    </row>
    <row r="2133" spans="15:26" x14ac:dyDescent="0.25">
      <c r="O2133"/>
      <c r="P2133"/>
      <c r="Q2133"/>
      <c r="W2133" t="str">
        <f>IF(B2133="","",_xll.BDP(B2133,"INDUSTRY_SECTOR"))</f>
        <v/>
      </c>
      <c r="X2133" t="str">
        <f>IF($B2133="","",_xll.BDP($B2133,"INDUSTRY_GROUP"))</f>
        <v/>
      </c>
      <c r="Y2133" t="str">
        <f>IF($B2133="","",_xll.BDP($B2133,"INDUSTRY_SUBGROUP"))</f>
        <v/>
      </c>
      <c r="Z2133" t="str">
        <f>IF($B2133="","",_xll.BDP($B2133,"COUNTRY_FULL_NAME"))</f>
        <v/>
      </c>
    </row>
    <row r="2134" spans="15:26" x14ac:dyDescent="0.25">
      <c r="O2134"/>
      <c r="P2134"/>
      <c r="Q2134"/>
      <c r="W2134" t="str">
        <f>IF(B2134="","",_xll.BDP(B2134,"INDUSTRY_SECTOR"))</f>
        <v/>
      </c>
      <c r="X2134" t="str">
        <f>IF($B2134="","",_xll.BDP($B2134,"INDUSTRY_GROUP"))</f>
        <v/>
      </c>
      <c r="Y2134" t="str">
        <f>IF($B2134="","",_xll.BDP($B2134,"INDUSTRY_SUBGROUP"))</f>
        <v/>
      </c>
      <c r="Z2134" t="str">
        <f>IF($B2134="","",_xll.BDP($B2134,"COUNTRY_FULL_NAME"))</f>
        <v/>
      </c>
    </row>
    <row r="2135" spans="15:26" x14ac:dyDescent="0.25">
      <c r="O2135"/>
      <c r="P2135"/>
      <c r="Q2135"/>
      <c r="W2135" t="str">
        <f>IF(B2135="","",_xll.BDP(B2135,"INDUSTRY_SECTOR"))</f>
        <v/>
      </c>
      <c r="X2135" t="str">
        <f>IF($B2135="","",_xll.BDP($B2135,"INDUSTRY_GROUP"))</f>
        <v/>
      </c>
      <c r="Y2135" t="str">
        <f>IF($B2135="","",_xll.BDP($B2135,"INDUSTRY_SUBGROUP"))</f>
        <v/>
      </c>
      <c r="Z2135" t="str">
        <f>IF($B2135="","",_xll.BDP($B2135,"COUNTRY_FULL_NAME"))</f>
        <v/>
      </c>
    </row>
    <row r="2136" spans="15:26" x14ac:dyDescent="0.25">
      <c r="O2136"/>
      <c r="P2136"/>
      <c r="Q2136"/>
      <c r="W2136" t="str">
        <f>IF(B2136="","",_xll.BDP(B2136,"INDUSTRY_SECTOR"))</f>
        <v/>
      </c>
      <c r="X2136" t="str">
        <f>IF($B2136="","",_xll.BDP($B2136,"INDUSTRY_GROUP"))</f>
        <v/>
      </c>
      <c r="Y2136" t="str">
        <f>IF($B2136="","",_xll.BDP($B2136,"INDUSTRY_SUBGROUP"))</f>
        <v/>
      </c>
      <c r="Z2136" t="str">
        <f>IF($B2136="","",_xll.BDP($B2136,"COUNTRY_FULL_NAME"))</f>
        <v/>
      </c>
    </row>
    <row r="2137" spans="15:26" x14ac:dyDescent="0.25">
      <c r="O2137"/>
      <c r="P2137"/>
      <c r="Q2137"/>
      <c r="W2137" t="str">
        <f>IF(B2137="","",_xll.BDP(B2137,"INDUSTRY_SECTOR"))</f>
        <v/>
      </c>
      <c r="X2137" t="str">
        <f>IF($B2137="","",_xll.BDP($B2137,"INDUSTRY_GROUP"))</f>
        <v/>
      </c>
      <c r="Y2137" t="str">
        <f>IF($B2137="","",_xll.BDP($B2137,"INDUSTRY_SUBGROUP"))</f>
        <v/>
      </c>
      <c r="Z2137" t="str">
        <f>IF($B2137="","",_xll.BDP($B2137,"COUNTRY_FULL_NAME"))</f>
        <v/>
      </c>
    </row>
    <row r="2138" spans="15:26" x14ac:dyDescent="0.25">
      <c r="O2138"/>
      <c r="P2138"/>
      <c r="Q2138"/>
      <c r="W2138" t="str">
        <f>IF(B2138="","",_xll.BDP(B2138,"INDUSTRY_SECTOR"))</f>
        <v/>
      </c>
      <c r="X2138" t="str">
        <f>IF($B2138="","",_xll.BDP($B2138,"INDUSTRY_GROUP"))</f>
        <v/>
      </c>
      <c r="Y2138" t="str">
        <f>IF($B2138="","",_xll.BDP($B2138,"INDUSTRY_SUBGROUP"))</f>
        <v/>
      </c>
      <c r="Z2138" t="str">
        <f>IF($B2138="","",_xll.BDP($B2138,"COUNTRY_FULL_NAME"))</f>
        <v/>
      </c>
    </row>
    <row r="2139" spans="15:26" x14ac:dyDescent="0.25">
      <c r="O2139"/>
      <c r="P2139"/>
      <c r="Q2139"/>
      <c r="W2139" t="str">
        <f>IF(B2139="","",_xll.BDP(B2139,"INDUSTRY_SECTOR"))</f>
        <v/>
      </c>
      <c r="X2139" t="str">
        <f>IF($B2139="","",_xll.BDP($B2139,"INDUSTRY_GROUP"))</f>
        <v/>
      </c>
      <c r="Y2139" t="str">
        <f>IF($B2139="","",_xll.BDP($B2139,"INDUSTRY_SUBGROUP"))</f>
        <v/>
      </c>
      <c r="Z2139" t="str">
        <f>IF($B2139="","",_xll.BDP($B2139,"COUNTRY_FULL_NAME"))</f>
        <v/>
      </c>
    </row>
    <row r="2140" spans="15:26" x14ac:dyDescent="0.25">
      <c r="O2140"/>
      <c r="P2140"/>
      <c r="Q2140"/>
      <c r="W2140" t="str">
        <f>IF(B2140="","",_xll.BDP(B2140,"INDUSTRY_SECTOR"))</f>
        <v/>
      </c>
      <c r="X2140" t="str">
        <f>IF($B2140="","",_xll.BDP($B2140,"INDUSTRY_GROUP"))</f>
        <v/>
      </c>
      <c r="Y2140" t="str">
        <f>IF($B2140="","",_xll.BDP($B2140,"INDUSTRY_SUBGROUP"))</f>
        <v/>
      </c>
      <c r="Z2140" t="str">
        <f>IF($B2140="","",_xll.BDP($B2140,"COUNTRY_FULL_NAME"))</f>
        <v/>
      </c>
    </row>
    <row r="2141" spans="15:26" x14ac:dyDescent="0.25">
      <c r="O2141"/>
      <c r="P2141"/>
      <c r="Q2141"/>
      <c r="W2141" t="str">
        <f>IF(B2141="","",_xll.BDP(B2141,"INDUSTRY_SECTOR"))</f>
        <v/>
      </c>
      <c r="X2141" t="str">
        <f>IF($B2141="","",_xll.BDP($B2141,"INDUSTRY_GROUP"))</f>
        <v/>
      </c>
      <c r="Y2141" t="str">
        <f>IF($B2141="","",_xll.BDP($B2141,"INDUSTRY_SUBGROUP"))</f>
        <v/>
      </c>
      <c r="Z2141" t="str">
        <f>IF($B2141="","",_xll.BDP($B2141,"COUNTRY_FULL_NAME"))</f>
        <v/>
      </c>
    </row>
    <row r="2142" spans="15:26" x14ac:dyDescent="0.25">
      <c r="O2142"/>
      <c r="P2142"/>
      <c r="Q2142"/>
      <c r="W2142" t="str">
        <f>IF(B2142="","",_xll.BDP(B2142,"INDUSTRY_SECTOR"))</f>
        <v/>
      </c>
      <c r="X2142" t="str">
        <f>IF($B2142="","",_xll.BDP($B2142,"INDUSTRY_GROUP"))</f>
        <v/>
      </c>
      <c r="Y2142" t="str">
        <f>IF($B2142="","",_xll.BDP($B2142,"INDUSTRY_SUBGROUP"))</f>
        <v/>
      </c>
      <c r="Z2142" t="str">
        <f>IF($B2142="","",_xll.BDP($B2142,"COUNTRY_FULL_NAME"))</f>
        <v/>
      </c>
    </row>
    <row r="2143" spans="15:26" x14ac:dyDescent="0.25">
      <c r="O2143"/>
      <c r="P2143"/>
      <c r="Q2143"/>
      <c r="W2143" t="str">
        <f>IF(B2143="","",_xll.BDP(B2143,"INDUSTRY_SECTOR"))</f>
        <v/>
      </c>
      <c r="X2143" t="str">
        <f>IF($B2143="","",_xll.BDP($B2143,"INDUSTRY_GROUP"))</f>
        <v/>
      </c>
      <c r="Y2143" t="str">
        <f>IF($B2143="","",_xll.BDP($B2143,"INDUSTRY_SUBGROUP"))</f>
        <v/>
      </c>
      <c r="Z2143" t="str">
        <f>IF($B2143="","",_xll.BDP($B2143,"COUNTRY_FULL_NAME"))</f>
        <v/>
      </c>
    </row>
    <row r="2144" spans="15:26" x14ac:dyDescent="0.25">
      <c r="O2144"/>
      <c r="P2144"/>
      <c r="Q2144"/>
      <c r="W2144" t="str">
        <f>IF(B2144="","",_xll.BDP(B2144,"INDUSTRY_SECTOR"))</f>
        <v/>
      </c>
      <c r="X2144" t="str">
        <f>IF($B2144="","",_xll.BDP($B2144,"INDUSTRY_GROUP"))</f>
        <v/>
      </c>
      <c r="Y2144" t="str">
        <f>IF($B2144="","",_xll.BDP($B2144,"INDUSTRY_SUBGROUP"))</f>
        <v/>
      </c>
      <c r="Z2144" t="str">
        <f>IF($B2144="","",_xll.BDP($B2144,"COUNTRY_FULL_NAME"))</f>
        <v/>
      </c>
    </row>
    <row r="2145" spans="15:26" x14ac:dyDescent="0.25">
      <c r="O2145"/>
      <c r="P2145"/>
      <c r="Q2145"/>
      <c r="W2145" t="str">
        <f>IF(B2145="","",_xll.BDP(B2145,"INDUSTRY_SECTOR"))</f>
        <v/>
      </c>
      <c r="X2145" t="str">
        <f>IF($B2145="","",_xll.BDP($B2145,"INDUSTRY_GROUP"))</f>
        <v/>
      </c>
      <c r="Y2145" t="str">
        <f>IF($B2145="","",_xll.BDP($B2145,"INDUSTRY_SUBGROUP"))</f>
        <v/>
      </c>
      <c r="Z2145" t="str">
        <f>IF($B2145="","",_xll.BDP($B2145,"COUNTRY_FULL_NAME"))</f>
        <v/>
      </c>
    </row>
    <row r="2146" spans="15:26" x14ac:dyDescent="0.25">
      <c r="O2146"/>
      <c r="P2146"/>
      <c r="Q2146"/>
      <c r="W2146" t="str">
        <f>IF(B2146="","",_xll.BDP(B2146,"INDUSTRY_SECTOR"))</f>
        <v/>
      </c>
      <c r="X2146" t="str">
        <f>IF($B2146="","",_xll.BDP($B2146,"INDUSTRY_GROUP"))</f>
        <v/>
      </c>
      <c r="Y2146" t="str">
        <f>IF($B2146="","",_xll.BDP($B2146,"INDUSTRY_SUBGROUP"))</f>
        <v/>
      </c>
      <c r="Z2146" t="str">
        <f>IF($B2146="","",_xll.BDP($B2146,"COUNTRY_FULL_NAME"))</f>
        <v/>
      </c>
    </row>
    <row r="2147" spans="15:26" x14ac:dyDescent="0.25">
      <c r="O2147"/>
      <c r="P2147"/>
      <c r="Q2147"/>
      <c r="W2147" t="str">
        <f>IF(B2147="","",_xll.BDP(B2147,"INDUSTRY_SECTOR"))</f>
        <v/>
      </c>
      <c r="X2147" t="str">
        <f>IF($B2147="","",_xll.BDP($B2147,"INDUSTRY_GROUP"))</f>
        <v/>
      </c>
      <c r="Y2147" t="str">
        <f>IF($B2147="","",_xll.BDP($B2147,"INDUSTRY_SUBGROUP"))</f>
        <v/>
      </c>
      <c r="Z2147" t="str">
        <f>IF($B2147="","",_xll.BDP($B2147,"COUNTRY_FULL_NAME"))</f>
        <v/>
      </c>
    </row>
    <row r="2148" spans="15:26" x14ac:dyDescent="0.25">
      <c r="O2148"/>
      <c r="P2148"/>
      <c r="Q2148"/>
      <c r="W2148" t="str">
        <f>IF(B2148="","",_xll.BDP(B2148,"INDUSTRY_SECTOR"))</f>
        <v/>
      </c>
      <c r="X2148" t="str">
        <f>IF($B2148="","",_xll.BDP($B2148,"INDUSTRY_GROUP"))</f>
        <v/>
      </c>
      <c r="Y2148" t="str">
        <f>IF($B2148="","",_xll.BDP($B2148,"INDUSTRY_SUBGROUP"))</f>
        <v/>
      </c>
      <c r="Z2148" t="str">
        <f>IF($B2148="","",_xll.BDP($B2148,"COUNTRY_FULL_NAME"))</f>
        <v/>
      </c>
    </row>
    <row r="2149" spans="15:26" x14ac:dyDescent="0.25">
      <c r="O2149"/>
      <c r="P2149"/>
      <c r="Q2149"/>
      <c r="W2149" t="str">
        <f>IF(B2149="","",_xll.BDP(B2149,"INDUSTRY_SECTOR"))</f>
        <v/>
      </c>
      <c r="X2149" t="str">
        <f>IF($B2149="","",_xll.BDP($B2149,"INDUSTRY_GROUP"))</f>
        <v/>
      </c>
      <c r="Y2149" t="str">
        <f>IF($B2149="","",_xll.BDP($B2149,"INDUSTRY_SUBGROUP"))</f>
        <v/>
      </c>
      <c r="Z2149" t="str">
        <f>IF($B2149="","",_xll.BDP($B2149,"COUNTRY_FULL_NAME"))</f>
        <v/>
      </c>
    </row>
    <row r="2150" spans="15:26" x14ac:dyDescent="0.25">
      <c r="O2150"/>
      <c r="P2150"/>
      <c r="Q2150"/>
      <c r="W2150" t="str">
        <f>IF(B2150="","",_xll.BDP(B2150,"INDUSTRY_SECTOR"))</f>
        <v/>
      </c>
      <c r="X2150" t="str">
        <f>IF($B2150="","",_xll.BDP($B2150,"INDUSTRY_GROUP"))</f>
        <v/>
      </c>
      <c r="Y2150" t="str">
        <f>IF($B2150="","",_xll.BDP($B2150,"INDUSTRY_SUBGROUP"))</f>
        <v/>
      </c>
      <c r="Z2150" t="str">
        <f>IF($B2150="","",_xll.BDP($B2150,"COUNTRY_FULL_NAME"))</f>
        <v/>
      </c>
    </row>
    <row r="2151" spans="15:26" x14ac:dyDescent="0.25">
      <c r="O2151"/>
      <c r="P2151"/>
      <c r="Q2151"/>
      <c r="W2151" t="str">
        <f>IF(B2151="","",_xll.BDP(B2151,"INDUSTRY_SECTOR"))</f>
        <v/>
      </c>
      <c r="X2151" t="str">
        <f>IF($B2151="","",_xll.BDP($B2151,"INDUSTRY_GROUP"))</f>
        <v/>
      </c>
      <c r="Y2151" t="str">
        <f>IF($B2151="","",_xll.BDP($B2151,"INDUSTRY_SUBGROUP"))</f>
        <v/>
      </c>
      <c r="Z2151" t="str">
        <f>IF($B2151="","",_xll.BDP($B2151,"COUNTRY_FULL_NAME"))</f>
        <v/>
      </c>
    </row>
    <row r="2152" spans="15:26" x14ac:dyDescent="0.25">
      <c r="O2152"/>
      <c r="P2152"/>
      <c r="Q2152"/>
      <c r="W2152" t="str">
        <f>IF(B2152="","",_xll.BDP(B2152,"INDUSTRY_SECTOR"))</f>
        <v/>
      </c>
      <c r="X2152" t="str">
        <f>IF($B2152="","",_xll.BDP($B2152,"INDUSTRY_GROUP"))</f>
        <v/>
      </c>
      <c r="Y2152" t="str">
        <f>IF($B2152="","",_xll.BDP($B2152,"INDUSTRY_SUBGROUP"))</f>
        <v/>
      </c>
      <c r="Z2152" t="str">
        <f>IF($B2152="","",_xll.BDP($B2152,"COUNTRY_FULL_NAME"))</f>
        <v/>
      </c>
    </row>
    <row r="2153" spans="15:26" x14ac:dyDescent="0.25">
      <c r="O2153"/>
      <c r="P2153"/>
      <c r="Q2153"/>
      <c r="W2153" t="str">
        <f>IF(B2153="","",_xll.BDP(B2153,"INDUSTRY_SECTOR"))</f>
        <v/>
      </c>
      <c r="X2153" t="str">
        <f>IF($B2153="","",_xll.BDP($B2153,"INDUSTRY_GROUP"))</f>
        <v/>
      </c>
      <c r="Y2153" t="str">
        <f>IF($B2153="","",_xll.BDP($B2153,"INDUSTRY_SUBGROUP"))</f>
        <v/>
      </c>
      <c r="Z2153" t="str">
        <f>IF($B2153="","",_xll.BDP($B2153,"COUNTRY_FULL_NAME"))</f>
        <v/>
      </c>
    </row>
    <row r="2154" spans="15:26" x14ac:dyDescent="0.25">
      <c r="O2154"/>
      <c r="P2154"/>
      <c r="Q2154"/>
      <c r="W2154" t="str">
        <f>IF(B2154="","",_xll.BDP(B2154,"INDUSTRY_SECTOR"))</f>
        <v/>
      </c>
      <c r="X2154" t="str">
        <f>IF($B2154="","",_xll.BDP($B2154,"INDUSTRY_GROUP"))</f>
        <v/>
      </c>
      <c r="Y2154" t="str">
        <f>IF($B2154="","",_xll.BDP($B2154,"INDUSTRY_SUBGROUP"))</f>
        <v/>
      </c>
      <c r="Z2154" t="str">
        <f>IF($B2154="","",_xll.BDP($B2154,"COUNTRY_FULL_NAME"))</f>
        <v/>
      </c>
    </row>
    <row r="2155" spans="15:26" x14ac:dyDescent="0.25">
      <c r="O2155"/>
      <c r="P2155"/>
      <c r="Q2155"/>
      <c r="W2155" t="str">
        <f>IF(B2155="","",_xll.BDP(B2155,"INDUSTRY_SECTOR"))</f>
        <v/>
      </c>
      <c r="X2155" t="str">
        <f>IF($B2155="","",_xll.BDP($B2155,"INDUSTRY_GROUP"))</f>
        <v/>
      </c>
      <c r="Y2155" t="str">
        <f>IF($B2155="","",_xll.BDP($B2155,"INDUSTRY_SUBGROUP"))</f>
        <v/>
      </c>
      <c r="Z2155" t="str">
        <f>IF($B2155="","",_xll.BDP($B2155,"COUNTRY_FULL_NAME"))</f>
        <v/>
      </c>
    </row>
    <row r="2156" spans="15:26" x14ac:dyDescent="0.25">
      <c r="O2156"/>
      <c r="P2156"/>
      <c r="Q2156"/>
      <c r="W2156" t="str">
        <f>IF(B2156="","",_xll.BDP(B2156,"INDUSTRY_SECTOR"))</f>
        <v/>
      </c>
      <c r="X2156" t="str">
        <f>IF($B2156="","",_xll.BDP($B2156,"INDUSTRY_GROUP"))</f>
        <v/>
      </c>
      <c r="Y2156" t="str">
        <f>IF($B2156="","",_xll.BDP($B2156,"INDUSTRY_SUBGROUP"))</f>
        <v/>
      </c>
      <c r="Z2156" t="str">
        <f>IF($B2156="","",_xll.BDP($B2156,"COUNTRY_FULL_NAME"))</f>
        <v/>
      </c>
    </row>
    <row r="2157" spans="15:26" x14ac:dyDescent="0.25">
      <c r="O2157"/>
      <c r="P2157"/>
      <c r="Q2157"/>
      <c r="W2157" t="str">
        <f>IF(B2157="","",_xll.BDP(B2157,"INDUSTRY_SECTOR"))</f>
        <v/>
      </c>
      <c r="X2157" t="str">
        <f>IF($B2157="","",_xll.BDP($B2157,"INDUSTRY_GROUP"))</f>
        <v/>
      </c>
      <c r="Y2157" t="str">
        <f>IF($B2157="","",_xll.BDP($B2157,"INDUSTRY_SUBGROUP"))</f>
        <v/>
      </c>
      <c r="Z2157" t="str">
        <f>IF($B2157="","",_xll.BDP($B2157,"COUNTRY_FULL_NAME"))</f>
        <v/>
      </c>
    </row>
    <row r="2158" spans="15:26" x14ac:dyDescent="0.25">
      <c r="O2158"/>
      <c r="P2158"/>
      <c r="Q2158"/>
      <c r="W2158" t="str">
        <f>IF(B2158="","",_xll.BDP(B2158,"INDUSTRY_SECTOR"))</f>
        <v/>
      </c>
      <c r="X2158" t="str">
        <f>IF($B2158="","",_xll.BDP($B2158,"INDUSTRY_GROUP"))</f>
        <v/>
      </c>
      <c r="Y2158" t="str">
        <f>IF($B2158="","",_xll.BDP($B2158,"INDUSTRY_SUBGROUP"))</f>
        <v/>
      </c>
      <c r="Z2158" t="str">
        <f>IF($B2158="","",_xll.BDP($B2158,"COUNTRY_FULL_NAME"))</f>
        <v/>
      </c>
    </row>
    <row r="2159" spans="15:26" x14ac:dyDescent="0.25">
      <c r="O2159"/>
      <c r="P2159"/>
      <c r="Q2159"/>
      <c r="W2159" t="str">
        <f>IF(B2159="","",_xll.BDP(B2159,"INDUSTRY_SECTOR"))</f>
        <v/>
      </c>
      <c r="X2159" t="str">
        <f>IF($B2159="","",_xll.BDP($B2159,"INDUSTRY_GROUP"))</f>
        <v/>
      </c>
      <c r="Y2159" t="str">
        <f>IF($B2159="","",_xll.BDP($B2159,"INDUSTRY_SUBGROUP"))</f>
        <v/>
      </c>
      <c r="Z2159" t="str">
        <f>IF($B2159="","",_xll.BDP($B2159,"COUNTRY_FULL_NAME"))</f>
        <v/>
      </c>
    </row>
    <row r="2160" spans="15:26" x14ac:dyDescent="0.25">
      <c r="O2160"/>
      <c r="P2160"/>
      <c r="Q2160"/>
      <c r="W2160" t="str">
        <f>IF(B2160="","",_xll.BDP(B2160,"INDUSTRY_SECTOR"))</f>
        <v/>
      </c>
      <c r="X2160" t="str">
        <f>IF($B2160="","",_xll.BDP($B2160,"INDUSTRY_GROUP"))</f>
        <v/>
      </c>
      <c r="Y2160" t="str">
        <f>IF($B2160="","",_xll.BDP($B2160,"INDUSTRY_SUBGROUP"))</f>
        <v/>
      </c>
      <c r="Z2160" t="str">
        <f>IF($B2160="","",_xll.BDP($B2160,"COUNTRY_FULL_NAME"))</f>
        <v/>
      </c>
    </row>
    <row r="2161" spans="15:26" x14ac:dyDescent="0.25">
      <c r="O2161"/>
      <c r="P2161"/>
      <c r="Q2161"/>
      <c r="W2161" t="str">
        <f>IF(B2161="","",_xll.BDP(B2161,"INDUSTRY_SECTOR"))</f>
        <v/>
      </c>
      <c r="X2161" t="str">
        <f>IF($B2161="","",_xll.BDP($B2161,"INDUSTRY_GROUP"))</f>
        <v/>
      </c>
      <c r="Y2161" t="str">
        <f>IF($B2161="","",_xll.BDP($B2161,"INDUSTRY_SUBGROUP"))</f>
        <v/>
      </c>
      <c r="Z2161" t="str">
        <f>IF($B2161="","",_xll.BDP($B2161,"COUNTRY_FULL_NAME"))</f>
        <v/>
      </c>
    </row>
    <row r="2162" spans="15:26" x14ac:dyDescent="0.25">
      <c r="O2162"/>
      <c r="P2162"/>
      <c r="Q2162"/>
      <c r="W2162" t="str">
        <f>IF(B2162="","",_xll.BDP(B2162,"INDUSTRY_SECTOR"))</f>
        <v/>
      </c>
      <c r="X2162" t="str">
        <f>IF($B2162="","",_xll.BDP($B2162,"INDUSTRY_GROUP"))</f>
        <v/>
      </c>
      <c r="Y2162" t="str">
        <f>IF($B2162="","",_xll.BDP($B2162,"INDUSTRY_SUBGROUP"))</f>
        <v/>
      </c>
      <c r="Z2162" t="str">
        <f>IF($B2162="","",_xll.BDP($B2162,"COUNTRY_FULL_NAME"))</f>
        <v/>
      </c>
    </row>
    <row r="2163" spans="15:26" x14ac:dyDescent="0.25">
      <c r="O2163"/>
      <c r="P2163"/>
      <c r="Q2163"/>
      <c r="W2163" t="str">
        <f>IF(B2163="","",_xll.BDP(B2163,"INDUSTRY_SECTOR"))</f>
        <v/>
      </c>
      <c r="X2163" t="str">
        <f>IF($B2163="","",_xll.BDP($B2163,"INDUSTRY_GROUP"))</f>
        <v/>
      </c>
      <c r="Y2163" t="str">
        <f>IF($B2163="","",_xll.BDP($B2163,"INDUSTRY_SUBGROUP"))</f>
        <v/>
      </c>
      <c r="Z2163" t="str">
        <f>IF($B2163="","",_xll.BDP($B2163,"COUNTRY_FULL_NAME"))</f>
        <v/>
      </c>
    </row>
    <row r="2164" spans="15:26" x14ac:dyDescent="0.25">
      <c r="O2164"/>
      <c r="P2164"/>
      <c r="Q2164"/>
      <c r="W2164" t="str">
        <f>IF(B2164="","",_xll.BDP(B2164,"INDUSTRY_SECTOR"))</f>
        <v/>
      </c>
      <c r="X2164" t="str">
        <f>IF($B2164="","",_xll.BDP($B2164,"INDUSTRY_GROUP"))</f>
        <v/>
      </c>
      <c r="Y2164" t="str">
        <f>IF($B2164="","",_xll.BDP($B2164,"INDUSTRY_SUBGROUP"))</f>
        <v/>
      </c>
      <c r="Z2164" t="str">
        <f>IF($B2164="","",_xll.BDP($B2164,"COUNTRY_FULL_NAME"))</f>
        <v/>
      </c>
    </row>
    <row r="2165" spans="15:26" x14ac:dyDescent="0.25">
      <c r="O2165"/>
      <c r="P2165"/>
      <c r="Q2165"/>
      <c r="W2165" t="str">
        <f>IF(B2165="","",_xll.BDP(B2165,"INDUSTRY_SECTOR"))</f>
        <v/>
      </c>
      <c r="X2165" t="str">
        <f>IF($B2165="","",_xll.BDP($B2165,"INDUSTRY_GROUP"))</f>
        <v/>
      </c>
      <c r="Y2165" t="str">
        <f>IF($B2165="","",_xll.BDP($B2165,"INDUSTRY_SUBGROUP"))</f>
        <v/>
      </c>
      <c r="Z2165" t="str">
        <f>IF($B2165="","",_xll.BDP($B2165,"COUNTRY_FULL_NAME"))</f>
        <v/>
      </c>
    </row>
    <row r="2166" spans="15:26" x14ac:dyDescent="0.25">
      <c r="O2166"/>
      <c r="P2166"/>
      <c r="Q2166"/>
      <c r="W2166" t="str">
        <f>IF(B2166="","",_xll.BDP(B2166,"INDUSTRY_SECTOR"))</f>
        <v/>
      </c>
      <c r="X2166" t="str">
        <f>IF($B2166="","",_xll.BDP($B2166,"INDUSTRY_GROUP"))</f>
        <v/>
      </c>
      <c r="Y2166" t="str">
        <f>IF($B2166="","",_xll.BDP($B2166,"INDUSTRY_SUBGROUP"))</f>
        <v/>
      </c>
      <c r="Z2166" t="str">
        <f>IF($B2166="","",_xll.BDP($B2166,"COUNTRY_FULL_NAME"))</f>
        <v/>
      </c>
    </row>
    <row r="2167" spans="15:26" x14ac:dyDescent="0.25">
      <c r="O2167"/>
      <c r="P2167"/>
      <c r="Q2167"/>
      <c r="W2167" t="str">
        <f>IF(B2167="","",_xll.BDP(B2167,"INDUSTRY_SECTOR"))</f>
        <v/>
      </c>
      <c r="X2167" t="str">
        <f>IF($B2167="","",_xll.BDP($B2167,"INDUSTRY_GROUP"))</f>
        <v/>
      </c>
      <c r="Y2167" t="str">
        <f>IF($B2167="","",_xll.BDP($B2167,"INDUSTRY_SUBGROUP"))</f>
        <v/>
      </c>
      <c r="Z2167" t="str">
        <f>IF($B2167="","",_xll.BDP($B2167,"COUNTRY_FULL_NAME"))</f>
        <v/>
      </c>
    </row>
    <row r="2168" spans="15:26" x14ac:dyDescent="0.25">
      <c r="O2168"/>
      <c r="P2168"/>
      <c r="Q2168"/>
      <c r="W2168" t="str">
        <f>IF(B2168="","",_xll.BDP(B2168,"INDUSTRY_SECTOR"))</f>
        <v/>
      </c>
      <c r="X2168" t="str">
        <f>IF($B2168="","",_xll.BDP($B2168,"INDUSTRY_GROUP"))</f>
        <v/>
      </c>
      <c r="Y2168" t="str">
        <f>IF($B2168="","",_xll.BDP($B2168,"INDUSTRY_SUBGROUP"))</f>
        <v/>
      </c>
      <c r="Z2168" t="str">
        <f>IF($B2168="","",_xll.BDP($B2168,"COUNTRY_FULL_NAME"))</f>
        <v/>
      </c>
    </row>
    <row r="2169" spans="15:26" x14ac:dyDescent="0.25">
      <c r="O2169"/>
      <c r="P2169"/>
      <c r="Q2169"/>
      <c r="W2169" t="str">
        <f>IF(B2169="","",_xll.BDP(B2169,"INDUSTRY_SECTOR"))</f>
        <v/>
      </c>
      <c r="X2169" t="str">
        <f>IF($B2169="","",_xll.BDP($B2169,"INDUSTRY_GROUP"))</f>
        <v/>
      </c>
      <c r="Y2169" t="str">
        <f>IF($B2169="","",_xll.BDP($B2169,"INDUSTRY_SUBGROUP"))</f>
        <v/>
      </c>
      <c r="Z2169" t="str">
        <f>IF($B2169="","",_xll.BDP($B2169,"COUNTRY_FULL_NAME"))</f>
        <v/>
      </c>
    </row>
    <row r="2170" spans="15:26" x14ac:dyDescent="0.25">
      <c r="O2170"/>
      <c r="P2170"/>
      <c r="Q2170"/>
      <c r="W2170" t="str">
        <f>IF(B2170="","",_xll.BDP(B2170,"INDUSTRY_SECTOR"))</f>
        <v/>
      </c>
      <c r="X2170" t="str">
        <f>IF($B2170="","",_xll.BDP($B2170,"INDUSTRY_GROUP"))</f>
        <v/>
      </c>
      <c r="Y2170" t="str">
        <f>IF($B2170="","",_xll.BDP($B2170,"INDUSTRY_SUBGROUP"))</f>
        <v/>
      </c>
      <c r="Z2170" t="str">
        <f>IF($B2170="","",_xll.BDP($B2170,"COUNTRY_FULL_NAME"))</f>
        <v/>
      </c>
    </row>
    <row r="2171" spans="15:26" x14ac:dyDescent="0.25">
      <c r="O2171"/>
      <c r="P2171"/>
      <c r="Q2171"/>
      <c r="W2171" t="str">
        <f>IF(B2171="","",_xll.BDP(B2171,"INDUSTRY_SECTOR"))</f>
        <v/>
      </c>
      <c r="X2171" t="str">
        <f>IF($B2171="","",_xll.BDP($B2171,"INDUSTRY_GROUP"))</f>
        <v/>
      </c>
      <c r="Y2171" t="str">
        <f>IF($B2171="","",_xll.BDP($B2171,"INDUSTRY_SUBGROUP"))</f>
        <v/>
      </c>
      <c r="Z2171" t="str">
        <f>IF($B2171="","",_xll.BDP($B2171,"COUNTRY_FULL_NAME"))</f>
        <v/>
      </c>
    </row>
    <row r="2172" spans="15:26" x14ac:dyDescent="0.25">
      <c r="O2172"/>
      <c r="P2172"/>
      <c r="Q2172"/>
      <c r="W2172" t="str">
        <f>IF(B2172="","",_xll.BDP(B2172,"INDUSTRY_SECTOR"))</f>
        <v/>
      </c>
      <c r="X2172" t="str">
        <f>IF($B2172="","",_xll.BDP($B2172,"INDUSTRY_GROUP"))</f>
        <v/>
      </c>
      <c r="Y2172" t="str">
        <f>IF($B2172="","",_xll.BDP($B2172,"INDUSTRY_SUBGROUP"))</f>
        <v/>
      </c>
      <c r="Z2172" t="str">
        <f>IF($B2172="","",_xll.BDP($B2172,"COUNTRY_FULL_NAME"))</f>
        <v/>
      </c>
    </row>
    <row r="2173" spans="15:26" x14ac:dyDescent="0.25">
      <c r="O2173"/>
      <c r="P2173"/>
      <c r="Q2173"/>
      <c r="W2173" t="str">
        <f>IF(B2173="","",_xll.BDP(B2173,"INDUSTRY_SECTOR"))</f>
        <v/>
      </c>
      <c r="X2173" t="str">
        <f>IF($B2173="","",_xll.BDP($B2173,"INDUSTRY_GROUP"))</f>
        <v/>
      </c>
      <c r="Y2173" t="str">
        <f>IF($B2173="","",_xll.BDP($B2173,"INDUSTRY_SUBGROUP"))</f>
        <v/>
      </c>
      <c r="Z2173" t="str">
        <f>IF($B2173="","",_xll.BDP($B2173,"COUNTRY_FULL_NAME"))</f>
        <v/>
      </c>
    </row>
    <row r="2174" spans="15:26" x14ac:dyDescent="0.25">
      <c r="O2174"/>
      <c r="P2174"/>
      <c r="Q2174"/>
      <c r="W2174" t="str">
        <f>IF(B2174="","",_xll.BDP(B2174,"INDUSTRY_SECTOR"))</f>
        <v/>
      </c>
      <c r="X2174" t="str">
        <f>IF($B2174="","",_xll.BDP($B2174,"INDUSTRY_GROUP"))</f>
        <v/>
      </c>
      <c r="Y2174" t="str">
        <f>IF($B2174="","",_xll.BDP($B2174,"INDUSTRY_SUBGROUP"))</f>
        <v/>
      </c>
      <c r="Z2174" t="str">
        <f>IF($B2174="","",_xll.BDP($B2174,"COUNTRY_FULL_NAME"))</f>
        <v/>
      </c>
    </row>
    <row r="2175" spans="15:26" x14ac:dyDescent="0.25">
      <c r="O2175"/>
      <c r="P2175"/>
      <c r="Q2175"/>
      <c r="W2175" t="str">
        <f>IF(B2175="","",_xll.BDP(B2175,"INDUSTRY_SECTOR"))</f>
        <v/>
      </c>
      <c r="X2175" t="str">
        <f>IF($B2175="","",_xll.BDP($B2175,"INDUSTRY_GROUP"))</f>
        <v/>
      </c>
      <c r="Y2175" t="str">
        <f>IF($B2175="","",_xll.BDP($B2175,"INDUSTRY_SUBGROUP"))</f>
        <v/>
      </c>
      <c r="Z2175" t="str">
        <f>IF($B2175="","",_xll.BDP($B2175,"COUNTRY_FULL_NAME"))</f>
        <v/>
      </c>
    </row>
    <row r="2176" spans="15:26" x14ac:dyDescent="0.25">
      <c r="O2176"/>
      <c r="P2176"/>
      <c r="Q2176"/>
      <c r="W2176" t="str">
        <f>IF(B2176="","",_xll.BDP(B2176,"INDUSTRY_SECTOR"))</f>
        <v/>
      </c>
      <c r="X2176" t="str">
        <f>IF($B2176="","",_xll.BDP($B2176,"INDUSTRY_GROUP"))</f>
        <v/>
      </c>
      <c r="Y2176" t="str">
        <f>IF($B2176="","",_xll.BDP($B2176,"INDUSTRY_SUBGROUP"))</f>
        <v/>
      </c>
      <c r="Z2176" t="str">
        <f>IF($B2176="","",_xll.BDP($B2176,"COUNTRY_FULL_NAME"))</f>
        <v/>
      </c>
    </row>
    <row r="2177" spans="15:26" x14ac:dyDescent="0.25">
      <c r="O2177"/>
      <c r="P2177"/>
      <c r="Q2177"/>
      <c r="W2177" t="str">
        <f>IF(B2177="","",_xll.BDP(B2177,"INDUSTRY_SECTOR"))</f>
        <v/>
      </c>
      <c r="X2177" t="str">
        <f>IF($B2177="","",_xll.BDP($B2177,"INDUSTRY_GROUP"))</f>
        <v/>
      </c>
      <c r="Y2177" t="str">
        <f>IF($B2177="","",_xll.BDP($B2177,"INDUSTRY_SUBGROUP"))</f>
        <v/>
      </c>
      <c r="Z2177" t="str">
        <f>IF($B2177="","",_xll.BDP($B2177,"COUNTRY_FULL_NAME"))</f>
        <v/>
      </c>
    </row>
    <row r="2178" spans="15:26" x14ac:dyDescent="0.25">
      <c r="O2178"/>
      <c r="P2178"/>
      <c r="Q2178"/>
      <c r="W2178" t="str">
        <f>IF(B2178="","",_xll.BDP(B2178,"INDUSTRY_SECTOR"))</f>
        <v/>
      </c>
      <c r="X2178" t="str">
        <f>IF($B2178="","",_xll.BDP($B2178,"INDUSTRY_GROUP"))</f>
        <v/>
      </c>
      <c r="Y2178" t="str">
        <f>IF($B2178="","",_xll.BDP($B2178,"INDUSTRY_SUBGROUP"))</f>
        <v/>
      </c>
      <c r="Z2178" t="str">
        <f>IF($B2178="","",_xll.BDP($B2178,"COUNTRY_FULL_NAME"))</f>
        <v/>
      </c>
    </row>
    <row r="2179" spans="15:26" x14ac:dyDescent="0.25">
      <c r="O2179"/>
      <c r="P2179"/>
      <c r="Q2179"/>
      <c r="W2179" t="str">
        <f>IF(B2179="","",_xll.BDP(B2179,"INDUSTRY_SECTOR"))</f>
        <v/>
      </c>
      <c r="X2179" t="str">
        <f>IF($B2179="","",_xll.BDP($B2179,"INDUSTRY_GROUP"))</f>
        <v/>
      </c>
      <c r="Y2179" t="str">
        <f>IF($B2179="","",_xll.BDP($B2179,"INDUSTRY_SUBGROUP"))</f>
        <v/>
      </c>
      <c r="Z2179" t="str">
        <f>IF($B2179="","",_xll.BDP($B2179,"COUNTRY_FULL_NAME"))</f>
        <v/>
      </c>
    </row>
    <row r="2180" spans="15:26" x14ac:dyDescent="0.25">
      <c r="O2180"/>
      <c r="P2180"/>
      <c r="Q2180"/>
      <c r="W2180" t="str">
        <f>IF(B2180="","",_xll.BDP(B2180,"INDUSTRY_SECTOR"))</f>
        <v/>
      </c>
      <c r="X2180" t="str">
        <f>IF($B2180="","",_xll.BDP($B2180,"INDUSTRY_GROUP"))</f>
        <v/>
      </c>
      <c r="Y2180" t="str">
        <f>IF($B2180="","",_xll.BDP($B2180,"INDUSTRY_SUBGROUP"))</f>
        <v/>
      </c>
      <c r="Z2180" t="str">
        <f>IF($B2180="","",_xll.BDP($B2180,"COUNTRY_FULL_NAME"))</f>
        <v/>
      </c>
    </row>
    <row r="2181" spans="15:26" x14ac:dyDescent="0.25">
      <c r="O2181"/>
      <c r="P2181"/>
      <c r="Q2181"/>
      <c r="W2181" t="str">
        <f>IF(B2181="","",_xll.BDP(B2181,"INDUSTRY_SECTOR"))</f>
        <v/>
      </c>
      <c r="X2181" t="str">
        <f>IF($B2181="","",_xll.BDP($B2181,"INDUSTRY_GROUP"))</f>
        <v/>
      </c>
      <c r="Y2181" t="str">
        <f>IF($B2181="","",_xll.BDP($B2181,"INDUSTRY_SUBGROUP"))</f>
        <v/>
      </c>
      <c r="Z2181" t="str">
        <f>IF($B2181="","",_xll.BDP($B2181,"COUNTRY_FULL_NAME"))</f>
        <v/>
      </c>
    </row>
    <row r="2182" spans="15:26" x14ac:dyDescent="0.25">
      <c r="O2182"/>
      <c r="P2182"/>
      <c r="Q2182"/>
      <c r="W2182" t="str">
        <f>IF(B2182="","",_xll.BDP(B2182,"INDUSTRY_SECTOR"))</f>
        <v/>
      </c>
      <c r="X2182" t="str">
        <f>IF($B2182="","",_xll.BDP($B2182,"INDUSTRY_GROUP"))</f>
        <v/>
      </c>
      <c r="Y2182" t="str">
        <f>IF($B2182="","",_xll.BDP($B2182,"INDUSTRY_SUBGROUP"))</f>
        <v/>
      </c>
      <c r="Z2182" t="str">
        <f>IF($B2182="","",_xll.BDP($B2182,"COUNTRY_FULL_NAME"))</f>
        <v/>
      </c>
    </row>
    <row r="2183" spans="15:26" x14ac:dyDescent="0.25">
      <c r="O2183"/>
      <c r="P2183"/>
      <c r="Q2183"/>
      <c r="W2183" t="str">
        <f>IF(B2183="","",_xll.BDP(B2183,"INDUSTRY_SECTOR"))</f>
        <v/>
      </c>
      <c r="X2183" t="str">
        <f>IF($B2183="","",_xll.BDP($B2183,"INDUSTRY_GROUP"))</f>
        <v/>
      </c>
      <c r="Y2183" t="str">
        <f>IF($B2183="","",_xll.BDP($B2183,"INDUSTRY_SUBGROUP"))</f>
        <v/>
      </c>
      <c r="Z2183" t="str">
        <f>IF($B2183="","",_xll.BDP($B2183,"COUNTRY_FULL_NAME"))</f>
        <v/>
      </c>
    </row>
    <row r="2184" spans="15:26" x14ac:dyDescent="0.25">
      <c r="O2184"/>
      <c r="P2184"/>
      <c r="Q2184"/>
      <c r="W2184" t="str">
        <f>IF(B2184="","",_xll.BDP(B2184,"INDUSTRY_SECTOR"))</f>
        <v/>
      </c>
      <c r="X2184" t="str">
        <f>IF($B2184="","",_xll.BDP($B2184,"INDUSTRY_GROUP"))</f>
        <v/>
      </c>
      <c r="Y2184" t="str">
        <f>IF($B2184="","",_xll.BDP($B2184,"INDUSTRY_SUBGROUP"))</f>
        <v/>
      </c>
      <c r="Z2184" t="str">
        <f>IF($B2184="","",_xll.BDP($B2184,"COUNTRY_FULL_NAME"))</f>
        <v/>
      </c>
    </row>
    <row r="2185" spans="15:26" x14ac:dyDescent="0.25">
      <c r="O2185"/>
      <c r="P2185"/>
      <c r="Q2185"/>
      <c r="W2185" t="str">
        <f>IF(B2185="","",_xll.BDP(B2185,"INDUSTRY_SECTOR"))</f>
        <v/>
      </c>
      <c r="X2185" t="str">
        <f>IF($B2185="","",_xll.BDP($B2185,"INDUSTRY_GROUP"))</f>
        <v/>
      </c>
      <c r="Y2185" t="str">
        <f>IF($B2185="","",_xll.BDP($B2185,"INDUSTRY_SUBGROUP"))</f>
        <v/>
      </c>
      <c r="Z2185" t="str">
        <f>IF($B2185="","",_xll.BDP($B2185,"COUNTRY_FULL_NAME"))</f>
        <v/>
      </c>
    </row>
    <row r="2186" spans="15:26" x14ac:dyDescent="0.25">
      <c r="O2186"/>
      <c r="P2186"/>
      <c r="Q2186"/>
      <c r="W2186" t="str">
        <f>IF(B2186="","",_xll.BDP(B2186,"INDUSTRY_SECTOR"))</f>
        <v/>
      </c>
      <c r="X2186" t="str">
        <f>IF($B2186="","",_xll.BDP($B2186,"INDUSTRY_GROUP"))</f>
        <v/>
      </c>
      <c r="Y2186" t="str">
        <f>IF($B2186="","",_xll.BDP($B2186,"INDUSTRY_SUBGROUP"))</f>
        <v/>
      </c>
      <c r="Z2186" t="str">
        <f>IF($B2186="","",_xll.BDP($B2186,"COUNTRY_FULL_NAME"))</f>
        <v/>
      </c>
    </row>
    <row r="2187" spans="15:26" x14ac:dyDescent="0.25">
      <c r="O2187"/>
      <c r="P2187"/>
      <c r="Q2187"/>
      <c r="W2187" t="str">
        <f>IF(B2187="","",_xll.BDP(B2187,"INDUSTRY_SECTOR"))</f>
        <v/>
      </c>
      <c r="X2187" t="str">
        <f>IF($B2187="","",_xll.BDP($B2187,"INDUSTRY_GROUP"))</f>
        <v/>
      </c>
      <c r="Y2187" t="str">
        <f>IF($B2187="","",_xll.BDP($B2187,"INDUSTRY_SUBGROUP"))</f>
        <v/>
      </c>
      <c r="Z2187" t="str">
        <f>IF($B2187="","",_xll.BDP($B2187,"COUNTRY_FULL_NAME"))</f>
        <v/>
      </c>
    </row>
    <row r="2188" spans="15:26" x14ac:dyDescent="0.25">
      <c r="O2188"/>
      <c r="P2188"/>
      <c r="Q2188"/>
      <c r="W2188" t="str">
        <f>IF(B2188="","",_xll.BDP(B2188,"INDUSTRY_SECTOR"))</f>
        <v/>
      </c>
      <c r="X2188" t="str">
        <f>IF($B2188="","",_xll.BDP($B2188,"INDUSTRY_GROUP"))</f>
        <v/>
      </c>
      <c r="Y2188" t="str">
        <f>IF($B2188="","",_xll.BDP($B2188,"INDUSTRY_SUBGROUP"))</f>
        <v/>
      </c>
      <c r="Z2188" t="str">
        <f>IF($B2188="","",_xll.BDP($B2188,"COUNTRY_FULL_NAME"))</f>
        <v/>
      </c>
    </row>
    <row r="2189" spans="15:26" x14ac:dyDescent="0.25">
      <c r="O2189"/>
      <c r="P2189"/>
      <c r="Q2189"/>
      <c r="W2189" t="str">
        <f>IF(B2189="","",_xll.BDP(B2189,"INDUSTRY_SECTOR"))</f>
        <v/>
      </c>
      <c r="X2189" t="str">
        <f>IF($B2189="","",_xll.BDP($B2189,"INDUSTRY_GROUP"))</f>
        <v/>
      </c>
      <c r="Y2189" t="str">
        <f>IF($B2189="","",_xll.BDP($B2189,"INDUSTRY_SUBGROUP"))</f>
        <v/>
      </c>
      <c r="Z2189" t="str">
        <f>IF($B2189="","",_xll.BDP($B2189,"COUNTRY_FULL_NAME"))</f>
        <v/>
      </c>
    </row>
    <row r="2190" spans="15:26" x14ac:dyDescent="0.25">
      <c r="O2190"/>
      <c r="P2190"/>
      <c r="Q2190"/>
      <c r="W2190" t="str">
        <f>IF(B2190="","",_xll.BDP(B2190,"INDUSTRY_SECTOR"))</f>
        <v/>
      </c>
      <c r="X2190" t="str">
        <f>IF($B2190="","",_xll.BDP($B2190,"INDUSTRY_GROUP"))</f>
        <v/>
      </c>
      <c r="Y2190" t="str">
        <f>IF($B2190="","",_xll.BDP($B2190,"INDUSTRY_SUBGROUP"))</f>
        <v/>
      </c>
      <c r="Z2190" t="str">
        <f>IF($B2190="","",_xll.BDP($B2190,"COUNTRY_FULL_NAME"))</f>
        <v/>
      </c>
    </row>
    <row r="2191" spans="15:26" x14ac:dyDescent="0.25">
      <c r="O2191"/>
      <c r="P2191"/>
      <c r="Q2191"/>
      <c r="W2191" t="str">
        <f>IF(B2191="","",_xll.BDP(B2191,"INDUSTRY_SECTOR"))</f>
        <v/>
      </c>
      <c r="X2191" t="str">
        <f>IF($B2191="","",_xll.BDP($B2191,"INDUSTRY_GROUP"))</f>
        <v/>
      </c>
      <c r="Y2191" t="str">
        <f>IF($B2191="","",_xll.BDP($B2191,"INDUSTRY_SUBGROUP"))</f>
        <v/>
      </c>
      <c r="Z2191" t="str">
        <f>IF($B2191="","",_xll.BDP($B2191,"COUNTRY_FULL_NAME"))</f>
        <v/>
      </c>
    </row>
    <row r="2192" spans="15:26" x14ac:dyDescent="0.25">
      <c r="O2192"/>
      <c r="P2192"/>
      <c r="Q2192"/>
      <c r="W2192" t="str">
        <f>IF(B2192="","",_xll.BDP(B2192,"INDUSTRY_SECTOR"))</f>
        <v/>
      </c>
      <c r="X2192" t="str">
        <f>IF($B2192="","",_xll.BDP($B2192,"INDUSTRY_GROUP"))</f>
        <v/>
      </c>
      <c r="Y2192" t="str">
        <f>IF($B2192="","",_xll.BDP($B2192,"INDUSTRY_SUBGROUP"))</f>
        <v/>
      </c>
      <c r="Z2192" t="str">
        <f>IF($B2192="","",_xll.BDP($B2192,"COUNTRY_FULL_NAME"))</f>
        <v/>
      </c>
    </row>
    <row r="2193" spans="15:26" x14ac:dyDescent="0.25">
      <c r="O2193"/>
      <c r="P2193"/>
      <c r="Q2193"/>
      <c r="W2193" t="str">
        <f>IF(B2193="","",_xll.BDP(B2193,"INDUSTRY_SECTOR"))</f>
        <v/>
      </c>
      <c r="X2193" t="str">
        <f>IF($B2193="","",_xll.BDP($B2193,"INDUSTRY_GROUP"))</f>
        <v/>
      </c>
      <c r="Y2193" t="str">
        <f>IF($B2193="","",_xll.BDP($B2193,"INDUSTRY_SUBGROUP"))</f>
        <v/>
      </c>
      <c r="Z2193" t="str">
        <f>IF($B2193="","",_xll.BDP($B2193,"COUNTRY_FULL_NAME"))</f>
        <v/>
      </c>
    </row>
    <row r="2194" spans="15:26" x14ac:dyDescent="0.25">
      <c r="O2194"/>
      <c r="P2194"/>
      <c r="Q2194"/>
      <c r="W2194" t="str">
        <f>IF(B2194="","",_xll.BDP(B2194,"INDUSTRY_SECTOR"))</f>
        <v/>
      </c>
      <c r="X2194" t="str">
        <f>IF($B2194="","",_xll.BDP($B2194,"INDUSTRY_GROUP"))</f>
        <v/>
      </c>
      <c r="Y2194" t="str">
        <f>IF($B2194="","",_xll.BDP($B2194,"INDUSTRY_SUBGROUP"))</f>
        <v/>
      </c>
      <c r="Z2194" t="str">
        <f>IF($B2194="","",_xll.BDP($B2194,"COUNTRY_FULL_NAME"))</f>
        <v/>
      </c>
    </row>
    <row r="2195" spans="15:26" x14ac:dyDescent="0.25">
      <c r="O2195"/>
      <c r="P2195"/>
      <c r="Q2195"/>
      <c r="W2195" t="str">
        <f>IF(B2195="","",_xll.BDP(B2195,"INDUSTRY_SECTOR"))</f>
        <v/>
      </c>
      <c r="X2195" t="str">
        <f>IF($B2195="","",_xll.BDP($B2195,"INDUSTRY_GROUP"))</f>
        <v/>
      </c>
      <c r="Y2195" t="str">
        <f>IF($B2195="","",_xll.BDP($B2195,"INDUSTRY_SUBGROUP"))</f>
        <v/>
      </c>
      <c r="Z2195" t="str">
        <f>IF($B2195="","",_xll.BDP($B2195,"COUNTRY_FULL_NAME"))</f>
        <v/>
      </c>
    </row>
    <row r="2196" spans="15:26" x14ac:dyDescent="0.25">
      <c r="O2196"/>
      <c r="P2196"/>
      <c r="Q2196"/>
      <c r="W2196" t="str">
        <f>IF(B2196="","",_xll.BDP(B2196,"INDUSTRY_SECTOR"))</f>
        <v/>
      </c>
      <c r="X2196" t="str">
        <f>IF($B2196="","",_xll.BDP($B2196,"INDUSTRY_GROUP"))</f>
        <v/>
      </c>
      <c r="Y2196" t="str">
        <f>IF($B2196="","",_xll.BDP($B2196,"INDUSTRY_SUBGROUP"))</f>
        <v/>
      </c>
      <c r="Z2196" t="str">
        <f>IF($B2196="","",_xll.BDP($B2196,"COUNTRY_FULL_NAME"))</f>
        <v/>
      </c>
    </row>
    <row r="2197" spans="15:26" x14ac:dyDescent="0.25">
      <c r="O2197"/>
      <c r="P2197"/>
      <c r="Q2197"/>
      <c r="W2197" t="str">
        <f>IF(B2197="","",_xll.BDP(B2197,"INDUSTRY_SECTOR"))</f>
        <v/>
      </c>
      <c r="X2197" t="str">
        <f>IF($B2197="","",_xll.BDP($B2197,"INDUSTRY_GROUP"))</f>
        <v/>
      </c>
      <c r="Y2197" t="str">
        <f>IF($B2197="","",_xll.BDP($B2197,"INDUSTRY_SUBGROUP"))</f>
        <v/>
      </c>
      <c r="Z2197" t="str">
        <f>IF($B2197="","",_xll.BDP($B2197,"COUNTRY_FULL_NAME"))</f>
        <v/>
      </c>
    </row>
    <row r="2198" spans="15:26" x14ac:dyDescent="0.25">
      <c r="O2198"/>
      <c r="P2198"/>
      <c r="Q2198"/>
      <c r="W2198" t="str">
        <f>IF(B2198="","",_xll.BDP(B2198,"INDUSTRY_SECTOR"))</f>
        <v/>
      </c>
      <c r="X2198" t="str">
        <f>IF($B2198="","",_xll.BDP($B2198,"INDUSTRY_GROUP"))</f>
        <v/>
      </c>
      <c r="Y2198" t="str">
        <f>IF($B2198="","",_xll.BDP($B2198,"INDUSTRY_SUBGROUP"))</f>
        <v/>
      </c>
      <c r="Z2198" t="str">
        <f>IF($B2198="","",_xll.BDP($B2198,"COUNTRY_FULL_NAME"))</f>
        <v/>
      </c>
    </row>
    <row r="2199" spans="15:26" x14ac:dyDescent="0.25">
      <c r="O2199"/>
      <c r="P2199"/>
      <c r="Q2199"/>
      <c r="W2199" t="str">
        <f>IF(B2199="","",_xll.BDP(B2199,"INDUSTRY_SECTOR"))</f>
        <v/>
      </c>
      <c r="X2199" t="str">
        <f>IF($B2199="","",_xll.BDP($B2199,"INDUSTRY_GROUP"))</f>
        <v/>
      </c>
      <c r="Y2199" t="str">
        <f>IF($B2199="","",_xll.BDP($B2199,"INDUSTRY_SUBGROUP"))</f>
        <v/>
      </c>
      <c r="Z2199" t="str">
        <f>IF($B2199="","",_xll.BDP($B2199,"COUNTRY_FULL_NAME"))</f>
        <v/>
      </c>
    </row>
    <row r="2200" spans="15:26" x14ac:dyDescent="0.25">
      <c r="O2200"/>
      <c r="P2200"/>
      <c r="Q2200"/>
      <c r="W2200" t="str">
        <f>IF(B2200="","",_xll.BDP(B2200,"INDUSTRY_SECTOR"))</f>
        <v/>
      </c>
      <c r="X2200" t="str">
        <f>IF($B2200="","",_xll.BDP($B2200,"INDUSTRY_GROUP"))</f>
        <v/>
      </c>
      <c r="Y2200" t="str">
        <f>IF($B2200="","",_xll.BDP($B2200,"INDUSTRY_SUBGROUP"))</f>
        <v/>
      </c>
      <c r="Z2200" t="str">
        <f>IF($B2200="","",_xll.BDP($B2200,"COUNTRY_FULL_NAME"))</f>
        <v/>
      </c>
    </row>
    <row r="2201" spans="15:26" x14ac:dyDescent="0.25">
      <c r="O2201"/>
      <c r="P2201"/>
      <c r="Q2201"/>
      <c r="W2201" t="str">
        <f>IF(B2201="","",_xll.BDP(B2201,"INDUSTRY_SECTOR"))</f>
        <v/>
      </c>
      <c r="X2201" t="str">
        <f>IF($B2201="","",_xll.BDP($B2201,"INDUSTRY_GROUP"))</f>
        <v/>
      </c>
      <c r="Y2201" t="str">
        <f>IF($B2201="","",_xll.BDP($B2201,"INDUSTRY_SUBGROUP"))</f>
        <v/>
      </c>
      <c r="Z2201" t="str">
        <f>IF($B2201="","",_xll.BDP($B2201,"COUNTRY_FULL_NAME"))</f>
        <v/>
      </c>
    </row>
    <row r="2202" spans="15:26" x14ac:dyDescent="0.25">
      <c r="O2202"/>
      <c r="P2202"/>
      <c r="Q2202"/>
      <c r="W2202" t="str">
        <f>IF(B2202="","",_xll.BDP(B2202,"INDUSTRY_SECTOR"))</f>
        <v/>
      </c>
      <c r="X2202" t="str">
        <f>IF($B2202="","",_xll.BDP($B2202,"INDUSTRY_GROUP"))</f>
        <v/>
      </c>
      <c r="Y2202" t="str">
        <f>IF($B2202="","",_xll.BDP($B2202,"INDUSTRY_SUBGROUP"))</f>
        <v/>
      </c>
      <c r="Z2202" t="str">
        <f>IF($B2202="","",_xll.BDP($B2202,"COUNTRY_FULL_NAME"))</f>
        <v/>
      </c>
    </row>
    <row r="2203" spans="15:26" x14ac:dyDescent="0.25">
      <c r="O2203"/>
      <c r="P2203"/>
      <c r="Q2203"/>
      <c r="W2203" t="str">
        <f>IF(B2203="","",_xll.BDP(B2203,"INDUSTRY_SECTOR"))</f>
        <v/>
      </c>
      <c r="X2203" t="str">
        <f>IF($B2203="","",_xll.BDP($B2203,"INDUSTRY_GROUP"))</f>
        <v/>
      </c>
      <c r="Y2203" t="str">
        <f>IF($B2203="","",_xll.BDP($B2203,"INDUSTRY_SUBGROUP"))</f>
        <v/>
      </c>
      <c r="Z2203" t="str">
        <f>IF($B2203="","",_xll.BDP($B2203,"COUNTRY_FULL_NAME"))</f>
        <v/>
      </c>
    </row>
    <row r="2204" spans="15:26" x14ac:dyDescent="0.25">
      <c r="O2204"/>
      <c r="P2204"/>
      <c r="Q2204"/>
      <c r="W2204" t="str">
        <f>IF(B2204="","",_xll.BDP(B2204,"INDUSTRY_SECTOR"))</f>
        <v/>
      </c>
      <c r="X2204" t="str">
        <f>IF($B2204="","",_xll.BDP($B2204,"INDUSTRY_GROUP"))</f>
        <v/>
      </c>
      <c r="Y2204" t="str">
        <f>IF($B2204="","",_xll.BDP($B2204,"INDUSTRY_SUBGROUP"))</f>
        <v/>
      </c>
      <c r="Z2204" t="str">
        <f>IF($B2204="","",_xll.BDP($B2204,"COUNTRY_FULL_NAME"))</f>
        <v/>
      </c>
    </row>
    <row r="2205" spans="15:26" x14ac:dyDescent="0.25">
      <c r="O2205"/>
      <c r="P2205"/>
      <c r="Q2205"/>
      <c r="W2205" t="str">
        <f>IF(B2205="","",_xll.BDP(B2205,"INDUSTRY_SECTOR"))</f>
        <v/>
      </c>
      <c r="X2205" t="str">
        <f>IF($B2205="","",_xll.BDP($B2205,"INDUSTRY_GROUP"))</f>
        <v/>
      </c>
      <c r="Y2205" t="str">
        <f>IF($B2205="","",_xll.BDP($B2205,"INDUSTRY_SUBGROUP"))</f>
        <v/>
      </c>
      <c r="Z2205" t="str">
        <f>IF($B2205="","",_xll.BDP($B2205,"COUNTRY_FULL_NAME"))</f>
        <v/>
      </c>
    </row>
    <row r="2206" spans="15:26" x14ac:dyDescent="0.25">
      <c r="O2206"/>
      <c r="P2206"/>
      <c r="Q2206"/>
      <c r="W2206" t="str">
        <f>IF(B2206="","",_xll.BDP(B2206,"INDUSTRY_SECTOR"))</f>
        <v/>
      </c>
      <c r="X2206" t="str">
        <f>IF($B2206="","",_xll.BDP($B2206,"INDUSTRY_GROUP"))</f>
        <v/>
      </c>
      <c r="Y2206" t="str">
        <f>IF($B2206="","",_xll.BDP($B2206,"INDUSTRY_SUBGROUP"))</f>
        <v/>
      </c>
      <c r="Z2206" t="str">
        <f>IF($B2206="","",_xll.BDP($B2206,"COUNTRY_FULL_NAME"))</f>
        <v/>
      </c>
    </row>
    <row r="2207" spans="15:26" x14ac:dyDescent="0.25">
      <c r="O2207"/>
      <c r="P2207"/>
      <c r="Q2207"/>
      <c r="W2207" t="str">
        <f>IF(B2207="","",_xll.BDP(B2207,"INDUSTRY_SECTOR"))</f>
        <v/>
      </c>
      <c r="X2207" t="str">
        <f>IF($B2207="","",_xll.BDP($B2207,"INDUSTRY_GROUP"))</f>
        <v/>
      </c>
      <c r="Y2207" t="str">
        <f>IF($B2207="","",_xll.BDP($B2207,"INDUSTRY_SUBGROUP"))</f>
        <v/>
      </c>
      <c r="Z2207" t="str">
        <f>IF($B2207="","",_xll.BDP($B2207,"COUNTRY_FULL_NAME"))</f>
        <v/>
      </c>
    </row>
    <row r="2208" spans="15:26" x14ac:dyDescent="0.25">
      <c r="O2208"/>
      <c r="P2208"/>
      <c r="Q2208"/>
      <c r="W2208" t="str">
        <f>IF(B2208="","",_xll.BDP(B2208,"INDUSTRY_SECTOR"))</f>
        <v/>
      </c>
      <c r="X2208" t="str">
        <f>IF($B2208="","",_xll.BDP($B2208,"INDUSTRY_GROUP"))</f>
        <v/>
      </c>
      <c r="Y2208" t="str">
        <f>IF($B2208="","",_xll.BDP($B2208,"INDUSTRY_SUBGROUP"))</f>
        <v/>
      </c>
      <c r="Z2208" t="str">
        <f>IF($B2208="","",_xll.BDP($B2208,"COUNTRY_FULL_NAME"))</f>
        <v/>
      </c>
    </row>
    <row r="2209" spans="15:26" x14ac:dyDescent="0.25">
      <c r="O2209"/>
      <c r="P2209"/>
      <c r="Q2209"/>
      <c r="W2209" t="str">
        <f>IF(B2209="","",_xll.BDP(B2209,"INDUSTRY_SECTOR"))</f>
        <v/>
      </c>
      <c r="X2209" t="str">
        <f>IF($B2209="","",_xll.BDP($B2209,"INDUSTRY_GROUP"))</f>
        <v/>
      </c>
      <c r="Y2209" t="str">
        <f>IF($B2209="","",_xll.BDP($B2209,"INDUSTRY_SUBGROUP"))</f>
        <v/>
      </c>
      <c r="Z2209" t="str">
        <f>IF($B2209="","",_xll.BDP($B2209,"COUNTRY_FULL_NAME"))</f>
        <v/>
      </c>
    </row>
    <row r="2210" spans="15:26" x14ac:dyDescent="0.25">
      <c r="O2210"/>
      <c r="P2210"/>
      <c r="Q2210"/>
      <c r="W2210" t="str">
        <f>IF(B2210="","",_xll.BDP(B2210,"INDUSTRY_SECTOR"))</f>
        <v/>
      </c>
      <c r="X2210" t="str">
        <f>IF($B2210="","",_xll.BDP($B2210,"INDUSTRY_GROUP"))</f>
        <v/>
      </c>
      <c r="Y2210" t="str">
        <f>IF($B2210="","",_xll.BDP($B2210,"INDUSTRY_SUBGROUP"))</f>
        <v/>
      </c>
      <c r="Z2210" t="str">
        <f>IF($B2210="","",_xll.BDP($B2210,"COUNTRY_FULL_NAME"))</f>
        <v/>
      </c>
    </row>
    <row r="2211" spans="15:26" x14ac:dyDescent="0.25">
      <c r="O2211"/>
      <c r="P2211"/>
      <c r="Q2211"/>
      <c r="W2211" t="str">
        <f>IF(B2211="","",_xll.BDP(B2211,"INDUSTRY_SECTOR"))</f>
        <v/>
      </c>
      <c r="X2211" t="str">
        <f>IF($B2211="","",_xll.BDP($B2211,"INDUSTRY_GROUP"))</f>
        <v/>
      </c>
      <c r="Y2211" t="str">
        <f>IF($B2211="","",_xll.BDP($B2211,"INDUSTRY_SUBGROUP"))</f>
        <v/>
      </c>
      <c r="Z2211" t="str">
        <f>IF($B2211="","",_xll.BDP($B2211,"COUNTRY_FULL_NAME"))</f>
        <v/>
      </c>
    </row>
    <row r="2212" spans="15:26" x14ac:dyDescent="0.25">
      <c r="O2212"/>
      <c r="P2212"/>
      <c r="Q2212"/>
      <c r="W2212" t="str">
        <f>IF(B2212="","",_xll.BDP(B2212,"INDUSTRY_SECTOR"))</f>
        <v/>
      </c>
      <c r="X2212" t="str">
        <f>IF($B2212="","",_xll.BDP($B2212,"INDUSTRY_GROUP"))</f>
        <v/>
      </c>
      <c r="Y2212" t="str">
        <f>IF($B2212="","",_xll.BDP($B2212,"INDUSTRY_SUBGROUP"))</f>
        <v/>
      </c>
      <c r="Z2212" t="str">
        <f>IF($B2212="","",_xll.BDP($B2212,"COUNTRY_FULL_NAME"))</f>
        <v/>
      </c>
    </row>
    <row r="2213" spans="15:26" x14ac:dyDescent="0.25">
      <c r="O2213"/>
      <c r="P2213"/>
      <c r="Q2213"/>
      <c r="W2213" t="str">
        <f>IF(B2213="","",_xll.BDP(B2213,"INDUSTRY_SECTOR"))</f>
        <v/>
      </c>
      <c r="X2213" t="str">
        <f>IF($B2213="","",_xll.BDP($B2213,"INDUSTRY_GROUP"))</f>
        <v/>
      </c>
      <c r="Y2213" t="str">
        <f>IF($B2213="","",_xll.BDP($B2213,"INDUSTRY_SUBGROUP"))</f>
        <v/>
      </c>
      <c r="Z2213" t="str">
        <f>IF($B2213="","",_xll.BDP($B2213,"COUNTRY_FULL_NAME"))</f>
        <v/>
      </c>
    </row>
    <row r="2214" spans="15:26" x14ac:dyDescent="0.25">
      <c r="O2214"/>
      <c r="P2214"/>
      <c r="Q2214"/>
      <c r="W2214" t="str">
        <f>IF(B2214="","",_xll.BDP(B2214,"INDUSTRY_SECTOR"))</f>
        <v/>
      </c>
      <c r="X2214" t="str">
        <f>IF($B2214="","",_xll.BDP($B2214,"INDUSTRY_GROUP"))</f>
        <v/>
      </c>
      <c r="Y2214" t="str">
        <f>IF($B2214="","",_xll.BDP($B2214,"INDUSTRY_SUBGROUP"))</f>
        <v/>
      </c>
      <c r="Z2214" t="str">
        <f>IF($B2214="","",_xll.BDP($B2214,"COUNTRY_FULL_NAME"))</f>
        <v/>
      </c>
    </row>
    <row r="2215" spans="15:26" x14ac:dyDescent="0.25">
      <c r="O2215"/>
      <c r="P2215"/>
      <c r="Q2215"/>
      <c r="W2215" t="str">
        <f>IF(B2215="","",_xll.BDP(B2215,"INDUSTRY_SECTOR"))</f>
        <v/>
      </c>
      <c r="X2215" t="str">
        <f>IF($B2215="","",_xll.BDP($B2215,"INDUSTRY_GROUP"))</f>
        <v/>
      </c>
      <c r="Y2215" t="str">
        <f>IF($B2215="","",_xll.BDP($B2215,"INDUSTRY_SUBGROUP"))</f>
        <v/>
      </c>
      <c r="Z2215" t="str">
        <f>IF($B2215="","",_xll.BDP($B2215,"COUNTRY_FULL_NAME"))</f>
        <v/>
      </c>
    </row>
    <row r="2216" spans="15:26" x14ac:dyDescent="0.25">
      <c r="O2216"/>
      <c r="P2216"/>
      <c r="Q2216"/>
      <c r="W2216" t="str">
        <f>IF(B2216="","",_xll.BDP(B2216,"INDUSTRY_SECTOR"))</f>
        <v/>
      </c>
      <c r="X2216" t="str">
        <f>IF($B2216="","",_xll.BDP($B2216,"INDUSTRY_GROUP"))</f>
        <v/>
      </c>
      <c r="Y2216" t="str">
        <f>IF($B2216="","",_xll.BDP($B2216,"INDUSTRY_SUBGROUP"))</f>
        <v/>
      </c>
      <c r="Z2216" t="str">
        <f>IF($B2216="","",_xll.BDP($B2216,"COUNTRY_FULL_NAME"))</f>
        <v/>
      </c>
    </row>
    <row r="2217" spans="15:26" x14ac:dyDescent="0.25">
      <c r="O2217"/>
      <c r="P2217"/>
      <c r="Q2217"/>
      <c r="W2217" t="str">
        <f>IF(B2217="","",_xll.BDP(B2217,"INDUSTRY_SECTOR"))</f>
        <v/>
      </c>
      <c r="X2217" t="str">
        <f>IF($B2217="","",_xll.BDP($B2217,"INDUSTRY_GROUP"))</f>
        <v/>
      </c>
      <c r="Y2217" t="str">
        <f>IF($B2217="","",_xll.BDP($B2217,"INDUSTRY_SUBGROUP"))</f>
        <v/>
      </c>
      <c r="Z2217" t="str">
        <f>IF($B2217="","",_xll.BDP($B2217,"COUNTRY_FULL_NAME"))</f>
        <v/>
      </c>
    </row>
    <row r="2218" spans="15:26" x14ac:dyDescent="0.25">
      <c r="O2218"/>
      <c r="P2218"/>
      <c r="Q2218"/>
      <c r="W2218" t="str">
        <f>IF(B2218="","",_xll.BDP(B2218,"INDUSTRY_SECTOR"))</f>
        <v/>
      </c>
      <c r="X2218" t="str">
        <f>IF($B2218="","",_xll.BDP($B2218,"INDUSTRY_GROUP"))</f>
        <v/>
      </c>
      <c r="Y2218" t="str">
        <f>IF($B2218="","",_xll.BDP($B2218,"INDUSTRY_SUBGROUP"))</f>
        <v/>
      </c>
      <c r="Z2218" t="str">
        <f>IF($B2218="","",_xll.BDP($B2218,"COUNTRY_FULL_NAME"))</f>
        <v/>
      </c>
    </row>
    <row r="2219" spans="15:26" x14ac:dyDescent="0.25">
      <c r="O2219"/>
      <c r="P2219"/>
      <c r="Q2219"/>
      <c r="W2219" t="str">
        <f>IF(B2219="","",_xll.BDP(B2219,"INDUSTRY_SECTOR"))</f>
        <v/>
      </c>
      <c r="X2219" t="str">
        <f>IF($B2219="","",_xll.BDP($B2219,"INDUSTRY_GROUP"))</f>
        <v/>
      </c>
      <c r="Y2219" t="str">
        <f>IF($B2219="","",_xll.BDP($B2219,"INDUSTRY_SUBGROUP"))</f>
        <v/>
      </c>
      <c r="Z2219" t="str">
        <f>IF($B2219="","",_xll.BDP($B2219,"COUNTRY_FULL_NAME"))</f>
        <v/>
      </c>
    </row>
    <row r="2220" spans="15:26" x14ac:dyDescent="0.25">
      <c r="O2220"/>
      <c r="P2220"/>
      <c r="Q2220"/>
      <c r="W2220" t="str">
        <f>IF(B2220="","",_xll.BDP(B2220,"INDUSTRY_SECTOR"))</f>
        <v/>
      </c>
      <c r="X2220" t="str">
        <f>IF($B2220="","",_xll.BDP($B2220,"INDUSTRY_GROUP"))</f>
        <v/>
      </c>
      <c r="Y2220" t="str">
        <f>IF($B2220="","",_xll.BDP($B2220,"INDUSTRY_SUBGROUP"))</f>
        <v/>
      </c>
      <c r="Z2220" t="str">
        <f>IF($B2220="","",_xll.BDP($B2220,"COUNTRY_FULL_NAME"))</f>
        <v/>
      </c>
    </row>
    <row r="2221" spans="15:26" x14ac:dyDescent="0.25">
      <c r="O2221"/>
      <c r="P2221"/>
      <c r="Q2221"/>
      <c r="W2221" t="str">
        <f>IF(B2221="","",_xll.BDP(B2221,"INDUSTRY_SECTOR"))</f>
        <v/>
      </c>
      <c r="X2221" t="str">
        <f>IF($B2221="","",_xll.BDP($B2221,"INDUSTRY_GROUP"))</f>
        <v/>
      </c>
      <c r="Y2221" t="str">
        <f>IF($B2221="","",_xll.BDP($B2221,"INDUSTRY_SUBGROUP"))</f>
        <v/>
      </c>
      <c r="Z2221" t="str">
        <f>IF($B2221="","",_xll.BDP($B2221,"COUNTRY_FULL_NAME"))</f>
        <v/>
      </c>
    </row>
    <row r="2222" spans="15:26" x14ac:dyDescent="0.25">
      <c r="O2222"/>
      <c r="P2222"/>
      <c r="Q2222"/>
      <c r="W2222" t="str">
        <f>IF(B2222="","",_xll.BDP(B2222,"INDUSTRY_SECTOR"))</f>
        <v/>
      </c>
      <c r="X2222" t="str">
        <f>IF($B2222="","",_xll.BDP($B2222,"INDUSTRY_GROUP"))</f>
        <v/>
      </c>
      <c r="Y2222" t="str">
        <f>IF($B2222="","",_xll.BDP($B2222,"INDUSTRY_SUBGROUP"))</f>
        <v/>
      </c>
      <c r="Z2222" t="str">
        <f>IF($B2222="","",_xll.BDP($B2222,"COUNTRY_FULL_NAME"))</f>
        <v/>
      </c>
    </row>
    <row r="2223" spans="15:26" x14ac:dyDescent="0.25">
      <c r="O2223"/>
      <c r="P2223"/>
      <c r="Q2223"/>
      <c r="W2223" t="str">
        <f>IF(B2223="","",_xll.BDP(B2223,"INDUSTRY_SECTOR"))</f>
        <v/>
      </c>
      <c r="X2223" t="str">
        <f>IF($B2223="","",_xll.BDP($B2223,"INDUSTRY_GROUP"))</f>
        <v/>
      </c>
      <c r="Y2223" t="str">
        <f>IF($B2223="","",_xll.BDP($B2223,"INDUSTRY_SUBGROUP"))</f>
        <v/>
      </c>
      <c r="Z2223" t="str">
        <f>IF($B2223="","",_xll.BDP($B2223,"COUNTRY_FULL_NAME"))</f>
        <v/>
      </c>
    </row>
    <row r="2224" spans="15:26" x14ac:dyDescent="0.25">
      <c r="O2224"/>
      <c r="P2224"/>
      <c r="Q2224"/>
      <c r="W2224" t="str">
        <f>IF(B2224="","",_xll.BDP(B2224,"INDUSTRY_SECTOR"))</f>
        <v/>
      </c>
      <c r="X2224" t="str">
        <f>IF($B2224="","",_xll.BDP($B2224,"INDUSTRY_GROUP"))</f>
        <v/>
      </c>
      <c r="Y2224" t="str">
        <f>IF($B2224="","",_xll.BDP($B2224,"INDUSTRY_SUBGROUP"))</f>
        <v/>
      </c>
      <c r="Z2224" t="str">
        <f>IF($B2224="","",_xll.BDP($B2224,"COUNTRY_FULL_NAME"))</f>
        <v/>
      </c>
    </row>
    <row r="2225" spans="15:26" x14ac:dyDescent="0.25">
      <c r="O2225"/>
      <c r="P2225"/>
      <c r="Q2225"/>
      <c r="W2225" t="str">
        <f>IF(B2225="","",_xll.BDP(B2225,"INDUSTRY_SECTOR"))</f>
        <v/>
      </c>
      <c r="X2225" t="str">
        <f>IF($B2225="","",_xll.BDP($B2225,"INDUSTRY_GROUP"))</f>
        <v/>
      </c>
      <c r="Y2225" t="str">
        <f>IF($B2225="","",_xll.BDP($B2225,"INDUSTRY_SUBGROUP"))</f>
        <v/>
      </c>
      <c r="Z2225" t="str">
        <f>IF($B2225="","",_xll.BDP($B2225,"COUNTRY_FULL_NAME"))</f>
        <v/>
      </c>
    </row>
    <row r="2226" spans="15:26" x14ac:dyDescent="0.25">
      <c r="O2226"/>
      <c r="P2226"/>
      <c r="Q2226"/>
      <c r="W2226" t="str">
        <f>IF(B2226="","",_xll.BDP(B2226,"INDUSTRY_SECTOR"))</f>
        <v/>
      </c>
      <c r="X2226" t="str">
        <f>IF($B2226="","",_xll.BDP($B2226,"INDUSTRY_GROUP"))</f>
        <v/>
      </c>
      <c r="Y2226" t="str">
        <f>IF($B2226="","",_xll.BDP($B2226,"INDUSTRY_SUBGROUP"))</f>
        <v/>
      </c>
      <c r="Z2226" t="str">
        <f>IF($B2226="","",_xll.BDP($B2226,"COUNTRY_FULL_NAME"))</f>
        <v/>
      </c>
    </row>
    <row r="2227" spans="15:26" x14ac:dyDescent="0.25">
      <c r="O2227"/>
      <c r="P2227"/>
      <c r="Q2227"/>
      <c r="W2227" t="str">
        <f>IF(B2227="","",_xll.BDP(B2227,"INDUSTRY_SECTOR"))</f>
        <v/>
      </c>
      <c r="X2227" t="str">
        <f>IF($B2227="","",_xll.BDP($B2227,"INDUSTRY_GROUP"))</f>
        <v/>
      </c>
      <c r="Y2227" t="str">
        <f>IF($B2227="","",_xll.BDP($B2227,"INDUSTRY_SUBGROUP"))</f>
        <v/>
      </c>
      <c r="Z2227" t="str">
        <f>IF($B2227="","",_xll.BDP($B2227,"COUNTRY_FULL_NAME"))</f>
        <v/>
      </c>
    </row>
    <row r="2228" spans="15:26" x14ac:dyDescent="0.25">
      <c r="O2228"/>
      <c r="P2228"/>
      <c r="Q2228"/>
      <c r="W2228" t="str">
        <f>IF(B2228="","",_xll.BDP(B2228,"INDUSTRY_SECTOR"))</f>
        <v/>
      </c>
      <c r="X2228" t="str">
        <f>IF($B2228="","",_xll.BDP($B2228,"INDUSTRY_GROUP"))</f>
        <v/>
      </c>
      <c r="Y2228" t="str">
        <f>IF($B2228="","",_xll.BDP($B2228,"INDUSTRY_SUBGROUP"))</f>
        <v/>
      </c>
      <c r="Z2228" t="str">
        <f>IF($B2228="","",_xll.BDP($B2228,"COUNTRY_FULL_NAME"))</f>
        <v/>
      </c>
    </row>
    <row r="2229" spans="15:26" x14ac:dyDescent="0.25">
      <c r="O2229"/>
      <c r="P2229"/>
      <c r="Q2229"/>
      <c r="W2229" t="str">
        <f>IF(B2229="","",_xll.BDP(B2229,"INDUSTRY_SECTOR"))</f>
        <v/>
      </c>
      <c r="X2229" t="str">
        <f>IF($B2229="","",_xll.BDP($B2229,"INDUSTRY_GROUP"))</f>
        <v/>
      </c>
      <c r="Y2229" t="str">
        <f>IF($B2229="","",_xll.BDP($B2229,"INDUSTRY_SUBGROUP"))</f>
        <v/>
      </c>
      <c r="Z2229" t="str">
        <f>IF($B2229="","",_xll.BDP($B2229,"COUNTRY_FULL_NAME"))</f>
        <v/>
      </c>
    </row>
    <row r="2230" spans="15:26" x14ac:dyDescent="0.25">
      <c r="O2230"/>
      <c r="P2230"/>
      <c r="Q2230"/>
      <c r="W2230" t="str">
        <f>IF(B2230="","",_xll.BDP(B2230,"INDUSTRY_SECTOR"))</f>
        <v/>
      </c>
      <c r="X2230" t="str">
        <f>IF($B2230="","",_xll.BDP($B2230,"INDUSTRY_GROUP"))</f>
        <v/>
      </c>
      <c r="Y2230" t="str">
        <f>IF($B2230="","",_xll.BDP($B2230,"INDUSTRY_SUBGROUP"))</f>
        <v/>
      </c>
      <c r="Z2230" t="str">
        <f>IF($B2230="","",_xll.BDP($B2230,"COUNTRY_FULL_NAME"))</f>
        <v/>
      </c>
    </row>
    <row r="2231" spans="15:26" x14ac:dyDescent="0.25">
      <c r="O2231"/>
      <c r="P2231"/>
      <c r="Q2231"/>
      <c r="W2231" t="str">
        <f>IF(B2231="","",_xll.BDP(B2231,"INDUSTRY_SECTOR"))</f>
        <v/>
      </c>
      <c r="X2231" t="str">
        <f>IF($B2231="","",_xll.BDP($B2231,"INDUSTRY_GROUP"))</f>
        <v/>
      </c>
      <c r="Y2231" t="str">
        <f>IF($B2231="","",_xll.BDP($B2231,"INDUSTRY_SUBGROUP"))</f>
        <v/>
      </c>
      <c r="Z2231" t="str">
        <f>IF($B2231="","",_xll.BDP($B2231,"COUNTRY_FULL_NAME"))</f>
        <v/>
      </c>
    </row>
    <row r="2232" spans="15:26" x14ac:dyDescent="0.25">
      <c r="O2232"/>
      <c r="P2232"/>
      <c r="Q2232"/>
      <c r="W2232" t="str">
        <f>IF(B2232="","",_xll.BDP(B2232,"INDUSTRY_SECTOR"))</f>
        <v/>
      </c>
      <c r="X2232" t="str">
        <f>IF($B2232="","",_xll.BDP($B2232,"INDUSTRY_GROUP"))</f>
        <v/>
      </c>
      <c r="Y2232" t="str">
        <f>IF($B2232="","",_xll.BDP($B2232,"INDUSTRY_SUBGROUP"))</f>
        <v/>
      </c>
      <c r="Z2232" t="str">
        <f>IF($B2232="","",_xll.BDP($B2232,"COUNTRY_FULL_NAME"))</f>
        <v/>
      </c>
    </row>
    <row r="2233" spans="15:26" x14ac:dyDescent="0.25">
      <c r="O2233"/>
      <c r="P2233"/>
      <c r="Q2233"/>
      <c r="W2233" t="str">
        <f>IF(B2233="","",_xll.BDP(B2233,"INDUSTRY_SECTOR"))</f>
        <v/>
      </c>
      <c r="X2233" t="str">
        <f>IF($B2233="","",_xll.BDP($B2233,"INDUSTRY_GROUP"))</f>
        <v/>
      </c>
      <c r="Y2233" t="str">
        <f>IF($B2233="","",_xll.BDP($B2233,"INDUSTRY_SUBGROUP"))</f>
        <v/>
      </c>
      <c r="Z2233" t="str">
        <f>IF($B2233="","",_xll.BDP($B2233,"COUNTRY_FULL_NAME"))</f>
        <v/>
      </c>
    </row>
    <row r="2234" spans="15:26" x14ac:dyDescent="0.25">
      <c r="O2234"/>
      <c r="P2234"/>
      <c r="Q2234"/>
      <c r="W2234" t="str">
        <f>IF(B2234="","",_xll.BDP(B2234,"INDUSTRY_SECTOR"))</f>
        <v/>
      </c>
      <c r="X2234" t="str">
        <f>IF($B2234="","",_xll.BDP($B2234,"INDUSTRY_GROUP"))</f>
        <v/>
      </c>
      <c r="Y2234" t="str">
        <f>IF($B2234="","",_xll.BDP($B2234,"INDUSTRY_SUBGROUP"))</f>
        <v/>
      </c>
      <c r="Z2234" t="str">
        <f>IF($B2234="","",_xll.BDP($B2234,"COUNTRY_FULL_NAME"))</f>
        <v/>
      </c>
    </row>
    <row r="2235" spans="15:26" x14ac:dyDescent="0.25">
      <c r="O2235"/>
      <c r="P2235"/>
      <c r="Q2235"/>
      <c r="W2235" t="str">
        <f>IF(B2235="","",_xll.BDP(B2235,"INDUSTRY_SECTOR"))</f>
        <v/>
      </c>
      <c r="X2235" t="str">
        <f>IF($B2235="","",_xll.BDP($B2235,"INDUSTRY_GROUP"))</f>
        <v/>
      </c>
      <c r="Y2235" t="str">
        <f>IF($B2235="","",_xll.BDP($B2235,"INDUSTRY_SUBGROUP"))</f>
        <v/>
      </c>
      <c r="Z2235" t="str">
        <f>IF($B2235="","",_xll.BDP($B2235,"COUNTRY_FULL_NAME"))</f>
        <v/>
      </c>
    </row>
    <row r="2236" spans="15:26" x14ac:dyDescent="0.25">
      <c r="O2236"/>
      <c r="P2236"/>
      <c r="Q2236"/>
      <c r="W2236" t="str">
        <f>IF(B2236="","",_xll.BDP(B2236,"INDUSTRY_SECTOR"))</f>
        <v/>
      </c>
      <c r="X2236" t="str">
        <f>IF($B2236="","",_xll.BDP($B2236,"INDUSTRY_GROUP"))</f>
        <v/>
      </c>
      <c r="Y2236" t="str">
        <f>IF($B2236="","",_xll.BDP($B2236,"INDUSTRY_SUBGROUP"))</f>
        <v/>
      </c>
      <c r="Z2236" t="str">
        <f>IF($B2236="","",_xll.BDP($B2236,"COUNTRY_FULL_NAME"))</f>
        <v/>
      </c>
    </row>
    <row r="2237" spans="15:26" x14ac:dyDescent="0.25">
      <c r="O2237"/>
      <c r="P2237"/>
      <c r="Q2237"/>
      <c r="W2237" t="str">
        <f>IF(B2237="","",_xll.BDP(B2237,"INDUSTRY_SECTOR"))</f>
        <v/>
      </c>
      <c r="X2237" t="str">
        <f>IF($B2237="","",_xll.BDP($B2237,"INDUSTRY_GROUP"))</f>
        <v/>
      </c>
      <c r="Y2237" t="str">
        <f>IF($B2237="","",_xll.BDP($B2237,"INDUSTRY_SUBGROUP"))</f>
        <v/>
      </c>
      <c r="Z2237" t="str">
        <f>IF($B2237="","",_xll.BDP($B2237,"COUNTRY_FULL_NAME"))</f>
        <v/>
      </c>
    </row>
    <row r="2238" spans="15:26" x14ac:dyDescent="0.25">
      <c r="O2238"/>
      <c r="P2238"/>
      <c r="Q2238"/>
      <c r="W2238" t="str">
        <f>IF(B2238="","",_xll.BDP(B2238,"INDUSTRY_SECTOR"))</f>
        <v/>
      </c>
      <c r="X2238" t="str">
        <f>IF($B2238="","",_xll.BDP($B2238,"INDUSTRY_GROUP"))</f>
        <v/>
      </c>
      <c r="Y2238" t="str">
        <f>IF($B2238="","",_xll.BDP($B2238,"INDUSTRY_SUBGROUP"))</f>
        <v/>
      </c>
      <c r="Z2238" t="str">
        <f>IF($B2238="","",_xll.BDP($B2238,"COUNTRY_FULL_NAME"))</f>
        <v/>
      </c>
    </row>
    <row r="2239" spans="15:26" x14ac:dyDescent="0.25">
      <c r="O2239"/>
      <c r="P2239"/>
      <c r="Q2239"/>
      <c r="W2239" t="str">
        <f>IF(B2239="","",_xll.BDP(B2239,"INDUSTRY_SECTOR"))</f>
        <v/>
      </c>
      <c r="X2239" t="str">
        <f>IF($B2239="","",_xll.BDP($B2239,"INDUSTRY_GROUP"))</f>
        <v/>
      </c>
      <c r="Y2239" t="str">
        <f>IF($B2239="","",_xll.BDP($B2239,"INDUSTRY_SUBGROUP"))</f>
        <v/>
      </c>
      <c r="Z2239" t="str">
        <f>IF($B2239="","",_xll.BDP($B2239,"COUNTRY_FULL_NAME"))</f>
        <v/>
      </c>
    </row>
    <row r="2240" spans="15:26" x14ac:dyDescent="0.25">
      <c r="O2240"/>
      <c r="P2240"/>
      <c r="Q2240"/>
      <c r="W2240" t="str">
        <f>IF(B2240="","",_xll.BDP(B2240,"INDUSTRY_SECTOR"))</f>
        <v/>
      </c>
      <c r="X2240" t="str">
        <f>IF($B2240="","",_xll.BDP($B2240,"INDUSTRY_GROUP"))</f>
        <v/>
      </c>
      <c r="Y2240" t="str">
        <f>IF($B2240="","",_xll.BDP($B2240,"INDUSTRY_SUBGROUP"))</f>
        <v/>
      </c>
      <c r="Z2240" t="str">
        <f>IF($B2240="","",_xll.BDP($B2240,"COUNTRY_FULL_NAME"))</f>
        <v/>
      </c>
    </row>
    <row r="2241" spans="15:26" x14ac:dyDescent="0.25">
      <c r="O2241"/>
      <c r="P2241"/>
      <c r="Q2241"/>
      <c r="W2241" t="str">
        <f>IF(B2241="","",_xll.BDP(B2241,"INDUSTRY_SECTOR"))</f>
        <v/>
      </c>
      <c r="X2241" t="str">
        <f>IF($B2241="","",_xll.BDP($B2241,"INDUSTRY_GROUP"))</f>
        <v/>
      </c>
      <c r="Y2241" t="str">
        <f>IF($B2241="","",_xll.BDP($B2241,"INDUSTRY_SUBGROUP"))</f>
        <v/>
      </c>
      <c r="Z2241" t="str">
        <f>IF($B2241="","",_xll.BDP($B2241,"COUNTRY_FULL_NAME"))</f>
        <v/>
      </c>
    </row>
    <row r="2242" spans="15:26" x14ac:dyDescent="0.25">
      <c r="O2242"/>
      <c r="P2242"/>
      <c r="Q2242"/>
      <c r="W2242" t="str">
        <f>IF(B2242="","",_xll.BDP(B2242,"INDUSTRY_SECTOR"))</f>
        <v/>
      </c>
      <c r="X2242" t="str">
        <f>IF($B2242="","",_xll.BDP($B2242,"INDUSTRY_GROUP"))</f>
        <v/>
      </c>
      <c r="Y2242" t="str">
        <f>IF($B2242="","",_xll.BDP($B2242,"INDUSTRY_SUBGROUP"))</f>
        <v/>
      </c>
      <c r="Z2242" t="str">
        <f>IF($B2242="","",_xll.BDP($B2242,"COUNTRY_FULL_NAME"))</f>
        <v/>
      </c>
    </row>
    <row r="2243" spans="15:26" x14ac:dyDescent="0.25">
      <c r="O2243"/>
      <c r="P2243"/>
      <c r="Q2243"/>
      <c r="W2243" t="str">
        <f>IF(B2243="","",_xll.BDP(B2243,"INDUSTRY_SECTOR"))</f>
        <v/>
      </c>
      <c r="X2243" t="str">
        <f>IF($B2243="","",_xll.BDP($B2243,"INDUSTRY_GROUP"))</f>
        <v/>
      </c>
      <c r="Y2243" t="str">
        <f>IF($B2243="","",_xll.BDP($B2243,"INDUSTRY_SUBGROUP"))</f>
        <v/>
      </c>
      <c r="Z2243" t="str">
        <f>IF($B2243="","",_xll.BDP($B2243,"COUNTRY_FULL_NAME"))</f>
        <v/>
      </c>
    </row>
    <row r="2244" spans="15:26" x14ac:dyDescent="0.25">
      <c r="O2244"/>
      <c r="P2244"/>
      <c r="Q2244"/>
      <c r="W2244" t="str">
        <f>IF(B2244="","",_xll.BDP(B2244,"INDUSTRY_SECTOR"))</f>
        <v/>
      </c>
      <c r="X2244" t="str">
        <f>IF($B2244="","",_xll.BDP($B2244,"INDUSTRY_GROUP"))</f>
        <v/>
      </c>
      <c r="Y2244" t="str">
        <f>IF($B2244="","",_xll.BDP($B2244,"INDUSTRY_SUBGROUP"))</f>
        <v/>
      </c>
      <c r="Z2244" t="str">
        <f>IF($B2244="","",_xll.BDP($B2244,"COUNTRY_FULL_NAME"))</f>
        <v/>
      </c>
    </row>
    <row r="2245" spans="15:26" x14ac:dyDescent="0.25">
      <c r="O2245"/>
      <c r="P2245"/>
      <c r="Q2245"/>
      <c r="W2245" t="str">
        <f>IF(B2245="","",_xll.BDP(B2245,"INDUSTRY_SECTOR"))</f>
        <v/>
      </c>
      <c r="X2245" t="str">
        <f>IF($B2245="","",_xll.BDP($B2245,"INDUSTRY_GROUP"))</f>
        <v/>
      </c>
      <c r="Y2245" t="str">
        <f>IF($B2245="","",_xll.BDP($B2245,"INDUSTRY_SUBGROUP"))</f>
        <v/>
      </c>
      <c r="Z2245" t="str">
        <f>IF($B2245="","",_xll.BDP($B2245,"COUNTRY_FULL_NAME"))</f>
        <v/>
      </c>
    </row>
    <row r="2246" spans="15:26" x14ac:dyDescent="0.25">
      <c r="O2246"/>
      <c r="P2246"/>
      <c r="Q2246"/>
      <c r="W2246" t="str">
        <f>IF(B2246="","",_xll.BDP(B2246,"INDUSTRY_SECTOR"))</f>
        <v/>
      </c>
      <c r="X2246" t="str">
        <f>IF($B2246="","",_xll.BDP($B2246,"INDUSTRY_GROUP"))</f>
        <v/>
      </c>
      <c r="Y2246" t="str">
        <f>IF($B2246="","",_xll.BDP($B2246,"INDUSTRY_SUBGROUP"))</f>
        <v/>
      </c>
      <c r="Z2246" t="str">
        <f>IF($B2246="","",_xll.BDP($B2246,"COUNTRY_FULL_NAME"))</f>
        <v/>
      </c>
    </row>
    <row r="2247" spans="15:26" x14ac:dyDescent="0.25">
      <c r="O2247"/>
      <c r="P2247"/>
      <c r="Q2247"/>
      <c r="W2247" t="str">
        <f>IF(B2247="","",_xll.BDP(B2247,"INDUSTRY_SECTOR"))</f>
        <v/>
      </c>
      <c r="X2247" t="str">
        <f>IF($B2247="","",_xll.BDP($B2247,"INDUSTRY_GROUP"))</f>
        <v/>
      </c>
      <c r="Y2247" t="str">
        <f>IF($B2247="","",_xll.BDP($B2247,"INDUSTRY_SUBGROUP"))</f>
        <v/>
      </c>
      <c r="Z2247" t="str">
        <f>IF($B2247="","",_xll.BDP($B2247,"COUNTRY_FULL_NAME"))</f>
        <v/>
      </c>
    </row>
    <row r="2248" spans="15:26" x14ac:dyDescent="0.25">
      <c r="O2248"/>
      <c r="P2248"/>
      <c r="Q2248"/>
      <c r="W2248" t="str">
        <f>IF(B2248="","",_xll.BDP(B2248,"INDUSTRY_SECTOR"))</f>
        <v/>
      </c>
      <c r="X2248" t="str">
        <f>IF($B2248="","",_xll.BDP($B2248,"INDUSTRY_GROUP"))</f>
        <v/>
      </c>
      <c r="Y2248" t="str">
        <f>IF($B2248="","",_xll.BDP($B2248,"INDUSTRY_SUBGROUP"))</f>
        <v/>
      </c>
      <c r="Z2248" t="str">
        <f>IF($B2248="","",_xll.BDP($B2248,"COUNTRY_FULL_NAME"))</f>
        <v/>
      </c>
    </row>
    <row r="2249" spans="15:26" x14ac:dyDescent="0.25">
      <c r="O2249"/>
      <c r="P2249"/>
      <c r="Q2249"/>
      <c r="W2249" t="str">
        <f>IF(B2249="","",_xll.BDP(B2249,"INDUSTRY_SECTOR"))</f>
        <v/>
      </c>
      <c r="X2249" t="str">
        <f>IF($B2249="","",_xll.BDP($B2249,"INDUSTRY_GROUP"))</f>
        <v/>
      </c>
      <c r="Y2249" t="str">
        <f>IF($B2249="","",_xll.BDP($B2249,"INDUSTRY_SUBGROUP"))</f>
        <v/>
      </c>
      <c r="Z2249" t="str">
        <f>IF($B2249="","",_xll.BDP($B2249,"COUNTRY_FULL_NAME"))</f>
        <v/>
      </c>
    </row>
    <row r="2250" spans="15:26" x14ac:dyDescent="0.25">
      <c r="O2250"/>
      <c r="P2250"/>
      <c r="Q2250"/>
      <c r="W2250" t="str">
        <f>IF(B2250="","",_xll.BDP(B2250,"INDUSTRY_SECTOR"))</f>
        <v/>
      </c>
      <c r="X2250" t="str">
        <f>IF($B2250="","",_xll.BDP($B2250,"INDUSTRY_GROUP"))</f>
        <v/>
      </c>
      <c r="Y2250" t="str">
        <f>IF($B2250="","",_xll.BDP($B2250,"INDUSTRY_SUBGROUP"))</f>
        <v/>
      </c>
      <c r="Z2250" t="str">
        <f>IF($B2250="","",_xll.BDP($B2250,"COUNTRY_FULL_NAME"))</f>
        <v/>
      </c>
    </row>
    <row r="2251" spans="15:26" x14ac:dyDescent="0.25">
      <c r="O2251"/>
      <c r="P2251"/>
      <c r="Q2251"/>
      <c r="W2251" t="str">
        <f>IF(B2251="","",_xll.BDP(B2251,"INDUSTRY_SECTOR"))</f>
        <v/>
      </c>
      <c r="X2251" t="str">
        <f>IF($B2251="","",_xll.BDP($B2251,"INDUSTRY_GROUP"))</f>
        <v/>
      </c>
      <c r="Y2251" t="str">
        <f>IF($B2251="","",_xll.BDP($B2251,"INDUSTRY_SUBGROUP"))</f>
        <v/>
      </c>
      <c r="Z2251" t="str">
        <f>IF($B2251="","",_xll.BDP($B2251,"COUNTRY_FULL_NAME"))</f>
        <v/>
      </c>
    </row>
    <row r="2252" spans="15:26" x14ac:dyDescent="0.25">
      <c r="O2252"/>
      <c r="P2252"/>
      <c r="Q2252"/>
      <c r="W2252" t="str">
        <f>IF(B2252="","",_xll.BDP(B2252,"INDUSTRY_SECTOR"))</f>
        <v/>
      </c>
      <c r="X2252" t="str">
        <f>IF($B2252="","",_xll.BDP($B2252,"INDUSTRY_GROUP"))</f>
        <v/>
      </c>
      <c r="Y2252" t="str">
        <f>IF($B2252="","",_xll.BDP($B2252,"INDUSTRY_SUBGROUP"))</f>
        <v/>
      </c>
      <c r="Z2252" t="str">
        <f>IF($B2252="","",_xll.BDP($B2252,"COUNTRY_FULL_NAME"))</f>
        <v/>
      </c>
    </row>
    <row r="2253" spans="15:26" x14ac:dyDescent="0.25">
      <c r="O2253"/>
      <c r="P2253"/>
      <c r="Q2253"/>
      <c r="W2253" t="str">
        <f>IF(B2253="","",_xll.BDP(B2253,"INDUSTRY_SECTOR"))</f>
        <v/>
      </c>
      <c r="X2253" t="str">
        <f>IF($B2253="","",_xll.BDP($B2253,"INDUSTRY_GROUP"))</f>
        <v/>
      </c>
      <c r="Y2253" t="str">
        <f>IF($B2253="","",_xll.BDP($B2253,"INDUSTRY_SUBGROUP"))</f>
        <v/>
      </c>
      <c r="Z2253" t="str">
        <f>IF($B2253="","",_xll.BDP($B2253,"COUNTRY_FULL_NAME"))</f>
        <v/>
      </c>
    </row>
    <row r="2254" spans="15:26" x14ac:dyDescent="0.25">
      <c r="O2254"/>
      <c r="P2254"/>
      <c r="Q2254"/>
      <c r="W2254" t="str">
        <f>IF(B2254="","",_xll.BDP(B2254,"INDUSTRY_SECTOR"))</f>
        <v/>
      </c>
      <c r="X2254" t="str">
        <f>IF($B2254="","",_xll.BDP($B2254,"INDUSTRY_GROUP"))</f>
        <v/>
      </c>
      <c r="Y2254" t="str">
        <f>IF($B2254="","",_xll.BDP($B2254,"INDUSTRY_SUBGROUP"))</f>
        <v/>
      </c>
      <c r="Z2254" t="str">
        <f>IF($B2254="","",_xll.BDP($B2254,"COUNTRY_FULL_NAME"))</f>
        <v/>
      </c>
    </row>
    <row r="2255" spans="15:26" x14ac:dyDescent="0.25">
      <c r="O2255"/>
      <c r="P2255"/>
      <c r="Q2255"/>
      <c r="W2255" t="str">
        <f>IF(B2255="","",_xll.BDP(B2255,"INDUSTRY_SECTOR"))</f>
        <v/>
      </c>
      <c r="X2255" t="str">
        <f>IF($B2255="","",_xll.BDP($B2255,"INDUSTRY_GROUP"))</f>
        <v/>
      </c>
      <c r="Y2255" t="str">
        <f>IF($B2255="","",_xll.BDP($B2255,"INDUSTRY_SUBGROUP"))</f>
        <v/>
      </c>
      <c r="Z2255" t="str">
        <f>IF($B2255="","",_xll.BDP($B2255,"COUNTRY_FULL_NAME"))</f>
        <v/>
      </c>
    </row>
    <row r="2256" spans="15:26" x14ac:dyDescent="0.25">
      <c r="O2256"/>
      <c r="P2256"/>
      <c r="Q2256"/>
      <c r="W2256" t="str">
        <f>IF(B2256="","",_xll.BDP(B2256,"INDUSTRY_SECTOR"))</f>
        <v/>
      </c>
      <c r="X2256" t="str">
        <f>IF($B2256="","",_xll.BDP($B2256,"INDUSTRY_GROUP"))</f>
        <v/>
      </c>
      <c r="Y2256" t="str">
        <f>IF($B2256="","",_xll.BDP($B2256,"INDUSTRY_SUBGROUP"))</f>
        <v/>
      </c>
      <c r="Z2256" t="str">
        <f>IF($B2256="","",_xll.BDP($B2256,"COUNTRY_FULL_NAME"))</f>
        <v/>
      </c>
    </row>
    <row r="2257" spans="15:26" x14ac:dyDescent="0.25">
      <c r="O2257"/>
      <c r="P2257"/>
      <c r="Q2257"/>
      <c r="W2257" t="str">
        <f>IF(B2257="","",_xll.BDP(B2257,"INDUSTRY_SECTOR"))</f>
        <v/>
      </c>
      <c r="X2257" t="str">
        <f>IF($B2257="","",_xll.BDP($B2257,"INDUSTRY_GROUP"))</f>
        <v/>
      </c>
      <c r="Y2257" t="str">
        <f>IF($B2257="","",_xll.BDP($B2257,"INDUSTRY_SUBGROUP"))</f>
        <v/>
      </c>
      <c r="Z2257" t="str">
        <f>IF($B2257="","",_xll.BDP($B2257,"COUNTRY_FULL_NAME"))</f>
        <v/>
      </c>
    </row>
    <row r="2258" spans="15:26" x14ac:dyDescent="0.25">
      <c r="O2258"/>
      <c r="P2258"/>
      <c r="Q2258"/>
      <c r="W2258" t="str">
        <f>IF(B2258="","",_xll.BDP(B2258,"INDUSTRY_SECTOR"))</f>
        <v/>
      </c>
      <c r="X2258" t="str">
        <f>IF($B2258="","",_xll.BDP($B2258,"INDUSTRY_GROUP"))</f>
        <v/>
      </c>
      <c r="Y2258" t="str">
        <f>IF($B2258="","",_xll.BDP($B2258,"INDUSTRY_SUBGROUP"))</f>
        <v/>
      </c>
      <c r="Z2258" t="str">
        <f>IF($B2258="","",_xll.BDP($B2258,"COUNTRY_FULL_NAME"))</f>
        <v/>
      </c>
    </row>
    <row r="2259" spans="15:26" x14ac:dyDescent="0.25">
      <c r="O2259"/>
      <c r="P2259"/>
      <c r="Q2259"/>
      <c r="W2259" t="str">
        <f>IF(B2259="","",_xll.BDP(B2259,"INDUSTRY_SECTOR"))</f>
        <v/>
      </c>
      <c r="X2259" t="str">
        <f>IF($B2259="","",_xll.BDP($B2259,"INDUSTRY_GROUP"))</f>
        <v/>
      </c>
      <c r="Y2259" t="str">
        <f>IF($B2259="","",_xll.BDP($B2259,"INDUSTRY_SUBGROUP"))</f>
        <v/>
      </c>
      <c r="Z2259" t="str">
        <f>IF($B2259="","",_xll.BDP($B2259,"COUNTRY_FULL_NAME"))</f>
        <v/>
      </c>
    </row>
    <row r="2260" spans="15:26" x14ac:dyDescent="0.25">
      <c r="O2260"/>
      <c r="P2260"/>
      <c r="Q2260"/>
      <c r="W2260" t="str">
        <f>IF(B2260="","",_xll.BDP(B2260,"INDUSTRY_SECTOR"))</f>
        <v/>
      </c>
      <c r="X2260" t="str">
        <f>IF($B2260="","",_xll.BDP($B2260,"INDUSTRY_GROUP"))</f>
        <v/>
      </c>
      <c r="Y2260" t="str">
        <f>IF($B2260="","",_xll.BDP($B2260,"INDUSTRY_SUBGROUP"))</f>
        <v/>
      </c>
      <c r="Z2260" t="str">
        <f>IF($B2260="","",_xll.BDP($B2260,"COUNTRY_FULL_NAME"))</f>
        <v/>
      </c>
    </row>
    <row r="2261" spans="15:26" x14ac:dyDescent="0.25">
      <c r="O2261"/>
      <c r="P2261"/>
      <c r="Q2261"/>
      <c r="W2261" t="str">
        <f>IF(B2261="","",_xll.BDP(B2261,"INDUSTRY_SECTOR"))</f>
        <v/>
      </c>
      <c r="X2261" t="str">
        <f>IF($B2261="","",_xll.BDP($B2261,"INDUSTRY_GROUP"))</f>
        <v/>
      </c>
      <c r="Y2261" t="str">
        <f>IF($B2261="","",_xll.BDP($B2261,"INDUSTRY_SUBGROUP"))</f>
        <v/>
      </c>
      <c r="Z2261" t="str">
        <f>IF($B2261="","",_xll.BDP($B2261,"COUNTRY_FULL_NAME"))</f>
        <v/>
      </c>
    </row>
    <row r="2262" spans="15:26" x14ac:dyDescent="0.25">
      <c r="O2262"/>
      <c r="P2262"/>
      <c r="Q2262"/>
      <c r="W2262" t="str">
        <f>IF(B2262="","",_xll.BDP(B2262,"INDUSTRY_SECTOR"))</f>
        <v/>
      </c>
      <c r="X2262" t="str">
        <f>IF($B2262="","",_xll.BDP($B2262,"INDUSTRY_GROUP"))</f>
        <v/>
      </c>
      <c r="Y2262" t="str">
        <f>IF($B2262="","",_xll.BDP($B2262,"INDUSTRY_SUBGROUP"))</f>
        <v/>
      </c>
      <c r="Z2262" t="str">
        <f>IF($B2262="","",_xll.BDP($B2262,"COUNTRY_FULL_NAME"))</f>
        <v/>
      </c>
    </row>
    <row r="2263" spans="15:26" x14ac:dyDescent="0.25">
      <c r="O2263"/>
      <c r="P2263"/>
      <c r="Q2263"/>
      <c r="W2263" t="str">
        <f>IF(B2263="","",_xll.BDP(B2263,"INDUSTRY_SECTOR"))</f>
        <v/>
      </c>
      <c r="X2263" t="str">
        <f>IF($B2263="","",_xll.BDP($B2263,"INDUSTRY_GROUP"))</f>
        <v/>
      </c>
      <c r="Y2263" t="str">
        <f>IF($B2263="","",_xll.BDP($B2263,"INDUSTRY_SUBGROUP"))</f>
        <v/>
      </c>
      <c r="Z2263" t="str">
        <f>IF($B2263="","",_xll.BDP($B2263,"COUNTRY_FULL_NAME"))</f>
        <v/>
      </c>
    </row>
    <row r="2264" spans="15:26" x14ac:dyDescent="0.25">
      <c r="O2264"/>
      <c r="P2264"/>
      <c r="Q2264"/>
      <c r="W2264" t="str">
        <f>IF(B2264="","",_xll.BDP(B2264,"INDUSTRY_SECTOR"))</f>
        <v/>
      </c>
      <c r="X2264" t="str">
        <f>IF($B2264="","",_xll.BDP($B2264,"INDUSTRY_GROUP"))</f>
        <v/>
      </c>
      <c r="Y2264" t="str">
        <f>IF($B2264="","",_xll.BDP($B2264,"INDUSTRY_SUBGROUP"))</f>
        <v/>
      </c>
      <c r="Z2264" t="str">
        <f>IF($B2264="","",_xll.BDP($B2264,"COUNTRY_FULL_NAME"))</f>
        <v/>
      </c>
    </row>
    <row r="2265" spans="15:26" x14ac:dyDescent="0.25">
      <c r="O2265"/>
      <c r="P2265"/>
      <c r="Q2265"/>
      <c r="W2265" t="str">
        <f>IF(B2265="","",_xll.BDP(B2265,"INDUSTRY_SECTOR"))</f>
        <v/>
      </c>
      <c r="X2265" t="str">
        <f>IF($B2265="","",_xll.BDP($B2265,"INDUSTRY_GROUP"))</f>
        <v/>
      </c>
      <c r="Y2265" t="str">
        <f>IF($B2265="","",_xll.BDP($B2265,"INDUSTRY_SUBGROUP"))</f>
        <v/>
      </c>
      <c r="Z2265" t="str">
        <f>IF($B2265="","",_xll.BDP($B2265,"COUNTRY_FULL_NAME"))</f>
        <v/>
      </c>
    </row>
    <row r="2266" spans="15:26" x14ac:dyDescent="0.25">
      <c r="O2266"/>
      <c r="P2266"/>
      <c r="Q2266"/>
      <c r="W2266" t="str">
        <f>IF(B2266="","",_xll.BDP(B2266,"INDUSTRY_SECTOR"))</f>
        <v/>
      </c>
      <c r="X2266" t="str">
        <f>IF($B2266="","",_xll.BDP($B2266,"INDUSTRY_GROUP"))</f>
        <v/>
      </c>
      <c r="Y2266" t="str">
        <f>IF($B2266="","",_xll.BDP($B2266,"INDUSTRY_SUBGROUP"))</f>
        <v/>
      </c>
      <c r="Z2266" t="str">
        <f>IF($B2266="","",_xll.BDP($B2266,"COUNTRY_FULL_NAME"))</f>
        <v/>
      </c>
    </row>
    <row r="2267" spans="15:26" x14ac:dyDescent="0.25">
      <c r="O2267"/>
      <c r="P2267"/>
      <c r="Q2267"/>
      <c r="W2267" t="str">
        <f>IF(B2267="","",_xll.BDP(B2267,"INDUSTRY_SECTOR"))</f>
        <v/>
      </c>
      <c r="X2267" t="str">
        <f>IF($B2267="","",_xll.BDP($B2267,"INDUSTRY_GROUP"))</f>
        <v/>
      </c>
      <c r="Y2267" t="str">
        <f>IF($B2267="","",_xll.BDP($B2267,"INDUSTRY_SUBGROUP"))</f>
        <v/>
      </c>
      <c r="Z2267" t="str">
        <f>IF($B2267="","",_xll.BDP($B2267,"COUNTRY_FULL_NAME"))</f>
        <v/>
      </c>
    </row>
    <row r="2268" spans="15:26" x14ac:dyDescent="0.25">
      <c r="O2268"/>
      <c r="P2268"/>
      <c r="Q2268"/>
      <c r="W2268" t="str">
        <f>IF(B2268="","",_xll.BDP(B2268,"INDUSTRY_SECTOR"))</f>
        <v/>
      </c>
      <c r="X2268" t="str">
        <f>IF($B2268="","",_xll.BDP($B2268,"INDUSTRY_GROUP"))</f>
        <v/>
      </c>
      <c r="Y2268" t="str">
        <f>IF($B2268="","",_xll.BDP($B2268,"INDUSTRY_SUBGROUP"))</f>
        <v/>
      </c>
      <c r="Z2268" t="str">
        <f>IF($B2268="","",_xll.BDP($B2268,"COUNTRY_FULL_NAME"))</f>
        <v/>
      </c>
    </row>
    <row r="2269" spans="15:26" x14ac:dyDescent="0.25">
      <c r="O2269"/>
      <c r="P2269"/>
      <c r="Q2269"/>
      <c r="W2269" t="str">
        <f>IF(B2269="","",_xll.BDP(B2269,"INDUSTRY_SECTOR"))</f>
        <v/>
      </c>
      <c r="X2269" t="str">
        <f>IF($B2269="","",_xll.BDP($B2269,"INDUSTRY_GROUP"))</f>
        <v/>
      </c>
      <c r="Y2269" t="str">
        <f>IF($B2269="","",_xll.BDP($B2269,"INDUSTRY_SUBGROUP"))</f>
        <v/>
      </c>
      <c r="Z2269" t="str">
        <f>IF($B2269="","",_xll.BDP($B2269,"COUNTRY_FULL_NAME"))</f>
        <v/>
      </c>
    </row>
    <row r="2270" spans="15:26" x14ac:dyDescent="0.25">
      <c r="O2270"/>
      <c r="P2270"/>
      <c r="Q2270"/>
      <c r="W2270" t="str">
        <f>IF(B2270="","",_xll.BDP(B2270,"INDUSTRY_SECTOR"))</f>
        <v/>
      </c>
      <c r="X2270" t="str">
        <f>IF($B2270="","",_xll.BDP($B2270,"INDUSTRY_GROUP"))</f>
        <v/>
      </c>
      <c r="Y2270" t="str">
        <f>IF($B2270="","",_xll.BDP($B2270,"INDUSTRY_SUBGROUP"))</f>
        <v/>
      </c>
      <c r="Z2270" t="str">
        <f>IF($B2270="","",_xll.BDP($B2270,"COUNTRY_FULL_NAME"))</f>
        <v/>
      </c>
    </row>
    <row r="2271" spans="15:26" x14ac:dyDescent="0.25">
      <c r="O2271"/>
      <c r="P2271"/>
      <c r="Q2271"/>
      <c r="W2271" t="str">
        <f>IF(B2271="","",_xll.BDP(B2271,"INDUSTRY_SECTOR"))</f>
        <v/>
      </c>
      <c r="X2271" t="str">
        <f>IF($B2271="","",_xll.BDP($B2271,"INDUSTRY_GROUP"))</f>
        <v/>
      </c>
      <c r="Y2271" t="str">
        <f>IF($B2271="","",_xll.BDP($B2271,"INDUSTRY_SUBGROUP"))</f>
        <v/>
      </c>
      <c r="Z2271" t="str">
        <f>IF($B2271="","",_xll.BDP($B2271,"COUNTRY_FULL_NAME"))</f>
        <v/>
      </c>
    </row>
    <row r="2272" spans="15:26" x14ac:dyDescent="0.25">
      <c r="O2272"/>
      <c r="P2272"/>
      <c r="Q2272"/>
      <c r="W2272" t="str">
        <f>IF(B2272="","",_xll.BDP(B2272,"INDUSTRY_SECTOR"))</f>
        <v/>
      </c>
      <c r="X2272" t="str">
        <f>IF($B2272="","",_xll.BDP($B2272,"INDUSTRY_GROUP"))</f>
        <v/>
      </c>
      <c r="Y2272" t="str">
        <f>IF($B2272="","",_xll.BDP($B2272,"INDUSTRY_SUBGROUP"))</f>
        <v/>
      </c>
      <c r="Z2272" t="str">
        <f>IF($B2272="","",_xll.BDP($B2272,"COUNTRY_FULL_NAME"))</f>
        <v/>
      </c>
    </row>
    <row r="2273" spans="15:26" x14ac:dyDescent="0.25">
      <c r="O2273"/>
      <c r="P2273"/>
      <c r="Q2273"/>
      <c r="W2273" t="str">
        <f>IF(B2273="","",_xll.BDP(B2273,"INDUSTRY_SECTOR"))</f>
        <v/>
      </c>
      <c r="X2273" t="str">
        <f>IF($B2273="","",_xll.BDP($B2273,"INDUSTRY_GROUP"))</f>
        <v/>
      </c>
      <c r="Y2273" t="str">
        <f>IF($B2273="","",_xll.BDP($B2273,"INDUSTRY_SUBGROUP"))</f>
        <v/>
      </c>
      <c r="Z2273" t="str">
        <f>IF($B2273="","",_xll.BDP($B2273,"COUNTRY_FULL_NAME"))</f>
        <v/>
      </c>
    </row>
    <row r="2274" spans="15:26" x14ac:dyDescent="0.25">
      <c r="O2274"/>
      <c r="P2274"/>
      <c r="Q2274"/>
      <c r="W2274" t="str">
        <f>IF(B2274="","",_xll.BDP(B2274,"INDUSTRY_SECTOR"))</f>
        <v/>
      </c>
      <c r="X2274" t="str">
        <f>IF($B2274="","",_xll.BDP($B2274,"INDUSTRY_GROUP"))</f>
        <v/>
      </c>
      <c r="Y2274" t="str">
        <f>IF($B2274="","",_xll.BDP($B2274,"INDUSTRY_SUBGROUP"))</f>
        <v/>
      </c>
      <c r="Z2274" t="str">
        <f>IF($B2274="","",_xll.BDP($B2274,"COUNTRY_FULL_NAME"))</f>
        <v/>
      </c>
    </row>
    <row r="2275" spans="15:26" x14ac:dyDescent="0.25">
      <c r="O2275"/>
      <c r="P2275"/>
      <c r="Q2275"/>
      <c r="W2275" t="str">
        <f>IF(B2275="","",_xll.BDP(B2275,"INDUSTRY_SECTOR"))</f>
        <v/>
      </c>
      <c r="X2275" t="str">
        <f>IF($B2275="","",_xll.BDP($B2275,"INDUSTRY_GROUP"))</f>
        <v/>
      </c>
      <c r="Y2275" t="str">
        <f>IF($B2275="","",_xll.BDP($B2275,"INDUSTRY_SUBGROUP"))</f>
        <v/>
      </c>
      <c r="Z2275" t="str">
        <f>IF($B2275="","",_xll.BDP($B2275,"COUNTRY_FULL_NAME"))</f>
        <v/>
      </c>
    </row>
    <row r="2276" spans="15:26" x14ac:dyDescent="0.25">
      <c r="O2276"/>
      <c r="P2276"/>
      <c r="Q2276"/>
      <c r="W2276" t="str">
        <f>IF(B2276="","",_xll.BDP(B2276,"INDUSTRY_SECTOR"))</f>
        <v/>
      </c>
      <c r="X2276" t="str">
        <f>IF($B2276="","",_xll.BDP($B2276,"INDUSTRY_GROUP"))</f>
        <v/>
      </c>
      <c r="Y2276" t="str">
        <f>IF($B2276="","",_xll.BDP($B2276,"INDUSTRY_SUBGROUP"))</f>
        <v/>
      </c>
      <c r="Z2276" t="str">
        <f>IF($B2276="","",_xll.BDP($B2276,"COUNTRY_FULL_NAME"))</f>
        <v/>
      </c>
    </row>
    <row r="2277" spans="15:26" x14ac:dyDescent="0.25">
      <c r="O2277"/>
      <c r="P2277"/>
      <c r="Q2277"/>
      <c r="W2277" t="str">
        <f>IF(B2277="","",_xll.BDP(B2277,"INDUSTRY_SECTOR"))</f>
        <v/>
      </c>
      <c r="X2277" t="str">
        <f>IF($B2277="","",_xll.BDP($B2277,"INDUSTRY_GROUP"))</f>
        <v/>
      </c>
      <c r="Y2277" t="str">
        <f>IF($B2277="","",_xll.BDP($B2277,"INDUSTRY_SUBGROUP"))</f>
        <v/>
      </c>
      <c r="Z2277" t="str">
        <f>IF($B2277="","",_xll.BDP($B2277,"COUNTRY_FULL_NAME"))</f>
        <v/>
      </c>
    </row>
    <row r="2278" spans="15:26" x14ac:dyDescent="0.25">
      <c r="O2278"/>
      <c r="P2278"/>
      <c r="Q2278"/>
      <c r="W2278" t="str">
        <f>IF(B2278="","",_xll.BDP(B2278,"INDUSTRY_SECTOR"))</f>
        <v/>
      </c>
      <c r="X2278" t="str">
        <f>IF($B2278="","",_xll.BDP($B2278,"INDUSTRY_GROUP"))</f>
        <v/>
      </c>
      <c r="Y2278" t="str">
        <f>IF($B2278="","",_xll.BDP($B2278,"INDUSTRY_SUBGROUP"))</f>
        <v/>
      </c>
      <c r="Z2278" t="str">
        <f>IF($B2278="","",_xll.BDP($B2278,"COUNTRY_FULL_NAME"))</f>
        <v/>
      </c>
    </row>
    <row r="2279" spans="15:26" x14ac:dyDescent="0.25">
      <c r="O2279"/>
      <c r="P2279"/>
      <c r="Q2279"/>
      <c r="W2279" t="str">
        <f>IF(B2279="","",_xll.BDP(B2279,"INDUSTRY_SECTOR"))</f>
        <v/>
      </c>
      <c r="X2279" t="str">
        <f>IF($B2279="","",_xll.BDP($B2279,"INDUSTRY_GROUP"))</f>
        <v/>
      </c>
      <c r="Y2279" t="str">
        <f>IF($B2279="","",_xll.BDP($B2279,"INDUSTRY_SUBGROUP"))</f>
        <v/>
      </c>
      <c r="Z2279" t="str">
        <f>IF($B2279="","",_xll.BDP($B2279,"COUNTRY_FULL_NAME"))</f>
        <v/>
      </c>
    </row>
    <row r="2280" spans="15:26" x14ac:dyDescent="0.25">
      <c r="O2280"/>
      <c r="P2280"/>
      <c r="Q2280"/>
      <c r="W2280" t="str">
        <f>IF(B2280="","",_xll.BDP(B2280,"INDUSTRY_SECTOR"))</f>
        <v/>
      </c>
      <c r="X2280" t="str">
        <f>IF($B2280="","",_xll.BDP($B2280,"INDUSTRY_GROUP"))</f>
        <v/>
      </c>
      <c r="Y2280" t="str">
        <f>IF($B2280="","",_xll.BDP($B2280,"INDUSTRY_SUBGROUP"))</f>
        <v/>
      </c>
      <c r="Z2280" t="str">
        <f>IF($B2280="","",_xll.BDP($B2280,"COUNTRY_FULL_NAME"))</f>
        <v/>
      </c>
    </row>
    <row r="2281" spans="15:26" x14ac:dyDescent="0.25">
      <c r="O2281"/>
      <c r="P2281"/>
      <c r="Q2281"/>
      <c r="W2281" t="str">
        <f>IF(B2281="","",_xll.BDP(B2281,"INDUSTRY_SECTOR"))</f>
        <v/>
      </c>
      <c r="X2281" t="str">
        <f>IF($B2281="","",_xll.BDP($B2281,"INDUSTRY_GROUP"))</f>
        <v/>
      </c>
      <c r="Y2281" t="str">
        <f>IF($B2281="","",_xll.BDP($B2281,"INDUSTRY_SUBGROUP"))</f>
        <v/>
      </c>
      <c r="Z2281" t="str">
        <f>IF($B2281="","",_xll.BDP($B2281,"COUNTRY_FULL_NAME"))</f>
        <v/>
      </c>
    </row>
    <row r="2282" spans="15:26" x14ac:dyDescent="0.25">
      <c r="O2282"/>
      <c r="P2282"/>
      <c r="Q2282"/>
      <c r="W2282" t="str">
        <f>IF(B2282="","",_xll.BDP(B2282,"INDUSTRY_SECTOR"))</f>
        <v/>
      </c>
      <c r="X2282" t="str">
        <f>IF($B2282="","",_xll.BDP($B2282,"INDUSTRY_GROUP"))</f>
        <v/>
      </c>
      <c r="Y2282" t="str">
        <f>IF($B2282="","",_xll.BDP($B2282,"INDUSTRY_SUBGROUP"))</f>
        <v/>
      </c>
      <c r="Z2282" t="str">
        <f>IF($B2282="","",_xll.BDP($B2282,"COUNTRY_FULL_NAME"))</f>
        <v/>
      </c>
    </row>
    <row r="2283" spans="15:26" x14ac:dyDescent="0.25">
      <c r="O2283"/>
      <c r="P2283"/>
      <c r="Q2283"/>
      <c r="W2283" t="str">
        <f>IF(B2283="","",_xll.BDP(B2283,"INDUSTRY_SECTOR"))</f>
        <v/>
      </c>
      <c r="X2283" t="str">
        <f>IF($B2283="","",_xll.BDP($B2283,"INDUSTRY_GROUP"))</f>
        <v/>
      </c>
      <c r="Y2283" t="str">
        <f>IF($B2283="","",_xll.BDP($B2283,"INDUSTRY_SUBGROUP"))</f>
        <v/>
      </c>
      <c r="Z2283" t="str">
        <f>IF($B2283="","",_xll.BDP($B2283,"COUNTRY_FULL_NAME"))</f>
        <v/>
      </c>
    </row>
    <row r="2284" spans="15:26" x14ac:dyDescent="0.25">
      <c r="O2284"/>
      <c r="P2284"/>
      <c r="Q2284"/>
      <c r="W2284" t="str">
        <f>IF(B2284="","",_xll.BDP(B2284,"INDUSTRY_SECTOR"))</f>
        <v/>
      </c>
      <c r="X2284" t="str">
        <f>IF($B2284="","",_xll.BDP($B2284,"INDUSTRY_GROUP"))</f>
        <v/>
      </c>
      <c r="Y2284" t="str">
        <f>IF($B2284="","",_xll.BDP($B2284,"INDUSTRY_SUBGROUP"))</f>
        <v/>
      </c>
      <c r="Z2284" t="str">
        <f>IF($B2284="","",_xll.BDP($B2284,"COUNTRY_FULL_NAME"))</f>
        <v/>
      </c>
    </row>
    <row r="2285" spans="15:26" x14ac:dyDescent="0.25">
      <c r="O2285"/>
      <c r="P2285"/>
      <c r="Q2285"/>
      <c r="W2285" t="str">
        <f>IF(B2285="","",_xll.BDP(B2285,"INDUSTRY_SECTOR"))</f>
        <v/>
      </c>
      <c r="X2285" t="str">
        <f>IF($B2285="","",_xll.BDP($B2285,"INDUSTRY_GROUP"))</f>
        <v/>
      </c>
      <c r="Y2285" t="str">
        <f>IF($B2285="","",_xll.BDP($B2285,"INDUSTRY_SUBGROUP"))</f>
        <v/>
      </c>
      <c r="Z2285" t="str">
        <f>IF($B2285="","",_xll.BDP($B2285,"COUNTRY_FULL_NAME"))</f>
        <v/>
      </c>
    </row>
    <row r="2286" spans="15:26" x14ac:dyDescent="0.25">
      <c r="O2286"/>
      <c r="P2286"/>
      <c r="Q2286"/>
      <c r="W2286" t="str">
        <f>IF(B2286="","",_xll.BDP(B2286,"INDUSTRY_SECTOR"))</f>
        <v/>
      </c>
      <c r="X2286" t="str">
        <f>IF($B2286="","",_xll.BDP($B2286,"INDUSTRY_GROUP"))</f>
        <v/>
      </c>
      <c r="Y2286" t="str">
        <f>IF($B2286="","",_xll.BDP($B2286,"INDUSTRY_SUBGROUP"))</f>
        <v/>
      </c>
      <c r="Z2286" t="str">
        <f>IF($B2286="","",_xll.BDP($B2286,"COUNTRY_FULL_NAME"))</f>
        <v/>
      </c>
    </row>
    <row r="2287" spans="15:26" x14ac:dyDescent="0.25">
      <c r="O2287"/>
      <c r="P2287"/>
      <c r="Q2287"/>
      <c r="W2287" t="str">
        <f>IF(B2287="","",_xll.BDP(B2287,"INDUSTRY_SECTOR"))</f>
        <v/>
      </c>
      <c r="X2287" t="str">
        <f>IF($B2287="","",_xll.BDP($B2287,"INDUSTRY_GROUP"))</f>
        <v/>
      </c>
      <c r="Y2287" t="str">
        <f>IF($B2287="","",_xll.BDP($B2287,"INDUSTRY_SUBGROUP"))</f>
        <v/>
      </c>
      <c r="Z2287" t="str">
        <f>IF($B2287="","",_xll.BDP($B2287,"COUNTRY_FULL_NAME"))</f>
        <v/>
      </c>
    </row>
    <row r="2288" spans="15:26" x14ac:dyDescent="0.25">
      <c r="O2288"/>
      <c r="P2288"/>
      <c r="Q2288"/>
      <c r="W2288" t="str">
        <f>IF(B2288="","",_xll.BDP(B2288,"INDUSTRY_SECTOR"))</f>
        <v/>
      </c>
      <c r="X2288" t="str">
        <f>IF($B2288="","",_xll.BDP($B2288,"INDUSTRY_GROUP"))</f>
        <v/>
      </c>
      <c r="Y2288" t="str">
        <f>IF($B2288="","",_xll.BDP($B2288,"INDUSTRY_SUBGROUP"))</f>
        <v/>
      </c>
      <c r="Z2288" t="str">
        <f>IF($B2288="","",_xll.BDP($B2288,"COUNTRY_FULL_NAME"))</f>
        <v/>
      </c>
    </row>
    <row r="2289" spans="15:26" x14ac:dyDescent="0.25">
      <c r="O2289"/>
      <c r="P2289"/>
      <c r="Q2289"/>
      <c r="W2289" t="str">
        <f>IF(B2289="","",_xll.BDP(B2289,"INDUSTRY_SECTOR"))</f>
        <v/>
      </c>
      <c r="X2289" t="str">
        <f>IF($B2289="","",_xll.BDP($B2289,"INDUSTRY_GROUP"))</f>
        <v/>
      </c>
      <c r="Y2289" t="str">
        <f>IF($B2289="","",_xll.BDP($B2289,"INDUSTRY_SUBGROUP"))</f>
        <v/>
      </c>
      <c r="Z2289" t="str">
        <f>IF($B2289="","",_xll.BDP($B2289,"COUNTRY_FULL_NAME"))</f>
        <v/>
      </c>
    </row>
    <row r="2290" spans="15:26" x14ac:dyDescent="0.25">
      <c r="O2290"/>
      <c r="P2290"/>
      <c r="Q2290"/>
      <c r="W2290" t="str">
        <f>IF(B2290="","",_xll.BDP(B2290,"INDUSTRY_SECTOR"))</f>
        <v/>
      </c>
      <c r="X2290" t="str">
        <f>IF($B2290="","",_xll.BDP($B2290,"INDUSTRY_GROUP"))</f>
        <v/>
      </c>
      <c r="Y2290" t="str">
        <f>IF($B2290="","",_xll.BDP($B2290,"INDUSTRY_SUBGROUP"))</f>
        <v/>
      </c>
      <c r="Z2290" t="str">
        <f>IF($B2290="","",_xll.BDP($B2290,"COUNTRY_FULL_NAME"))</f>
        <v/>
      </c>
    </row>
    <row r="2291" spans="15:26" x14ac:dyDescent="0.25">
      <c r="O2291"/>
      <c r="P2291"/>
      <c r="Q2291"/>
      <c r="W2291" t="str">
        <f>IF(B2291="","",_xll.BDP(B2291,"INDUSTRY_SECTOR"))</f>
        <v/>
      </c>
      <c r="X2291" t="str">
        <f>IF($B2291="","",_xll.BDP($B2291,"INDUSTRY_GROUP"))</f>
        <v/>
      </c>
      <c r="Y2291" t="str">
        <f>IF($B2291="","",_xll.BDP($B2291,"INDUSTRY_SUBGROUP"))</f>
        <v/>
      </c>
      <c r="Z2291" t="str">
        <f>IF($B2291="","",_xll.BDP($B2291,"COUNTRY_FULL_NAME"))</f>
        <v/>
      </c>
    </row>
    <row r="2292" spans="15:26" x14ac:dyDescent="0.25">
      <c r="O2292"/>
      <c r="P2292"/>
      <c r="Q2292"/>
      <c r="W2292" t="str">
        <f>IF(B2292="","",_xll.BDP(B2292,"INDUSTRY_SECTOR"))</f>
        <v/>
      </c>
      <c r="X2292" t="str">
        <f>IF($B2292="","",_xll.BDP($B2292,"INDUSTRY_GROUP"))</f>
        <v/>
      </c>
      <c r="Y2292" t="str">
        <f>IF($B2292="","",_xll.BDP($B2292,"INDUSTRY_SUBGROUP"))</f>
        <v/>
      </c>
      <c r="Z2292" t="str">
        <f>IF($B2292="","",_xll.BDP($B2292,"COUNTRY_FULL_NAME"))</f>
        <v/>
      </c>
    </row>
    <row r="2293" spans="15:26" x14ac:dyDescent="0.25">
      <c r="O2293"/>
      <c r="P2293"/>
      <c r="Q2293"/>
      <c r="W2293" t="str">
        <f>IF(B2293="","",_xll.BDP(B2293,"INDUSTRY_SECTOR"))</f>
        <v/>
      </c>
      <c r="X2293" t="str">
        <f>IF($B2293="","",_xll.BDP($B2293,"INDUSTRY_GROUP"))</f>
        <v/>
      </c>
      <c r="Y2293" t="str">
        <f>IF($B2293="","",_xll.BDP($B2293,"INDUSTRY_SUBGROUP"))</f>
        <v/>
      </c>
      <c r="Z2293" t="str">
        <f>IF($B2293="","",_xll.BDP($B2293,"COUNTRY_FULL_NAME"))</f>
        <v/>
      </c>
    </row>
    <row r="2294" spans="15:26" x14ac:dyDescent="0.25">
      <c r="O2294"/>
      <c r="P2294"/>
      <c r="Q2294"/>
      <c r="W2294" t="str">
        <f>IF(B2294="","",_xll.BDP(B2294,"INDUSTRY_SECTOR"))</f>
        <v/>
      </c>
      <c r="X2294" t="str">
        <f>IF($B2294="","",_xll.BDP($B2294,"INDUSTRY_GROUP"))</f>
        <v/>
      </c>
      <c r="Y2294" t="str">
        <f>IF($B2294="","",_xll.BDP($B2294,"INDUSTRY_SUBGROUP"))</f>
        <v/>
      </c>
      <c r="Z2294" t="str">
        <f>IF($B2294="","",_xll.BDP($B2294,"COUNTRY_FULL_NAME"))</f>
        <v/>
      </c>
    </row>
    <row r="2295" spans="15:26" x14ac:dyDescent="0.25">
      <c r="O2295"/>
      <c r="P2295"/>
      <c r="Q2295"/>
      <c r="W2295" t="str">
        <f>IF(B2295="","",_xll.BDP(B2295,"INDUSTRY_SECTOR"))</f>
        <v/>
      </c>
      <c r="X2295" t="str">
        <f>IF($B2295="","",_xll.BDP($B2295,"INDUSTRY_GROUP"))</f>
        <v/>
      </c>
      <c r="Y2295" t="str">
        <f>IF($B2295="","",_xll.BDP($B2295,"INDUSTRY_SUBGROUP"))</f>
        <v/>
      </c>
      <c r="Z2295" t="str">
        <f>IF($B2295="","",_xll.BDP($B2295,"COUNTRY_FULL_NAME"))</f>
        <v/>
      </c>
    </row>
    <row r="2296" spans="15:26" x14ac:dyDescent="0.25">
      <c r="O2296"/>
      <c r="P2296"/>
      <c r="Q2296"/>
      <c r="W2296" t="str">
        <f>IF(B2296="","",_xll.BDP(B2296,"INDUSTRY_SECTOR"))</f>
        <v/>
      </c>
      <c r="X2296" t="str">
        <f>IF($B2296="","",_xll.BDP($B2296,"INDUSTRY_GROUP"))</f>
        <v/>
      </c>
      <c r="Y2296" t="str">
        <f>IF($B2296="","",_xll.BDP($B2296,"INDUSTRY_SUBGROUP"))</f>
        <v/>
      </c>
      <c r="Z2296" t="str">
        <f>IF($B2296="","",_xll.BDP($B2296,"COUNTRY_FULL_NAME"))</f>
        <v/>
      </c>
    </row>
    <row r="2297" spans="15:26" x14ac:dyDescent="0.25">
      <c r="O2297"/>
      <c r="P2297"/>
      <c r="Q2297"/>
      <c r="W2297" t="str">
        <f>IF(B2297="","",_xll.BDP(B2297,"INDUSTRY_SECTOR"))</f>
        <v/>
      </c>
      <c r="X2297" t="str">
        <f>IF($B2297="","",_xll.BDP($B2297,"INDUSTRY_GROUP"))</f>
        <v/>
      </c>
      <c r="Y2297" t="str">
        <f>IF($B2297="","",_xll.BDP($B2297,"INDUSTRY_SUBGROUP"))</f>
        <v/>
      </c>
      <c r="Z2297" t="str">
        <f>IF($B2297="","",_xll.BDP($B2297,"COUNTRY_FULL_NAME"))</f>
        <v/>
      </c>
    </row>
    <row r="2298" spans="15:26" x14ac:dyDescent="0.25">
      <c r="O2298"/>
      <c r="P2298"/>
      <c r="Q2298"/>
      <c r="W2298" t="str">
        <f>IF(B2298="","",_xll.BDP(B2298,"INDUSTRY_SECTOR"))</f>
        <v/>
      </c>
      <c r="X2298" t="str">
        <f>IF($B2298="","",_xll.BDP($B2298,"INDUSTRY_GROUP"))</f>
        <v/>
      </c>
      <c r="Y2298" t="str">
        <f>IF($B2298="","",_xll.BDP($B2298,"INDUSTRY_SUBGROUP"))</f>
        <v/>
      </c>
      <c r="Z2298" t="str">
        <f>IF($B2298="","",_xll.BDP($B2298,"COUNTRY_FULL_NAME"))</f>
        <v/>
      </c>
    </row>
    <row r="2299" spans="15:26" x14ac:dyDescent="0.25">
      <c r="O2299"/>
      <c r="P2299"/>
      <c r="Q2299"/>
      <c r="W2299" t="str">
        <f>IF(B2299="","",_xll.BDP(B2299,"INDUSTRY_SECTOR"))</f>
        <v/>
      </c>
      <c r="X2299" t="str">
        <f>IF($B2299="","",_xll.BDP($B2299,"INDUSTRY_GROUP"))</f>
        <v/>
      </c>
      <c r="Y2299" t="str">
        <f>IF($B2299="","",_xll.BDP($B2299,"INDUSTRY_SUBGROUP"))</f>
        <v/>
      </c>
      <c r="Z2299" t="str">
        <f>IF($B2299="","",_xll.BDP($B2299,"COUNTRY_FULL_NAME"))</f>
        <v/>
      </c>
    </row>
    <row r="2300" spans="15:26" x14ac:dyDescent="0.25">
      <c r="O2300"/>
      <c r="P2300"/>
      <c r="Q2300"/>
      <c r="W2300" t="str">
        <f>IF(B2300="","",_xll.BDP(B2300,"INDUSTRY_SECTOR"))</f>
        <v/>
      </c>
      <c r="X2300" t="str">
        <f>IF($B2300="","",_xll.BDP($B2300,"INDUSTRY_GROUP"))</f>
        <v/>
      </c>
      <c r="Y2300" t="str">
        <f>IF($B2300="","",_xll.BDP($B2300,"INDUSTRY_SUBGROUP"))</f>
        <v/>
      </c>
      <c r="Z2300" t="str">
        <f>IF($B2300="","",_xll.BDP($B2300,"COUNTRY_FULL_NAME"))</f>
        <v/>
      </c>
    </row>
    <row r="2301" spans="15:26" x14ac:dyDescent="0.25">
      <c r="O2301"/>
      <c r="P2301"/>
      <c r="Q2301"/>
      <c r="W2301" t="str">
        <f>IF(B2301="","",_xll.BDP(B2301,"INDUSTRY_SECTOR"))</f>
        <v/>
      </c>
      <c r="X2301" t="str">
        <f>IF($B2301="","",_xll.BDP($B2301,"INDUSTRY_GROUP"))</f>
        <v/>
      </c>
      <c r="Y2301" t="str">
        <f>IF($B2301="","",_xll.BDP($B2301,"INDUSTRY_SUBGROUP"))</f>
        <v/>
      </c>
      <c r="Z2301" t="str">
        <f>IF($B2301="","",_xll.BDP($B2301,"COUNTRY_FULL_NAME"))</f>
        <v/>
      </c>
    </row>
    <row r="2302" spans="15:26" x14ac:dyDescent="0.25">
      <c r="O2302"/>
      <c r="P2302"/>
      <c r="Q2302"/>
      <c r="W2302" t="str">
        <f>IF(B2302="","",_xll.BDP(B2302,"INDUSTRY_SECTOR"))</f>
        <v/>
      </c>
      <c r="X2302" t="str">
        <f>IF($B2302="","",_xll.BDP($B2302,"INDUSTRY_GROUP"))</f>
        <v/>
      </c>
      <c r="Y2302" t="str">
        <f>IF($B2302="","",_xll.BDP($B2302,"INDUSTRY_SUBGROUP"))</f>
        <v/>
      </c>
      <c r="Z2302" t="str">
        <f>IF($B2302="","",_xll.BDP($B2302,"COUNTRY_FULL_NAME"))</f>
        <v/>
      </c>
    </row>
    <row r="2303" spans="15:26" x14ac:dyDescent="0.25">
      <c r="O2303"/>
      <c r="P2303"/>
      <c r="Q2303"/>
      <c r="W2303" t="str">
        <f>IF(B2303="","",_xll.BDP(B2303,"INDUSTRY_SECTOR"))</f>
        <v/>
      </c>
      <c r="X2303" t="str">
        <f>IF($B2303="","",_xll.BDP($B2303,"INDUSTRY_GROUP"))</f>
        <v/>
      </c>
      <c r="Y2303" t="str">
        <f>IF($B2303="","",_xll.BDP($B2303,"INDUSTRY_SUBGROUP"))</f>
        <v/>
      </c>
      <c r="Z2303" t="str">
        <f>IF($B2303="","",_xll.BDP($B2303,"COUNTRY_FULL_NAME"))</f>
        <v/>
      </c>
    </row>
    <row r="2304" spans="15:26" x14ac:dyDescent="0.25">
      <c r="O2304"/>
      <c r="P2304"/>
      <c r="Q2304"/>
      <c r="W2304" t="str">
        <f>IF(B2304="","",_xll.BDP(B2304,"INDUSTRY_SECTOR"))</f>
        <v/>
      </c>
      <c r="X2304" t="str">
        <f>IF($B2304="","",_xll.BDP($B2304,"INDUSTRY_GROUP"))</f>
        <v/>
      </c>
      <c r="Y2304" t="str">
        <f>IF($B2304="","",_xll.BDP($B2304,"INDUSTRY_SUBGROUP"))</f>
        <v/>
      </c>
      <c r="Z2304" t="str">
        <f>IF($B2304="","",_xll.BDP($B2304,"COUNTRY_FULL_NAME"))</f>
        <v/>
      </c>
    </row>
    <row r="2305" spans="15:26" x14ac:dyDescent="0.25">
      <c r="O2305"/>
      <c r="P2305"/>
      <c r="Q2305"/>
      <c r="W2305" t="str">
        <f>IF(B2305="","",_xll.BDP(B2305,"INDUSTRY_SECTOR"))</f>
        <v/>
      </c>
      <c r="X2305" t="str">
        <f>IF($B2305="","",_xll.BDP($B2305,"INDUSTRY_GROUP"))</f>
        <v/>
      </c>
      <c r="Y2305" t="str">
        <f>IF($B2305="","",_xll.BDP($B2305,"INDUSTRY_SUBGROUP"))</f>
        <v/>
      </c>
      <c r="Z2305" t="str">
        <f>IF($B2305="","",_xll.BDP($B2305,"COUNTRY_FULL_NAME"))</f>
        <v/>
      </c>
    </row>
    <row r="2306" spans="15:26" x14ac:dyDescent="0.25">
      <c r="O2306"/>
      <c r="P2306"/>
      <c r="Q2306"/>
      <c r="W2306" t="str">
        <f>IF(B2306="","",_xll.BDP(B2306,"INDUSTRY_SECTOR"))</f>
        <v/>
      </c>
      <c r="X2306" t="str">
        <f>IF($B2306="","",_xll.BDP($B2306,"INDUSTRY_GROUP"))</f>
        <v/>
      </c>
      <c r="Y2306" t="str">
        <f>IF($B2306="","",_xll.BDP($B2306,"INDUSTRY_SUBGROUP"))</f>
        <v/>
      </c>
      <c r="Z2306" t="str">
        <f>IF($B2306="","",_xll.BDP($B2306,"COUNTRY_FULL_NAME"))</f>
        <v/>
      </c>
    </row>
    <row r="2307" spans="15:26" x14ac:dyDescent="0.25">
      <c r="O2307"/>
      <c r="P2307"/>
      <c r="Q2307"/>
      <c r="W2307" t="str">
        <f>IF(B2307="","",_xll.BDP(B2307,"INDUSTRY_SECTOR"))</f>
        <v/>
      </c>
      <c r="X2307" t="str">
        <f>IF($B2307="","",_xll.BDP($B2307,"INDUSTRY_GROUP"))</f>
        <v/>
      </c>
      <c r="Y2307" t="str">
        <f>IF($B2307="","",_xll.BDP($B2307,"INDUSTRY_SUBGROUP"))</f>
        <v/>
      </c>
      <c r="Z2307" t="str">
        <f>IF($B2307="","",_xll.BDP($B2307,"COUNTRY_FULL_NAME"))</f>
        <v/>
      </c>
    </row>
    <row r="2308" spans="15:26" x14ac:dyDescent="0.25">
      <c r="O2308"/>
      <c r="P2308"/>
      <c r="Q2308"/>
      <c r="W2308" t="str">
        <f>IF(B2308="","",_xll.BDP(B2308,"INDUSTRY_SECTOR"))</f>
        <v/>
      </c>
      <c r="X2308" t="str">
        <f>IF($B2308="","",_xll.BDP($B2308,"INDUSTRY_GROUP"))</f>
        <v/>
      </c>
      <c r="Y2308" t="str">
        <f>IF($B2308="","",_xll.BDP($B2308,"INDUSTRY_SUBGROUP"))</f>
        <v/>
      </c>
      <c r="Z2308" t="str">
        <f>IF($B2308="","",_xll.BDP($B2308,"COUNTRY_FULL_NAME"))</f>
        <v/>
      </c>
    </row>
    <row r="2309" spans="15:26" x14ac:dyDescent="0.25">
      <c r="O2309"/>
      <c r="P2309"/>
      <c r="Q2309"/>
      <c r="W2309" t="str">
        <f>IF(B2309="","",_xll.BDP(B2309,"INDUSTRY_SECTOR"))</f>
        <v/>
      </c>
      <c r="X2309" t="str">
        <f>IF($B2309="","",_xll.BDP($B2309,"INDUSTRY_GROUP"))</f>
        <v/>
      </c>
      <c r="Y2309" t="str">
        <f>IF($B2309="","",_xll.BDP($B2309,"INDUSTRY_SUBGROUP"))</f>
        <v/>
      </c>
      <c r="Z2309" t="str">
        <f>IF($B2309="","",_xll.BDP($B2309,"COUNTRY_FULL_NAME"))</f>
        <v/>
      </c>
    </row>
    <row r="2310" spans="15:26" x14ac:dyDescent="0.25">
      <c r="O2310"/>
      <c r="P2310"/>
      <c r="Q2310"/>
      <c r="W2310" t="str">
        <f>IF(B2310="","",_xll.BDP(B2310,"INDUSTRY_SECTOR"))</f>
        <v/>
      </c>
      <c r="X2310" t="str">
        <f>IF($B2310="","",_xll.BDP($B2310,"INDUSTRY_GROUP"))</f>
        <v/>
      </c>
      <c r="Y2310" t="str">
        <f>IF($B2310="","",_xll.BDP($B2310,"INDUSTRY_SUBGROUP"))</f>
        <v/>
      </c>
      <c r="Z2310" t="str">
        <f>IF($B2310="","",_xll.BDP($B2310,"COUNTRY_FULL_NAME"))</f>
        <v/>
      </c>
    </row>
    <row r="2311" spans="15:26" x14ac:dyDescent="0.25">
      <c r="O2311"/>
      <c r="P2311"/>
      <c r="Q2311"/>
      <c r="W2311" t="str">
        <f>IF(B2311="","",_xll.BDP(B2311,"INDUSTRY_SECTOR"))</f>
        <v/>
      </c>
      <c r="X2311" t="str">
        <f>IF($B2311="","",_xll.BDP($B2311,"INDUSTRY_GROUP"))</f>
        <v/>
      </c>
      <c r="Y2311" t="str">
        <f>IF($B2311="","",_xll.BDP($B2311,"INDUSTRY_SUBGROUP"))</f>
        <v/>
      </c>
      <c r="Z2311" t="str">
        <f>IF($B2311="","",_xll.BDP($B2311,"COUNTRY_FULL_NAME"))</f>
        <v/>
      </c>
    </row>
    <row r="2312" spans="15:26" x14ac:dyDescent="0.25">
      <c r="O2312"/>
      <c r="P2312"/>
      <c r="Q2312"/>
      <c r="W2312" t="str">
        <f>IF(B2312="","",_xll.BDP(B2312,"INDUSTRY_SECTOR"))</f>
        <v/>
      </c>
      <c r="X2312" t="str">
        <f>IF($B2312="","",_xll.BDP($B2312,"INDUSTRY_GROUP"))</f>
        <v/>
      </c>
      <c r="Y2312" t="str">
        <f>IF($B2312="","",_xll.BDP($B2312,"INDUSTRY_SUBGROUP"))</f>
        <v/>
      </c>
      <c r="Z2312" t="str">
        <f>IF($B2312="","",_xll.BDP($B2312,"COUNTRY_FULL_NAME"))</f>
        <v/>
      </c>
    </row>
    <row r="2313" spans="15:26" x14ac:dyDescent="0.25">
      <c r="O2313"/>
      <c r="P2313"/>
      <c r="Q2313"/>
      <c r="W2313" t="str">
        <f>IF(B2313="","",_xll.BDP(B2313,"INDUSTRY_SECTOR"))</f>
        <v/>
      </c>
      <c r="X2313" t="str">
        <f>IF($B2313="","",_xll.BDP($B2313,"INDUSTRY_GROUP"))</f>
        <v/>
      </c>
      <c r="Y2313" t="str">
        <f>IF($B2313="","",_xll.BDP($B2313,"INDUSTRY_SUBGROUP"))</f>
        <v/>
      </c>
      <c r="Z2313" t="str">
        <f>IF($B2313="","",_xll.BDP($B2313,"COUNTRY_FULL_NAME"))</f>
        <v/>
      </c>
    </row>
    <row r="2314" spans="15:26" x14ac:dyDescent="0.25">
      <c r="O2314"/>
      <c r="P2314"/>
      <c r="Q2314"/>
      <c r="W2314" t="str">
        <f>IF(B2314="","",_xll.BDP(B2314,"INDUSTRY_SECTOR"))</f>
        <v/>
      </c>
      <c r="X2314" t="str">
        <f>IF($B2314="","",_xll.BDP($B2314,"INDUSTRY_GROUP"))</f>
        <v/>
      </c>
      <c r="Y2314" t="str">
        <f>IF($B2314="","",_xll.BDP($B2314,"INDUSTRY_SUBGROUP"))</f>
        <v/>
      </c>
      <c r="Z2314" t="str">
        <f>IF($B2314="","",_xll.BDP($B2314,"COUNTRY_FULL_NAME"))</f>
        <v/>
      </c>
    </row>
    <row r="2315" spans="15:26" x14ac:dyDescent="0.25">
      <c r="O2315"/>
      <c r="P2315"/>
      <c r="Q2315"/>
      <c r="W2315" t="str">
        <f>IF(B2315="","",_xll.BDP(B2315,"INDUSTRY_SECTOR"))</f>
        <v/>
      </c>
      <c r="X2315" t="str">
        <f>IF($B2315="","",_xll.BDP($B2315,"INDUSTRY_GROUP"))</f>
        <v/>
      </c>
      <c r="Y2315" t="str">
        <f>IF($B2315="","",_xll.BDP($B2315,"INDUSTRY_SUBGROUP"))</f>
        <v/>
      </c>
      <c r="Z2315" t="str">
        <f>IF($B2315="","",_xll.BDP($B2315,"COUNTRY_FULL_NAME"))</f>
        <v/>
      </c>
    </row>
    <row r="2316" spans="15:26" x14ac:dyDescent="0.25">
      <c r="O2316"/>
      <c r="P2316"/>
      <c r="Q2316"/>
      <c r="W2316" t="str">
        <f>IF(B2316="","",_xll.BDP(B2316,"INDUSTRY_SECTOR"))</f>
        <v/>
      </c>
      <c r="X2316" t="str">
        <f>IF($B2316="","",_xll.BDP($B2316,"INDUSTRY_GROUP"))</f>
        <v/>
      </c>
      <c r="Y2316" t="str">
        <f>IF($B2316="","",_xll.BDP($B2316,"INDUSTRY_SUBGROUP"))</f>
        <v/>
      </c>
      <c r="Z2316" t="str">
        <f>IF($B2316="","",_xll.BDP($B2316,"COUNTRY_FULL_NAME"))</f>
        <v/>
      </c>
    </row>
    <row r="2317" spans="15:26" x14ac:dyDescent="0.25">
      <c r="O2317"/>
      <c r="P2317"/>
      <c r="Q2317"/>
      <c r="W2317" t="str">
        <f>IF(B2317="","",_xll.BDP(B2317,"INDUSTRY_SECTOR"))</f>
        <v/>
      </c>
      <c r="X2317" t="str">
        <f>IF($B2317="","",_xll.BDP($B2317,"INDUSTRY_GROUP"))</f>
        <v/>
      </c>
      <c r="Y2317" t="str">
        <f>IF($B2317="","",_xll.BDP($B2317,"INDUSTRY_SUBGROUP"))</f>
        <v/>
      </c>
      <c r="Z2317" t="str">
        <f>IF($B2317="","",_xll.BDP($B2317,"COUNTRY_FULL_NAME"))</f>
        <v/>
      </c>
    </row>
    <row r="2318" spans="15:26" x14ac:dyDescent="0.25">
      <c r="O2318"/>
      <c r="P2318"/>
      <c r="Q2318"/>
      <c r="W2318" t="str">
        <f>IF(B2318="","",_xll.BDP(B2318,"INDUSTRY_SECTOR"))</f>
        <v/>
      </c>
      <c r="X2318" t="str">
        <f>IF($B2318="","",_xll.BDP($B2318,"INDUSTRY_GROUP"))</f>
        <v/>
      </c>
      <c r="Y2318" t="str">
        <f>IF($B2318="","",_xll.BDP($B2318,"INDUSTRY_SUBGROUP"))</f>
        <v/>
      </c>
      <c r="Z2318" t="str">
        <f>IF($B2318="","",_xll.BDP($B2318,"COUNTRY_FULL_NAME"))</f>
        <v/>
      </c>
    </row>
    <row r="2319" spans="15:26" x14ac:dyDescent="0.25">
      <c r="O2319"/>
      <c r="P2319"/>
      <c r="Q2319"/>
      <c r="W2319" t="str">
        <f>IF(B2319="","",_xll.BDP(B2319,"INDUSTRY_SECTOR"))</f>
        <v/>
      </c>
      <c r="X2319" t="str">
        <f>IF($B2319="","",_xll.BDP($B2319,"INDUSTRY_GROUP"))</f>
        <v/>
      </c>
      <c r="Y2319" t="str">
        <f>IF($B2319="","",_xll.BDP($B2319,"INDUSTRY_SUBGROUP"))</f>
        <v/>
      </c>
      <c r="Z2319" t="str">
        <f>IF($B2319="","",_xll.BDP($B2319,"COUNTRY_FULL_NAME"))</f>
        <v/>
      </c>
    </row>
    <row r="2320" spans="15:26" x14ac:dyDescent="0.25">
      <c r="O2320"/>
      <c r="P2320"/>
      <c r="Q2320"/>
      <c r="W2320" t="str">
        <f>IF(B2320="","",_xll.BDP(B2320,"INDUSTRY_SECTOR"))</f>
        <v/>
      </c>
      <c r="X2320" t="str">
        <f>IF($B2320="","",_xll.BDP($B2320,"INDUSTRY_GROUP"))</f>
        <v/>
      </c>
      <c r="Y2320" t="str">
        <f>IF($B2320="","",_xll.BDP($B2320,"INDUSTRY_SUBGROUP"))</f>
        <v/>
      </c>
      <c r="Z2320" t="str">
        <f>IF($B2320="","",_xll.BDP($B2320,"COUNTRY_FULL_NAME"))</f>
        <v/>
      </c>
    </row>
    <row r="2321" spans="15:26" x14ac:dyDescent="0.25">
      <c r="O2321"/>
      <c r="P2321"/>
      <c r="Q2321"/>
      <c r="W2321" t="str">
        <f>IF(B2321="","",_xll.BDP(B2321,"INDUSTRY_SECTOR"))</f>
        <v/>
      </c>
      <c r="X2321" t="str">
        <f>IF($B2321="","",_xll.BDP($B2321,"INDUSTRY_GROUP"))</f>
        <v/>
      </c>
      <c r="Y2321" t="str">
        <f>IF($B2321="","",_xll.BDP($B2321,"INDUSTRY_SUBGROUP"))</f>
        <v/>
      </c>
      <c r="Z2321" t="str">
        <f>IF($B2321="","",_xll.BDP($B2321,"COUNTRY_FULL_NAME"))</f>
        <v/>
      </c>
    </row>
    <row r="2322" spans="15:26" x14ac:dyDescent="0.25">
      <c r="O2322"/>
      <c r="P2322"/>
      <c r="Q2322"/>
      <c r="W2322" t="str">
        <f>IF(B2322="","",_xll.BDP(B2322,"INDUSTRY_SECTOR"))</f>
        <v/>
      </c>
      <c r="X2322" t="str">
        <f>IF($B2322="","",_xll.BDP($B2322,"INDUSTRY_GROUP"))</f>
        <v/>
      </c>
      <c r="Y2322" t="str">
        <f>IF($B2322="","",_xll.BDP($B2322,"INDUSTRY_SUBGROUP"))</f>
        <v/>
      </c>
      <c r="Z2322" t="str">
        <f>IF($B2322="","",_xll.BDP($B2322,"COUNTRY_FULL_NAME"))</f>
        <v/>
      </c>
    </row>
    <row r="2323" spans="15:26" x14ac:dyDescent="0.25">
      <c r="O2323"/>
      <c r="P2323"/>
      <c r="Q2323"/>
      <c r="W2323" t="str">
        <f>IF(B2323="","",_xll.BDP(B2323,"INDUSTRY_SECTOR"))</f>
        <v/>
      </c>
      <c r="X2323" t="str">
        <f>IF($B2323="","",_xll.BDP($B2323,"INDUSTRY_GROUP"))</f>
        <v/>
      </c>
      <c r="Y2323" t="str">
        <f>IF($B2323="","",_xll.BDP($B2323,"INDUSTRY_SUBGROUP"))</f>
        <v/>
      </c>
      <c r="Z2323" t="str">
        <f>IF($B2323="","",_xll.BDP($B2323,"COUNTRY_FULL_NAME"))</f>
        <v/>
      </c>
    </row>
    <row r="2324" spans="15:26" x14ac:dyDescent="0.25">
      <c r="O2324"/>
      <c r="P2324"/>
      <c r="Q2324"/>
      <c r="W2324" t="str">
        <f>IF(B2324="","",_xll.BDP(B2324,"INDUSTRY_SECTOR"))</f>
        <v/>
      </c>
      <c r="X2324" t="str">
        <f>IF($B2324="","",_xll.BDP($B2324,"INDUSTRY_GROUP"))</f>
        <v/>
      </c>
      <c r="Y2324" t="str">
        <f>IF($B2324="","",_xll.BDP($B2324,"INDUSTRY_SUBGROUP"))</f>
        <v/>
      </c>
      <c r="Z2324" t="str">
        <f>IF($B2324="","",_xll.BDP($B2324,"COUNTRY_FULL_NAME"))</f>
        <v/>
      </c>
    </row>
    <row r="2325" spans="15:26" x14ac:dyDescent="0.25">
      <c r="O2325"/>
      <c r="P2325"/>
      <c r="Q2325"/>
      <c r="W2325" t="str">
        <f>IF(B2325="","",_xll.BDP(B2325,"INDUSTRY_SECTOR"))</f>
        <v/>
      </c>
      <c r="X2325" t="str">
        <f>IF($B2325="","",_xll.BDP($B2325,"INDUSTRY_GROUP"))</f>
        <v/>
      </c>
      <c r="Y2325" t="str">
        <f>IF($B2325="","",_xll.BDP($B2325,"INDUSTRY_SUBGROUP"))</f>
        <v/>
      </c>
      <c r="Z2325" t="str">
        <f>IF($B2325="","",_xll.BDP($B2325,"COUNTRY_FULL_NAME"))</f>
        <v/>
      </c>
    </row>
    <row r="2326" spans="15:26" x14ac:dyDescent="0.25">
      <c r="O2326"/>
      <c r="P2326"/>
      <c r="Q2326"/>
      <c r="W2326" t="str">
        <f>IF(B2326="","",_xll.BDP(B2326,"INDUSTRY_SECTOR"))</f>
        <v/>
      </c>
      <c r="X2326" t="str">
        <f>IF($B2326="","",_xll.BDP($B2326,"INDUSTRY_GROUP"))</f>
        <v/>
      </c>
      <c r="Y2326" t="str">
        <f>IF($B2326="","",_xll.BDP($B2326,"INDUSTRY_SUBGROUP"))</f>
        <v/>
      </c>
      <c r="Z2326" t="str">
        <f>IF($B2326="","",_xll.BDP($B2326,"COUNTRY_FULL_NAME"))</f>
        <v/>
      </c>
    </row>
    <row r="2327" spans="15:26" x14ac:dyDescent="0.25">
      <c r="O2327"/>
      <c r="P2327"/>
      <c r="Q2327"/>
      <c r="W2327" t="str">
        <f>IF(B2327="","",_xll.BDP(B2327,"INDUSTRY_SECTOR"))</f>
        <v/>
      </c>
      <c r="X2327" t="str">
        <f>IF($B2327="","",_xll.BDP($B2327,"INDUSTRY_GROUP"))</f>
        <v/>
      </c>
      <c r="Y2327" t="str">
        <f>IF($B2327="","",_xll.BDP($B2327,"INDUSTRY_SUBGROUP"))</f>
        <v/>
      </c>
      <c r="Z2327" t="str">
        <f>IF($B2327="","",_xll.BDP($B2327,"COUNTRY_FULL_NAME"))</f>
        <v/>
      </c>
    </row>
    <row r="2328" spans="15:26" x14ac:dyDescent="0.25">
      <c r="O2328"/>
      <c r="P2328"/>
      <c r="Q2328"/>
      <c r="W2328" t="str">
        <f>IF(B2328="","",_xll.BDP(B2328,"INDUSTRY_SECTOR"))</f>
        <v/>
      </c>
      <c r="X2328" t="str">
        <f>IF($B2328="","",_xll.BDP($B2328,"INDUSTRY_GROUP"))</f>
        <v/>
      </c>
      <c r="Y2328" t="str">
        <f>IF($B2328="","",_xll.BDP($B2328,"INDUSTRY_SUBGROUP"))</f>
        <v/>
      </c>
      <c r="Z2328" t="str">
        <f>IF($B2328="","",_xll.BDP($B2328,"COUNTRY_FULL_NAME"))</f>
        <v/>
      </c>
    </row>
    <row r="2329" spans="15:26" x14ac:dyDescent="0.25">
      <c r="O2329"/>
      <c r="P2329"/>
      <c r="Q2329"/>
      <c r="W2329" t="str">
        <f>IF(B2329="","",_xll.BDP(B2329,"INDUSTRY_SECTOR"))</f>
        <v/>
      </c>
      <c r="X2329" t="str">
        <f>IF($B2329="","",_xll.BDP($B2329,"INDUSTRY_GROUP"))</f>
        <v/>
      </c>
      <c r="Y2329" t="str">
        <f>IF($B2329="","",_xll.BDP($B2329,"INDUSTRY_SUBGROUP"))</f>
        <v/>
      </c>
      <c r="Z2329" t="str">
        <f>IF($B2329="","",_xll.BDP($B2329,"COUNTRY_FULL_NAME"))</f>
        <v/>
      </c>
    </row>
    <row r="2330" spans="15:26" x14ac:dyDescent="0.25">
      <c r="O2330"/>
      <c r="P2330"/>
      <c r="Q2330"/>
      <c r="W2330" t="str">
        <f>IF(B2330="","",_xll.BDP(B2330,"INDUSTRY_SECTOR"))</f>
        <v/>
      </c>
      <c r="X2330" t="str">
        <f>IF($B2330="","",_xll.BDP($B2330,"INDUSTRY_GROUP"))</f>
        <v/>
      </c>
      <c r="Y2330" t="str">
        <f>IF($B2330="","",_xll.BDP($B2330,"INDUSTRY_SUBGROUP"))</f>
        <v/>
      </c>
      <c r="Z2330" t="str">
        <f>IF($B2330="","",_xll.BDP($B2330,"COUNTRY_FULL_NAME"))</f>
        <v/>
      </c>
    </row>
    <row r="2331" spans="15:26" x14ac:dyDescent="0.25">
      <c r="O2331"/>
      <c r="P2331"/>
      <c r="Q2331"/>
      <c r="W2331" t="str">
        <f>IF(B2331="","",_xll.BDP(B2331,"INDUSTRY_SECTOR"))</f>
        <v/>
      </c>
      <c r="X2331" t="str">
        <f>IF($B2331="","",_xll.BDP($B2331,"INDUSTRY_GROUP"))</f>
        <v/>
      </c>
      <c r="Y2331" t="str">
        <f>IF($B2331="","",_xll.BDP($B2331,"INDUSTRY_SUBGROUP"))</f>
        <v/>
      </c>
      <c r="Z2331" t="str">
        <f>IF($B2331="","",_xll.BDP($B2331,"COUNTRY_FULL_NAME"))</f>
        <v/>
      </c>
    </row>
    <row r="2332" spans="15:26" x14ac:dyDescent="0.25">
      <c r="O2332"/>
      <c r="P2332"/>
      <c r="Q2332"/>
      <c r="W2332" t="str">
        <f>IF(B2332="","",_xll.BDP(B2332,"INDUSTRY_SECTOR"))</f>
        <v/>
      </c>
      <c r="X2332" t="str">
        <f>IF($B2332="","",_xll.BDP($B2332,"INDUSTRY_GROUP"))</f>
        <v/>
      </c>
      <c r="Y2332" t="str">
        <f>IF($B2332="","",_xll.BDP($B2332,"INDUSTRY_SUBGROUP"))</f>
        <v/>
      </c>
      <c r="Z2332" t="str">
        <f>IF($B2332="","",_xll.BDP($B2332,"COUNTRY_FULL_NAME"))</f>
        <v/>
      </c>
    </row>
    <row r="2333" spans="15:26" x14ac:dyDescent="0.25">
      <c r="O2333"/>
      <c r="P2333"/>
      <c r="Q2333"/>
      <c r="W2333" t="str">
        <f>IF(B2333="","",_xll.BDP(B2333,"INDUSTRY_SECTOR"))</f>
        <v/>
      </c>
      <c r="X2333" t="str">
        <f>IF($B2333="","",_xll.BDP($B2333,"INDUSTRY_GROUP"))</f>
        <v/>
      </c>
      <c r="Y2333" t="str">
        <f>IF($B2333="","",_xll.BDP($B2333,"INDUSTRY_SUBGROUP"))</f>
        <v/>
      </c>
      <c r="Z2333" t="str">
        <f>IF($B2333="","",_xll.BDP($B2333,"COUNTRY_FULL_NAME"))</f>
        <v/>
      </c>
    </row>
    <row r="2334" spans="15:26" x14ac:dyDescent="0.25">
      <c r="O2334"/>
      <c r="P2334"/>
      <c r="Q2334"/>
      <c r="W2334" t="str">
        <f>IF(B2334="","",_xll.BDP(B2334,"INDUSTRY_SECTOR"))</f>
        <v/>
      </c>
      <c r="X2334" t="str">
        <f>IF($B2334="","",_xll.BDP($B2334,"INDUSTRY_GROUP"))</f>
        <v/>
      </c>
      <c r="Y2334" t="str">
        <f>IF($B2334="","",_xll.BDP($B2334,"INDUSTRY_SUBGROUP"))</f>
        <v/>
      </c>
      <c r="Z2334" t="str">
        <f>IF($B2334="","",_xll.BDP($B2334,"COUNTRY_FULL_NAME"))</f>
        <v/>
      </c>
    </row>
    <row r="2335" spans="15:26" x14ac:dyDescent="0.25">
      <c r="O2335"/>
      <c r="P2335"/>
      <c r="Q2335"/>
      <c r="W2335" t="str">
        <f>IF(B2335="","",_xll.BDP(B2335,"INDUSTRY_SECTOR"))</f>
        <v/>
      </c>
      <c r="X2335" t="str">
        <f>IF($B2335="","",_xll.BDP($B2335,"INDUSTRY_GROUP"))</f>
        <v/>
      </c>
      <c r="Y2335" t="str">
        <f>IF($B2335="","",_xll.BDP($B2335,"INDUSTRY_SUBGROUP"))</f>
        <v/>
      </c>
      <c r="Z2335" t="str">
        <f>IF($B2335="","",_xll.BDP($B2335,"COUNTRY_FULL_NAME"))</f>
        <v/>
      </c>
    </row>
    <row r="2336" spans="15:26" x14ac:dyDescent="0.25">
      <c r="O2336"/>
      <c r="P2336"/>
      <c r="Q2336"/>
      <c r="W2336" t="str">
        <f>IF(B2336="","",_xll.BDP(B2336,"INDUSTRY_SECTOR"))</f>
        <v/>
      </c>
      <c r="X2336" t="str">
        <f>IF($B2336="","",_xll.BDP($B2336,"INDUSTRY_GROUP"))</f>
        <v/>
      </c>
      <c r="Y2336" t="str">
        <f>IF($B2336="","",_xll.BDP($B2336,"INDUSTRY_SUBGROUP"))</f>
        <v/>
      </c>
      <c r="Z2336" t="str">
        <f>IF($B2336="","",_xll.BDP($B2336,"COUNTRY_FULL_NAME"))</f>
        <v/>
      </c>
    </row>
    <row r="2337" spans="15:26" x14ac:dyDescent="0.25">
      <c r="O2337"/>
      <c r="P2337"/>
      <c r="Q2337"/>
      <c r="W2337" t="str">
        <f>IF(B2337="","",_xll.BDP(B2337,"INDUSTRY_SECTOR"))</f>
        <v/>
      </c>
      <c r="X2337" t="str">
        <f>IF($B2337="","",_xll.BDP($B2337,"INDUSTRY_GROUP"))</f>
        <v/>
      </c>
      <c r="Y2337" t="str">
        <f>IF($B2337="","",_xll.BDP($B2337,"INDUSTRY_SUBGROUP"))</f>
        <v/>
      </c>
      <c r="Z2337" t="str">
        <f>IF($B2337="","",_xll.BDP($B2337,"COUNTRY_FULL_NAME"))</f>
        <v/>
      </c>
    </row>
    <row r="2338" spans="15:26" x14ac:dyDescent="0.25">
      <c r="O2338"/>
      <c r="P2338"/>
      <c r="Q2338"/>
      <c r="W2338" t="str">
        <f>IF(B2338="","",_xll.BDP(B2338,"INDUSTRY_SECTOR"))</f>
        <v/>
      </c>
      <c r="X2338" t="str">
        <f>IF($B2338="","",_xll.BDP($B2338,"INDUSTRY_GROUP"))</f>
        <v/>
      </c>
      <c r="Y2338" t="str">
        <f>IF($B2338="","",_xll.BDP($B2338,"INDUSTRY_SUBGROUP"))</f>
        <v/>
      </c>
      <c r="Z2338" t="str">
        <f>IF($B2338="","",_xll.BDP($B2338,"COUNTRY_FULL_NAME"))</f>
        <v/>
      </c>
    </row>
    <row r="2339" spans="15:26" x14ac:dyDescent="0.25">
      <c r="O2339"/>
      <c r="P2339"/>
      <c r="Q2339"/>
      <c r="W2339" t="str">
        <f>IF(B2339="","",_xll.BDP(B2339,"INDUSTRY_SECTOR"))</f>
        <v/>
      </c>
      <c r="X2339" t="str">
        <f>IF($B2339="","",_xll.BDP($B2339,"INDUSTRY_GROUP"))</f>
        <v/>
      </c>
      <c r="Y2339" t="str">
        <f>IF($B2339="","",_xll.BDP($B2339,"INDUSTRY_SUBGROUP"))</f>
        <v/>
      </c>
      <c r="Z2339" t="str">
        <f>IF($B2339="","",_xll.BDP($B2339,"COUNTRY_FULL_NAME"))</f>
        <v/>
      </c>
    </row>
    <row r="2340" spans="15:26" x14ac:dyDescent="0.25">
      <c r="O2340"/>
      <c r="P2340"/>
      <c r="Q2340"/>
      <c r="W2340" t="str">
        <f>IF(B2340="","",_xll.BDP(B2340,"INDUSTRY_SECTOR"))</f>
        <v/>
      </c>
      <c r="X2340" t="str">
        <f>IF($B2340="","",_xll.BDP($B2340,"INDUSTRY_GROUP"))</f>
        <v/>
      </c>
      <c r="Y2340" t="str">
        <f>IF($B2340="","",_xll.BDP($B2340,"INDUSTRY_SUBGROUP"))</f>
        <v/>
      </c>
      <c r="Z2340" t="str">
        <f>IF($B2340="","",_xll.BDP($B2340,"COUNTRY_FULL_NAME"))</f>
        <v/>
      </c>
    </row>
    <row r="2341" spans="15:26" x14ac:dyDescent="0.25">
      <c r="O2341"/>
      <c r="P2341"/>
      <c r="Q2341"/>
      <c r="W2341" t="str">
        <f>IF(B2341="","",_xll.BDP(B2341,"INDUSTRY_SECTOR"))</f>
        <v/>
      </c>
      <c r="X2341" t="str">
        <f>IF($B2341="","",_xll.BDP($B2341,"INDUSTRY_GROUP"))</f>
        <v/>
      </c>
      <c r="Y2341" t="str">
        <f>IF($B2341="","",_xll.BDP($B2341,"INDUSTRY_SUBGROUP"))</f>
        <v/>
      </c>
      <c r="Z2341" t="str">
        <f>IF($B2341="","",_xll.BDP($B2341,"COUNTRY_FULL_NAME"))</f>
        <v/>
      </c>
    </row>
    <row r="2342" spans="15:26" x14ac:dyDescent="0.25">
      <c r="O2342"/>
      <c r="P2342"/>
      <c r="Q2342"/>
      <c r="W2342" t="str">
        <f>IF(B2342="","",_xll.BDP(B2342,"INDUSTRY_SECTOR"))</f>
        <v/>
      </c>
      <c r="X2342" t="str">
        <f>IF($B2342="","",_xll.BDP($B2342,"INDUSTRY_GROUP"))</f>
        <v/>
      </c>
      <c r="Y2342" t="str">
        <f>IF($B2342="","",_xll.BDP($B2342,"INDUSTRY_SUBGROUP"))</f>
        <v/>
      </c>
      <c r="Z2342" t="str">
        <f>IF($B2342="","",_xll.BDP($B2342,"COUNTRY_FULL_NAME"))</f>
        <v/>
      </c>
    </row>
    <row r="2343" spans="15:26" x14ac:dyDescent="0.25">
      <c r="O2343"/>
      <c r="P2343"/>
      <c r="Q2343"/>
      <c r="W2343" t="str">
        <f>IF(B2343="","",_xll.BDP(B2343,"INDUSTRY_SECTOR"))</f>
        <v/>
      </c>
      <c r="X2343" t="str">
        <f>IF($B2343="","",_xll.BDP($B2343,"INDUSTRY_GROUP"))</f>
        <v/>
      </c>
      <c r="Y2343" t="str">
        <f>IF($B2343="","",_xll.BDP($B2343,"INDUSTRY_SUBGROUP"))</f>
        <v/>
      </c>
      <c r="Z2343" t="str">
        <f>IF($B2343="","",_xll.BDP($B2343,"COUNTRY_FULL_NAME"))</f>
        <v/>
      </c>
    </row>
    <row r="2344" spans="15:26" x14ac:dyDescent="0.25">
      <c r="O2344"/>
      <c r="P2344"/>
      <c r="Q2344"/>
      <c r="W2344" t="str">
        <f>IF(B2344="","",_xll.BDP(B2344,"INDUSTRY_SECTOR"))</f>
        <v/>
      </c>
      <c r="X2344" t="str">
        <f>IF($B2344="","",_xll.BDP($B2344,"INDUSTRY_GROUP"))</f>
        <v/>
      </c>
      <c r="Y2344" t="str">
        <f>IF($B2344="","",_xll.BDP($B2344,"INDUSTRY_SUBGROUP"))</f>
        <v/>
      </c>
      <c r="Z2344" t="str">
        <f>IF($B2344="","",_xll.BDP($B2344,"COUNTRY_FULL_NAME"))</f>
        <v/>
      </c>
    </row>
    <row r="2345" spans="15:26" x14ac:dyDescent="0.25">
      <c r="O2345"/>
      <c r="P2345"/>
      <c r="Q2345"/>
      <c r="W2345" t="str">
        <f>IF(B2345="","",_xll.BDP(B2345,"INDUSTRY_SECTOR"))</f>
        <v/>
      </c>
      <c r="X2345" t="str">
        <f>IF($B2345="","",_xll.BDP($B2345,"INDUSTRY_GROUP"))</f>
        <v/>
      </c>
      <c r="Y2345" t="str">
        <f>IF($B2345="","",_xll.BDP($B2345,"INDUSTRY_SUBGROUP"))</f>
        <v/>
      </c>
      <c r="Z2345" t="str">
        <f>IF($B2345="","",_xll.BDP($B2345,"COUNTRY_FULL_NAME"))</f>
        <v/>
      </c>
    </row>
    <row r="2346" spans="15:26" x14ac:dyDescent="0.25">
      <c r="O2346"/>
      <c r="P2346"/>
      <c r="Q2346"/>
      <c r="W2346" t="str">
        <f>IF(B2346="","",_xll.BDP(B2346,"INDUSTRY_SECTOR"))</f>
        <v/>
      </c>
      <c r="X2346" t="str">
        <f>IF($B2346="","",_xll.BDP($B2346,"INDUSTRY_GROUP"))</f>
        <v/>
      </c>
      <c r="Y2346" t="str">
        <f>IF($B2346="","",_xll.BDP($B2346,"INDUSTRY_SUBGROUP"))</f>
        <v/>
      </c>
      <c r="Z2346" t="str">
        <f>IF($B2346="","",_xll.BDP($B2346,"COUNTRY_FULL_NAME"))</f>
        <v/>
      </c>
    </row>
    <row r="2347" spans="15:26" x14ac:dyDescent="0.25">
      <c r="O2347"/>
      <c r="P2347"/>
      <c r="Q2347"/>
      <c r="W2347" t="str">
        <f>IF(B2347="","",_xll.BDP(B2347,"INDUSTRY_SECTOR"))</f>
        <v/>
      </c>
      <c r="X2347" t="str">
        <f>IF($B2347="","",_xll.BDP($B2347,"INDUSTRY_GROUP"))</f>
        <v/>
      </c>
      <c r="Y2347" t="str">
        <f>IF($B2347="","",_xll.BDP($B2347,"INDUSTRY_SUBGROUP"))</f>
        <v/>
      </c>
      <c r="Z2347" t="str">
        <f>IF($B2347="","",_xll.BDP($B2347,"COUNTRY_FULL_NAME"))</f>
        <v/>
      </c>
    </row>
    <row r="2348" spans="15:26" x14ac:dyDescent="0.25">
      <c r="O2348"/>
      <c r="P2348"/>
      <c r="Q2348"/>
      <c r="W2348" t="str">
        <f>IF(B2348="","",_xll.BDP(B2348,"INDUSTRY_SECTOR"))</f>
        <v/>
      </c>
      <c r="X2348" t="str">
        <f>IF($B2348="","",_xll.BDP($B2348,"INDUSTRY_GROUP"))</f>
        <v/>
      </c>
      <c r="Y2348" t="str">
        <f>IF($B2348="","",_xll.BDP($B2348,"INDUSTRY_SUBGROUP"))</f>
        <v/>
      </c>
      <c r="Z2348" t="str">
        <f>IF($B2348="","",_xll.BDP($B2348,"COUNTRY_FULL_NAME"))</f>
        <v/>
      </c>
    </row>
    <row r="2349" spans="15:26" x14ac:dyDescent="0.25">
      <c r="O2349"/>
      <c r="P2349"/>
      <c r="Q2349"/>
      <c r="W2349" t="str">
        <f>IF(B2349="","",_xll.BDP(B2349,"INDUSTRY_SECTOR"))</f>
        <v/>
      </c>
      <c r="X2349" t="str">
        <f>IF($B2349="","",_xll.BDP($B2349,"INDUSTRY_GROUP"))</f>
        <v/>
      </c>
      <c r="Y2349" t="str">
        <f>IF($B2349="","",_xll.BDP($B2349,"INDUSTRY_SUBGROUP"))</f>
        <v/>
      </c>
      <c r="Z2349" t="str">
        <f>IF($B2349="","",_xll.BDP($B2349,"COUNTRY_FULL_NAME"))</f>
        <v/>
      </c>
    </row>
    <row r="2350" spans="15:26" x14ac:dyDescent="0.25">
      <c r="O2350"/>
      <c r="P2350"/>
      <c r="Q2350"/>
      <c r="W2350" t="str">
        <f>IF(B2350="","",_xll.BDP(B2350,"INDUSTRY_SECTOR"))</f>
        <v/>
      </c>
      <c r="X2350" t="str">
        <f>IF($B2350="","",_xll.BDP($B2350,"INDUSTRY_GROUP"))</f>
        <v/>
      </c>
      <c r="Y2350" t="str">
        <f>IF($B2350="","",_xll.BDP($B2350,"INDUSTRY_SUBGROUP"))</f>
        <v/>
      </c>
      <c r="Z2350" t="str">
        <f>IF($B2350="","",_xll.BDP($B2350,"COUNTRY_FULL_NAME"))</f>
        <v/>
      </c>
    </row>
    <row r="2351" spans="15:26" x14ac:dyDescent="0.25">
      <c r="O2351"/>
      <c r="P2351"/>
      <c r="Q2351"/>
      <c r="W2351" t="str">
        <f>IF(B2351="","",_xll.BDP(B2351,"INDUSTRY_SECTOR"))</f>
        <v/>
      </c>
      <c r="X2351" t="str">
        <f>IF($B2351="","",_xll.BDP($B2351,"INDUSTRY_GROUP"))</f>
        <v/>
      </c>
      <c r="Y2351" t="str">
        <f>IF($B2351="","",_xll.BDP($B2351,"INDUSTRY_SUBGROUP"))</f>
        <v/>
      </c>
      <c r="Z2351" t="str">
        <f>IF($B2351="","",_xll.BDP($B2351,"COUNTRY_FULL_NAME"))</f>
        <v/>
      </c>
    </row>
    <row r="2352" spans="15:26" x14ac:dyDescent="0.25">
      <c r="O2352"/>
      <c r="P2352"/>
      <c r="Q2352"/>
      <c r="W2352" t="str">
        <f>IF(B2352="","",_xll.BDP(B2352,"INDUSTRY_SECTOR"))</f>
        <v/>
      </c>
      <c r="X2352" t="str">
        <f>IF($B2352="","",_xll.BDP($B2352,"INDUSTRY_GROUP"))</f>
        <v/>
      </c>
      <c r="Y2352" t="str">
        <f>IF($B2352="","",_xll.BDP($B2352,"INDUSTRY_SUBGROUP"))</f>
        <v/>
      </c>
      <c r="Z2352" t="str">
        <f>IF($B2352="","",_xll.BDP($B2352,"COUNTRY_FULL_NAME"))</f>
        <v/>
      </c>
    </row>
    <row r="2353" spans="15:26" x14ac:dyDescent="0.25">
      <c r="O2353"/>
      <c r="P2353"/>
      <c r="Q2353"/>
      <c r="W2353" t="str">
        <f>IF(B2353="","",_xll.BDP(B2353,"INDUSTRY_SECTOR"))</f>
        <v/>
      </c>
      <c r="X2353" t="str">
        <f>IF($B2353="","",_xll.BDP($B2353,"INDUSTRY_GROUP"))</f>
        <v/>
      </c>
      <c r="Y2353" t="str">
        <f>IF($B2353="","",_xll.BDP($B2353,"INDUSTRY_SUBGROUP"))</f>
        <v/>
      </c>
      <c r="Z2353" t="str">
        <f>IF($B2353="","",_xll.BDP($B2353,"COUNTRY_FULL_NAME"))</f>
        <v/>
      </c>
    </row>
    <row r="2354" spans="15:26" x14ac:dyDescent="0.25">
      <c r="O2354"/>
      <c r="P2354"/>
      <c r="Q2354"/>
      <c r="W2354" t="str">
        <f>IF(B2354="","",_xll.BDP(B2354,"INDUSTRY_SECTOR"))</f>
        <v/>
      </c>
      <c r="X2354" t="str">
        <f>IF($B2354="","",_xll.BDP($B2354,"INDUSTRY_GROUP"))</f>
        <v/>
      </c>
      <c r="Y2354" t="str">
        <f>IF($B2354="","",_xll.BDP($B2354,"INDUSTRY_SUBGROUP"))</f>
        <v/>
      </c>
      <c r="Z2354" t="str">
        <f>IF($B2354="","",_xll.BDP($B2354,"COUNTRY_FULL_NAME"))</f>
        <v/>
      </c>
    </row>
    <row r="2355" spans="15:26" x14ac:dyDescent="0.25">
      <c r="O2355"/>
      <c r="P2355"/>
      <c r="Q2355"/>
      <c r="W2355" t="str">
        <f>IF(B2355="","",_xll.BDP(B2355,"INDUSTRY_SECTOR"))</f>
        <v/>
      </c>
      <c r="X2355" t="str">
        <f>IF($B2355="","",_xll.BDP($B2355,"INDUSTRY_GROUP"))</f>
        <v/>
      </c>
      <c r="Y2355" t="str">
        <f>IF($B2355="","",_xll.BDP($B2355,"INDUSTRY_SUBGROUP"))</f>
        <v/>
      </c>
      <c r="Z2355" t="str">
        <f>IF($B2355="","",_xll.BDP($B2355,"COUNTRY_FULL_NAME"))</f>
        <v/>
      </c>
    </row>
    <row r="2356" spans="15:26" x14ac:dyDescent="0.25">
      <c r="O2356"/>
      <c r="P2356"/>
      <c r="Q2356"/>
      <c r="W2356" t="str">
        <f>IF(B2356="","",_xll.BDP(B2356,"INDUSTRY_SECTOR"))</f>
        <v/>
      </c>
      <c r="X2356" t="str">
        <f>IF($B2356="","",_xll.BDP($B2356,"INDUSTRY_GROUP"))</f>
        <v/>
      </c>
      <c r="Y2356" t="str">
        <f>IF($B2356="","",_xll.BDP($B2356,"INDUSTRY_SUBGROUP"))</f>
        <v/>
      </c>
      <c r="Z2356" t="str">
        <f>IF($B2356="","",_xll.BDP($B2356,"COUNTRY_FULL_NAME"))</f>
        <v/>
      </c>
    </row>
    <row r="2357" spans="15:26" x14ac:dyDescent="0.25">
      <c r="O2357"/>
      <c r="P2357"/>
      <c r="Q2357"/>
      <c r="W2357" t="str">
        <f>IF(B2357="","",_xll.BDP(B2357,"INDUSTRY_SECTOR"))</f>
        <v/>
      </c>
      <c r="X2357" t="str">
        <f>IF($B2357="","",_xll.BDP($B2357,"INDUSTRY_GROUP"))</f>
        <v/>
      </c>
      <c r="Y2357" t="str">
        <f>IF($B2357="","",_xll.BDP($B2357,"INDUSTRY_SUBGROUP"))</f>
        <v/>
      </c>
      <c r="Z2357" t="str">
        <f>IF($B2357="","",_xll.BDP($B2357,"COUNTRY_FULL_NAME"))</f>
        <v/>
      </c>
    </row>
    <row r="2358" spans="15:26" x14ac:dyDescent="0.25">
      <c r="O2358"/>
      <c r="P2358"/>
      <c r="Q2358"/>
      <c r="W2358" t="str">
        <f>IF(B2358="","",_xll.BDP(B2358,"INDUSTRY_SECTOR"))</f>
        <v/>
      </c>
      <c r="X2358" t="str">
        <f>IF($B2358="","",_xll.BDP($B2358,"INDUSTRY_GROUP"))</f>
        <v/>
      </c>
      <c r="Y2358" t="str">
        <f>IF($B2358="","",_xll.BDP($B2358,"INDUSTRY_SUBGROUP"))</f>
        <v/>
      </c>
      <c r="Z2358" t="str">
        <f>IF($B2358="","",_xll.BDP($B2358,"COUNTRY_FULL_NAME"))</f>
        <v/>
      </c>
    </row>
    <row r="2359" spans="15:26" x14ac:dyDescent="0.25">
      <c r="O2359"/>
      <c r="P2359"/>
      <c r="Q2359"/>
      <c r="W2359" t="str">
        <f>IF(B2359="","",_xll.BDP(B2359,"INDUSTRY_SECTOR"))</f>
        <v/>
      </c>
      <c r="X2359" t="str">
        <f>IF($B2359="","",_xll.BDP($B2359,"INDUSTRY_GROUP"))</f>
        <v/>
      </c>
      <c r="Y2359" t="str">
        <f>IF($B2359="","",_xll.BDP($B2359,"INDUSTRY_SUBGROUP"))</f>
        <v/>
      </c>
      <c r="Z2359" t="str">
        <f>IF($B2359="","",_xll.BDP($B2359,"COUNTRY_FULL_NAME"))</f>
        <v/>
      </c>
    </row>
    <row r="2360" spans="15:26" x14ac:dyDescent="0.25">
      <c r="O2360"/>
      <c r="P2360"/>
      <c r="Q2360"/>
      <c r="W2360" t="str">
        <f>IF(B2360="","",_xll.BDP(B2360,"INDUSTRY_SECTOR"))</f>
        <v/>
      </c>
      <c r="X2360" t="str">
        <f>IF($B2360="","",_xll.BDP($B2360,"INDUSTRY_GROUP"))</f>
        <v/>
      </c>
      <c r="Y2360" t="str">
        <f>IF($B2360="","",_xll.BDP($B2360,"INDUSTRY_SUBGROUP"))</f>
        <v/>
      </c>
      <c r="Z2360" t="str">
        <f>IF($B2360="","",_xll.BDP($B2360,"COUNTRY_FULL_NAME"))</f>
        <v/>
      </c>
    </row>
    <row r="2361" spans="15:26" x14ac:dyDescent="0.25">
      <c r="O2361"/>
      <c r="P2361"/>
      <c r="Q2361"/>
      <c r="W2361" t="str">
        <f>IF(B2361="","",_xll.BDP(B2361,"INDUSTRY_SECTOR"))</f>
        <v/>
      </c>
      <c r="X2361" t="str">
        <f>IF($B2361="","",_xll.BDP($B2361,"INDUSTRY_GROUP"))</f>
        <v/>
      </c>
      <c r="Y2361" t="str">
        <f>IF($B2361="","",_xll.BDP($B2361,"INDUSTRY_SUBGROUP"))</f>
        <v/>
      </c>
      <c r="Z2361" t="str">
        <f>IF($B2361="","",_xll.BDP($B2361,"COUNTRY_FULL_NAME"))</f>
        <v/>
      </c>
    </row>
    <row r="2362" spans="15:26" x14ac:dyDescent="0.25">
      <c r="O2362"/>
      <c r="P2362"/>
      <c r="Q2362"/>
      <c r="W2362" t="str">
        <f>IF(B2362="","",_xll.BDP(B2362,"INDUSTRY_SECTOR"))</f>
        <v/>
      </c>
      <c r="X2362" t="str">
        <f>IF($B2362="","",_xll.BDP($B2362,"INDUSTRY_GROUP"))</f>
        <v/>
      </c>
      <c r="Y2362" t="str">
        <f>IF($B2362="","",_xll.BDP($B2362,"INDUSTRY_SUBGROUP"))</f>
        <v/>
      </c>
      <c r="Z2362" t="str">
        <f>IF($B2362="","",_xll.BDP($B2362,"COUNTRY_FULL_NAME"))</f>
        <v/>
      </c>
    </row>
    <row r="2363" spans="15:26" x14ac:dyDescent="0.25">
      <c r="O2363"/>
      <c r="P2363"/>
      <c r="Q2363"/>
      <c r="W2363" t="str">
        <f>IF(B2363="","",_xll.BDP(B2363,"INDUSTRY_SECTOR"))</f>
        <v/>
      </c>
      <c r="X2363" t="str">
        <f>IF($B2363="","",_xll.BDP($B2363,"INDUSTRY_GROUP"))</f>
        <v/>
      </c>
      <c r="Y2363" t="str">
        <f>IF($B2363="","",_xll.BDP($B2363,"INDUSTRY_SUBGROUP"))</f>
        <v/>
      </c>
      <c r="Z2363" t="str">
        <f>IF($B2363="","",_xll.BDP($B2363,"COUNTRY_FULL_NAME"))</f>
        <v/>
      </c>
    </row>
    <row r="2364" spans="15:26" x14ac:dyDescent="0.25">
      <c r="O2364"/>
      <c r="P2364"/>
      <c r="Q2364"/>
      <c r="W2364" t="str">
        <f>IF(B2364="","",_xll.BDP(B2364,"INDUSTRY_SECTOR"))</f>
        <v/>
      </c>
      <c r="X2364" t="str">
        <f>IF($B2364="","",_xll.BDP($B2364,"INDUSTRY_GROUP"))</f>
        <v/>
      </c>
      <c r="Y2364" t="str">
        <f>IF($B2364="","",_xll.BDP($B2364,"INDUSTRY_SUBGROUP"))</f>
        <v/>
      </c>
      <c r="Z2364" t="str">
        <f>IF($B2364="","",_xll.BDP($B2364,"COUNTRY_FULL_NAME"))</f>
        <v/>
      </c>
    </row>
    <row r="2365" spans="15:26" x14ac:dyDescent="0.25">
      <c r="O2365"/>
      <c r="P2365"/>
      <c r="Q2365"/>
      <c r="W2365" t="str">
        <f>IF(B2365="","",_xll.BDP(B2365,"INDUSTRY_SECTOR"))</f>
        <v/>
      </c>
      <c r="X2365" t="str">
        <f>IF($B2365="","",_xll.BDP($B2365,"INDUSTRY_GROUP"))</f>
        <v/>
      </c>
      <c r="Y2365" t="str">
        <f>IF($B2365="","",_xll.BDP($B2365,"INDUSTRY_SUBGROUP"))</f>
        <v/>
      </c>
      <c r="Z2365" t="str">
        <f>IF($B2365="","",_xll.BDP($B2365,"COUNTRY_FULL_NAME"))</f>
        <v/>
      </c>
    </row>
    <row r="2366" spans="15:26" x14ac:dyDescent="0.25">
      <c r="O2366"/>
      <c r="P2366"/>
      <c r="Q2366"/>
      <c r="W2366" t="str">
        <f>IF(B2366="","",_xll.BDP(B2366,"INDUSTRY_SECTOR"))</f>
        <v/>
      </c>
      <c r="X2366" t="str">
        <f>IF($B2366="","",_xll.BDP($B2366,"INDUSTRY_GROUP"))</f>
        <v/>
      </c>
      <c r="Y2366" t="str">
        <f>IF($B2366="","",_xll.BDP($B2366,"INDUSTRY_SUBGROUP"))</f>
        <v/>
      </c>
      <c r="Z2366" t="str">
        <f>IF($B2366="","",_xll.BDP($B2366,"COUNTRY_FULL_NAME"))</f>
        <v/>
      </c>
    </row>
    <row r="2367" spans="15:26" x14ac:dyDescent="0.25">
      <c r="O2367"/>
      <c r="P2367"/>
      <c r="Q2367"/>
      <c r="W2367" t="str">
        <f>IF(B2367="","",_xll.BDP(B2367,"INDUSTRY_SECTOR"))</f>
        <v/>
      </c>
      <c r="X2367" t="str">
        <f>IF($B2367="","",_xll.BDP($B2367,"INDUSTRY_GROUP"))</f>
        <v/>
      </c>
      <c r="Y2367" t="str">
        <f>IF($B2367="","",_xll.BDP($B2367,"INDUSTRY_SUBGROUP"))</f>
        <v/>
      </c>
      <c r="Z2367" t="str">
        <f>IF($B2367="","",_xll.BDP($B2367,"COUNTRY_FULL_NAME"))</f>
        <v/>
      </c>
    </row>
    <row r="2368" spans="15:26" x14ac:dyDescent="0.25">
      <c r="O2368"/>
      <c r="P2368"/>
      <c r="Q2368"/>
      <c r="W2368" t="str">
        <f>IF(B2368="","",_xll.BDP(B2368,"INDUSTRY_SECTOR"))</f>
        <v/>
      </c>
      <c r="X2368" t="str">
        <f>IF($B2368="","",_xll.BDP($B2368,"INDUSTRY_GROUP"))</f>
        <v/>
      </c>
      <c r="Y2368" t="str">
        <f>IF($B2368="","",_xll.BDP($B2368,"INDUSTRY_SUBGROUP"))</f>
        <v/>
      </c>
      <c r="Z2368" t="str">
        <f>IF($B2368="","",_xll.BDP($B2368,"COUNTRY_FULL_NAME"))</f>
        <v/>
      </c>
    </row>
    <row r="2369" spans="15:26" x14ac:dyDescent="0.25">
      <c r="O2369"/>
      <c r="P2369"/>
      <c r="Q2369"/>
      <c r="W2369" t="str">
        <f>IF(B2369="","",_xll.BDP(B2369,"INDUSTRY_SECTOR"))</f>
        <v/>
      </c>
      <c r="X2369" t="str">
        <f>IF($B2369="","",_xll.BDP($B2369,"INDUSTRY_GROUP"))</f>
        <v/>
      </c>
      <c r="Y2369" t="str">
        <f>IF($B2369="","",_xll.BDP($B2369,"INDUSTRY_SUBGROUP"))</f>
        <v/>
      </c>
      <c r="Z2369" t="str">
        <f>IF($B2369="","",_xll.BDP($B2369,"COUNTRY_FULL_NAME"))</f>
        <v/>
      </c>
    </row>
    <row r="2370" spans="15:26" x14ac:dyDescent="0.25">
      <c r="O2370"/>
      <c r="P2370"/>
      <c r="Q2370"/>
      <c r="W2370" t="str">
        <f>IF(B2370="","",_xll.BDP(B2370,"INDUSTRY_SECTOR"))</f>
        <v/>
      </c>
      <c r="X2370" t="str">
        <f>IF($B2370="","",_xll.BDP($B2370,"INDUSTRY_GROUP"))</f>
        <v/>
      </c>
      <c r="Y2370" t="str">
        <f>IF($B2370="","",_xll.BDP($B2370,"INDUSTRY_SUBGROUP"))</f>
        <v/>
      </c>
      <c r="Z2370" t="str">
        <f>IF($B2370="","",_xll.BDP($B2370,"COUNTRY_FULL_NAME"))</f>
        <v/>
      </c>
    </row>
    <row r="2371" spans="15:26" x14ac:dyDescent="0.25">
      <c r="O2371"/>
      <c r="P2371"/>
      <c r="Q2371"/>
      <c r="W2371" t="str">
        <f>IF(B2371="","",_xll.BDP(B2371,"INDUSTRY_SECTOR"))</f>
        <v/>
      </c>
      <c r="X2371" t="str">
        <f>IF($B2371="","",_xll.BDP($B2371,"INDUSTRY_GROUP"))</f>
        <v/>
      </c>
      <c r="Y2371" t="str">
        <f>IF($B2371="","",_xll.BDP($B2371,"INDUSTRY_SUBGROUP"))</f>
        <v/>
      </c>
      <c r="Z2371" t="str">
        <f>IF($B2371="","",_xll.BDP($B2371,"COUNTRY_FULL_NAME"))</f>
        <v/>
      </c>
    </row>
    <row r="2372" spans="15:26" x14ac:dyDescent="0.25">
      <c r="O2372"/>
      <c r="P2372"/>
      <c r="Q2372"/>
      <c r="W2372" t="str">
        <f>IF(B2372="","",_xll.BDP(B2372,"INDUSTRY_SECTOR"))</f>
        <v/>
      </c>
      <c r="X2372" t="str">
        <f>IF($B2372="","",_xll.BDP($B2372,"INDUSTRY_GROUP"))</f>
        <v/>
      </c>
      <c r="Y2372" t="str">
        <f>IF($B2372="","",_xll.BDP($B2372,"INDUSTRY_SUBGROUP"))</f>
        <v/>
      </c>
      <c r="Z2372" t="str">
        <f>IF($B2372="","",_xll.BDP($B2372,"COUNTRY_FULL_NAME"))</f>
        <v/>
      </c>
    </row>
    <row r="2373" spans="15:26" x14ac:dyDescent="0.25">
      <c r="O2373"/>
      <c r="P2373"/>
      <c r="Q2373"/>
      <c r="W2373" t="str">
        <f>IF(B2373="","",_xll.BDP(B2373,"INDUSTRY_SECTOR"))</f>
        <v/>
      </c>
      <c r="X2373" t="str">
        <f>IF($B2373="","",_xll.BDP($B2373,"INDUSTRY_GROUP"))</f>
        <v/>
      </c>
      <c r="Y2373" t="str">
        <f>IF($B2373="","",_xll.BDP($B2373,"INDUSTRY_SUBGROUP"))</f>
        <v/>
      </c>
      <c r="Z2373" t="str">
        <f>IF($B2373="","",_xll.BDP($B2373,"COUNTRY_FULL_NAME"))</f>
        <v/>
      </c>
    </row>
    <row r="2374" spans="15:26" x14ac:dyDescent="0.25">
      <c r="O2374"/>
      <c r="P2374"/>
      <c r="Q2374"/>
      <c r="W2374" t="str">
        <f>IF(B2374="","",_xll.BDP(B2374,"INDUSTRY_SECTOR"))</f>
        <v/>
      </c>
      <c r="X2374" t="str">
        <f>IF($B2374="","",_xll.BDP($B2374,"INDUSTRY_GROUP"))</f>
        <v/>
      </c>
      <c r="Y2374" t="str">
        <f>IF($B2374="","",_xll.BDP($B2374,"INDUSTRY_SUBGROUP"))</f>
        <v/>
      </c>
      <c r="Z2374" t="str">
        <f>IF($B2374="","",_xll.BDP($B2374,"COUNTRY_FULL_NAME"))</f>
        <v/>
      </c>
    </row>
    <row r="2375" spans="15:26" x14ac:dyDescent="0.25">
      <c r="O2375"/>
      <c r="P2375"/>
      <c r="Q2375"/>
      <c r="W2375" t="str">
        <f>IF(B2375="","",_xll.BDP(B2375,"INDUSTRY_SECTOR"))</f>
        <v/>
      </c>
      <c r="X2375" t="str">
        <f>IF($B2375="","",_xll.BDP($B2375,"INDUSTRY_GROUP"))</f>
        <v/>
      </c>
      <c r="Y2375" t="str">
        <f>IF($B2375="","",_xll.BDP($B2375,"INDUSTRY_SUBGROUP"))</f>
        <v/>
      </c>
      <c r="Z2375" t="str">
        <f>IF($B2375="","",_xll.BDP($B2375,"COUNTRY_FULL_NAME"))</f>
        <v/>
      </c>
    </row>
    <row r="2376" spans="15:26" x14ac:dyDescent="0.25">
      <c r="O2376"/>
      <c r="P2376"/>
      <c r="Q2376"/>
      <c r="W2376" t="str">
        <f>IF(B2376="","",_xll.BDP(B2376,"INDUSTRY_SECTOR"))</f>
        <v/>
      </c>
      <c r="X2376" t="str">
        <f>IF($B2376="","",_xll.BDP($B2376,"INDUSTRY_GROUP"))</f>
        <v/>
      </c>
      <c r="Y2376" t="str">
        <f>IF($B2376="","",_xll.BDP($B2376,"INDUSTRY_SUBGROUP"))</f>
        <v/>
      </c>
      <c r="Z2376" t="str">
        <f>IF($B2376="","",_xll.BDP($B2376,"COUNTRY_FULL_NAME"))</f>
        <v/>
      </c>
    </row>
    <row r="2377" spans="15:26" x14ac:dyDescent="0.25">
      <c r="O2377"/>
      <c r="P2377"/>
      <c r="Q2377"/>
      <c r="W2377" t="str">
        <f>IF(B2377="","",_xll.BDP(B2377,"INDUSTRY_SECTOR"))</f>
        <v/>
      </c>
      <c r="X2377" t="str">
        <f>IF($B2377="","",_xll.BDP($B2377,"INDUSTRY_GROUP"))</f>
        <v/>
      </c>
      <c r="Y2377" t="str">
        <f>IF($B2377="","",_xll.BDP($B2377,"INDUSTRY_SUBGROUP"))</f>
        <v/>
      </c>
      <c r="Z2377" t="str">
        <f>IF($B2377="","",_xll.BDP($B2377,"COUNTRY_FULL_NAME"))</f>
        <v/>
      </c>
    </row>
    <row r="2378" spans="15:26" x14ac:dyDescent="0.25">
      <c r="O2378"/>
      <c r="P2378"/>
      <c r="Q2378"/>
      <c r="W2378" t="str">
        <f>IF(B2378="","",_xll.BDP(B2378,"INDUSTRY_SECTOR"))</f>
        <v/>
      </c>
      <c r="X2378" t="str">
        <f>IF($B2378="","",_xll.BDP($B2378,"INDUSTRY_GROUP"))</f>
        <v/>
      </c>
      <c r="Y2378" t="str">
        <f>IF($B2378="","",_xll.BDP($B2378,"INDUSTRY_SUBGROUP"))</f>
        <v/>
      </c>
      <c r="Z2378" t="str">
        <f>IF($B2378="","",_xll.BDP($B2378,"COUNTRY_FULL_NAME"))</f>
        <v/>
      </c>
    </row>
    <row r="2379" spans="15:26" x14ac:dyDescent="0.25">
      <c r="O2379"/>
      <c r="P2379"/>
      <c r="Q2379"/>
      <c r="W2379" t="str">
        <f>IF(B2379="","",_xll.BDP(B2379,"INDUSTRY_SECTOR"))</f>
        <v/>
      </c>
      <c r="X2379" t="str">
        <f>IF($B2379="","",_xll.BDP($B2379,"INDUSTRY_GROUP"))</f>
        <v/>
      </c>
      <c r="Y2379" t="str">
        <f>IF($B2379="","",_xll.BDP($B2379,"INDUSTRY_SUBGROUP"))</f>
        <v/>
      </c>
      <c r="Z2379" t="str">
        <f>IF($B2379="","",_xll.BDP($B2379,"COUNTRY_FULL_NAME"))</f>
        <v/>
      </c>
    </row>
    <row r="2380" spans="15:26" x14ac:dyDescent="0.25">
      <c r="O2380"/>
      <c r="P2380"/>
      <c r="Q2380"/>
      <c r="W2380" t="str">
        <f>IF(B2380="","",_xll.BDP(B2380,"INDUSTRY_SECTOR"))</f>
        <v/>
      </c>
      <c r="X2380" t="str">
        <f>IF($B2380="","",_xll.BDP($B2380,"INDUSTRY_GROUP"))</f>
        <v/>
      </c>
      <c r="Y2380" t="str">
        <f>IF($B2380="","",_xll.BDP($B2380,"INDUSTRY_SUBGROUP"))</f>
        <v/>
      </c>
      <c r="Z2380" t="str">
        <f>IF($B2380="","",_xll.BDP($B2380,"COUNTRY_FULL_NAME"))</f>
        <v/>
      </c>
    </row>
    <row r="2381" spans="15:26" x14ac:dyDescent="0.25">
      <c r="O2381"/>
      <c r="P2381"/>
      <c r="Q2381"/>
      <c r="W2381" t="str">
        <f>IF(B2381="","",_xll.BDP(B2381,"INDUSTRY_SECTOR"))</f>
        <v/>
      </c>
      <c r="X2381" t="str">
        <f>IF($B2381="","",_xll.BDP($B2381,"INDUSTRY_GROUP"))</f>
        <v/>
      </c>
      <c r="Y2381" t="str">
        <f>IF($B2381="","",_xll.BDP($B2381,"INDUSTRY_SUBGROUP"))</f>
        <v/>
      </c>
      <c r="Z2381" t="str">
        <f>IF($B2381="","",_xll.BDP($B2381,"COUNTRY_FULL_NAME"))</f>
        <v/>
      </c>
    </row>
    <row r="2382" spans="15:26" x14ac:dyDescent="0.25">
      <c r="O2382"/>
      <c r="P2382"/>
      <c r="Q2382"/>
      <c r="W2382" t="str">
        <f>IF(B2382="","",_xll.BDP(B2382,"INDUSTRY_SECTOR"))</f>
        <v/>
      </c>
      <c r="X2382" t="str">
        <f>IF($B2382="","",_xll.BDP($B2382,"INDUSTRY_GROUP"))</f>
        <v/>
      </c>
      <c r="Y2382" t="str">
        <f>IF($B2382="","",_xll.BDP($B2382,"INDUSTRY_SUBGROUP"))</f>
        <v/>
      </c>
      <c r="Z2382" t="str">
        <f>IF($B2382="","",_xll.BDP($B2382,"COUNTRY_FULL_NAME"))</f>
        <v/>
      </c>
    </row>
    <row r="2383" spans="15:26" x14ac:dyDescent="0.25">
      <c r="O2383"/>
      <c r="P2383"/>
      <c r="Q2383"/>
      <c r="W2383" t="str">
        <f>IF(B2383="","",_xll.BDP(B2383,"INDUSTRY_SECTOR"))</f>
        <v/>
      </c>
      <c r="X2383" t="str">
        <f>IF($B2383="","",_xll.BDP($B2383,"INDUSTRY_GROUP"))</f>
        <v/>
      </c>
      <c r="Y2383" t="str">
        <f>IF($B2383="","",_xll.BDP($B2383,"INDUSTRY_SUBGROUP"))</f>
        <v/>
      </c>
      <c r="Z2383" t="str">
        <f>IF($B2383="","",_xll.BDP($B2383,"COUNTRY_FULL_NAME"))</f>
        <v/>
      </c>
    </row>
    <row r="2384" spans="15:26" x14ac:dyDescent="0.25">
      <c r="O2384"/>
      <c r="P2384"/>
      <c r="Q2384"/>
      <c r="W2384" t="str">
        <f>IF(B2384="","",_xll.BDP(B2384,"INDUSTRY_SECTOR"))</f>
        <v/>
      </c>
      <c r="X2384" t="str">
        <f>IF($B2384="","",_xll.BDP($B2384,"INDUSTRY_GROUP"))</f>
        <v/>
      </c>
      <c r="Y2384" t="str">
        <f>IF($B2384="","",_xll.BDP($B2384,"INDUSTRY_SUBGROUP"))</f>
        <v/>
      </c>
      <c r="Z2384" t="str">
        <f>IF($B2384="","",_xll.BDP($B2384,"COUNTRY_FULL_NAME"))</f>
        <v/>
      </c>
    </row>
    <row r="2385" spans="15:26" x14ac:dyDescent="0.25">
      <c r="O2385"/>
      <c r="P2385"/>
      <c r="Q2385"/>
      <c r="W2385" t="str">
        <f>IF(B2385="","",_xll.BDP(B2385,"INDUSTRY_SECTOR"))</f>
        <v/>
      </c>
      <c r="X2385" t="str">
        <f>IF($B2385="","",_xll.BDP($B2385,"INDUSTRY_GROUP"))</f>
        <v/>
      </c>
      <c r="Y2385" t="str">
        <f>IF($B2385="","",_xll.BDP($B2385,"INDUSTRY_SUBGROUP"))</f>
        <v/>
      </c>
      <c r="Z2385" t="str">
        <f>IF($B2385="","",_xll.BDP($B2385,"COUNTRY_FULL_NAME"))</f>
        <v/>
      </c>
    </row>
    <row r="2386" spans="15:26" x14ac:dyDescent="0.25">
      <c r="O2386"/>
      <c r="P2386"/>
      <c r="Q2386"/>
      <c r="W2386" t="str">
        <f>IF(B2386="","",_xll.BDP(B2386,"INDUSTRY_SECTOR"))</f>
        <v/>
      </c>
      <c r="X2386" t="str">
        <f>IF($B2386="","",_xll.BDP($B2386,"INDUSTRY_GROUP"))</f>
        <v/>
      </c>
      <c r="Y2386" t="str">
        <f>IF($B2386="","",_xll.BDP($B2386,"INDUSTRY_SUBGROUP"))</f>
        <v/>
      </c>
      <c r="Z2386" t="str">
        <f>IF($B2386="","",_xll.BDP($B2386,"COUNTRY_FULL_NAME"))</f>
        <v/>
      </c>
    </row>
    <row r="2387" spans="15:26" x14ac:dyDescent="0.25">
      <c r="O2387"/>
      <c r="P2387"/>
      <c r="Q2387"/>
      <c r="W2387" t="str">
        <f>IF(B2387="","",_xll.BDP(B2387,"INDUSTRY_SECTOR"))</f>
        <v/>
      </c>
      <c r="X2387" t="str">
        <f>IF($B2387="","",_xll.BDP($B2387,"INDUSTRY_GROUP"))</f>
        <v/>
      </c>
      <c r="Y2387" t="str">
        <f>IF($B2387="","",_xll.BDP($B2387,"INDUSTRY_SUBGROUP"))</f>
        <v/>
      </c>
      <c r="Z2387" t="str">
        <f>IF($B2387="","",_xll.BDP($B2387,"COUNTRY_FULL_NAME"))</f>
        <v/>
      </c>
    </row>
    <row r="2388" spans="15:26" x14ac:dyDescent="0.25">
      <c r="O2388"/>
      <c r="P2388"/>
      <c r="Q2388"/>
      <c r="W2388" t="str">
        <f>IF(B2388="","",_xll.BDP(B2388,"INDUSTRY_SECTOR"))</f>
        <v/>
      </c>
      <c r="X2388" t="str">
        <f>IF($B2388="","",_xll.BDP($B2388,"INDUSTRY_GROUP"))</f>
        <v/>
      </c>
      <c r="Y2388" t="str">
        <f>IF($B2388="","",_xll.BDP($B2388,"INDUSTRY_SUBGROUP"))</f>
        <v/>
      </c>
      <c r="Z2388" t="str">
        <f>IF($B2388="","",_xll.BDP($B2388,"COUNTRY_FULL_NAME"))</f>
        <v/>
      </c>
    </row>
    <row r="2389" spans="15:26" x14ac:dyDescent="0.25">
      <c r="O2389"/>
      <c r="P2389"/>
      <c r="Q2389"/>
      <c r="W2389" t="str">
        <f>IF(B2389="","",_xll.BDP(B2389,"INDUSTRY_SECTOR"))</f>
        <v/>
      </c>
      <c r="X2389" t="str">
        <f>IF($B2389="","",_xll.BDP($B2389,"INDUSTRY_GROUP"))</f>
        <v/>
      </c>
      <c r="Y2389" t="str">
        <f>IF($B2389="","",_xll.BDP($B2389,"INDUSTRY_SUBGROUP"))</f>
        <v/>
      </c>
      <c r="Z2389" t="str">
        <f>IF($B2389="","",_xll.BDP($B2389,"COUNTRY_FULL_NAME"))</f>
        <v/>
      </c>
    </row>
    <row r="2390" spans="15:26" x14ac:dyDescent="0.25">
      <c r="O2390"/>
      <c r="P2390"/>
      <c r="Q2390"/>
      <c r="W2390" t="str">
        <f>IF(B2390="","",_xll.BDP(B2390,"INDUSTRY_SECTOR"))</f>
        <v/>
      </c>
      <c r="X2390" t="str">
        <f>IF($B2390="","",_xll.BDP($B2390,"INDUSTRY_GROUP"))</f>
        <v/>
      </c>
      <c r="Y2390" t="str">
        <f>IF($B2390="","",_xll.BDP($B2390,"INDUSTRY_SUBGROUP"))</f>
        <v/>
      </c>
      <c r="Z2390" t="str">
        <f>IF($B2390="","",_xll.BDP($B2390,"COUNTRY_FULL_NAME"))</f>
        <v/>
      </c>
    </row>
    <row r="2391" spans="15:26" x14ac:dyDescent="0.25">
      <c r="O2391"/>
      <c r="P2391"/>
      <c r="Q2391"/>
      <c r="W2391" t="str">
        <f>IF(B2391="","",_xll.BDP(B2391,"INDUSTRY_SECTOR"))</f>
        <v/>
      </c>
      <c r="X2391" t="str">
        <f>IF($B2391="","",_xll.BDP($B2391,"INDUSTRY_GROUP"))</f>
        <v/>
      </c>
      <c r="Y2391" t="str">
        <f>IF($B2391="","",_xll.BDP($B2391,"INDUSTRY_SUBGROUP"))</f>
        <v/>
      </c>
      <c r="Z2391" t="str">
        <f>IF($B2391="","",_xll.BDP($B2391,"COUNTRY_FULL_NAME"))</f>
        <v/>
      </c>
    </row>
    <row r="2392" spans="15:26" x14ac:dyDescent="0.25">
      <c r="O2392"/>
      <c r="P2392"/>
      <c r="Q2392"/>
      <c r="W2392" t="str">
        <f>IF(B2392="","",_xll.BDP(B2392,"INDUSTRY_SECTOR"))</f>
        <v/>
      </c>
      <c r="X2392" t="str">
        <f>IF($B2392="","",_xll.BDP($B2392,"INDUSTRY_GROUP"))</f>
        <v/>
      </c>
      <c r="Y2392" t="str">
        <f>IF($B2392="","",_xll.BDP($B2392,"INDUSTRY_SUBGROUP"))</f>
        <v/>
      </c>
      <c r="Z2392" t="str">
        <f>IF($B2392="","",_xll.BDP($B2392,"COUNTRY_FULL_NAME"))</f>
        <v/>
      </c>
    </row>
    <row r="2393" spans="15:26" x14ac:dyDescent="0.25">
      <c r="O2393"/>
      <c r="P2393"/>
      <c r="Q2393"/>
      <c r="W2393" t="str">
        <f>IF(B2393="","",_xll.BDP(B2393,"INDUSTRY_SECTOR"))</f>
        <v/>
      </c>
      <c r="X2393" t="str">
        <f>IF($B2393="","",_xll.BDP($B2393,"INDUSTRY_GROUP"))</f>
        <v/>
      </c>
      <c r="Y2393" t="str">
        <f>IF($B2393="","",_xll.BDP($B2393,"INDUSTRY_SUBGROUP"))</f>
        <v/>
      </c>
      <c r="Z2393" t="str">
        <f>IF($B2393="","",_xll.BDP($B2393,"COUNTRY_FULL_NAME"))</f>
        <v/>
      </c>
    </row>
    <row r="2394" spans="15:26" x14ac:dyDescent="0.25">
      <c r="O2394"/>
      <c r="P2394"/>
      <c r="Q2394"/>
      <c r="W2394" t="str">
        <f>IF(B2394="","",_xll.BDP(B2394,"INDUSTRY_SECTOR"))</f>
        <v/>
      </c>
      <c r="X2394" t="str">
        <f>IF($B2394="","",_xll.BDP($B2394,"INDUSTRY_GROUP"))</f>
        <v/>
      </c>
      <c r="Y2394" t="str">
        <f>IF($B2394="","",_xll.BDP($B2394,"INDUSTRY_SUBGROUP"))</f>
        <v/>
      </c>
      <c r="Z2394" t="str">
        <f>IF($B2394="","",_xll.BDP($B2394,"COUNTRY_FULL_NAME"))</f>
        <v/>
      </c>
    </row>
    <row r="2395" spans="15:26" x14ac:dyDescent="0.25">
      <c r="O2395"/>
      <c r="P2395"/>
      <c r="Q2395"/>
      <c r="W2395" t="str">
        <f>IF(B2395="","",_xll.BDP(B2395,"INDUSTRY_SECTOR"))</f>
        <v/>
      </c>
      <c r="X2395" t="str">
        <f>IF($B2395="","",_xll.BDP($B2395,"INDUSTRY_GROUP"))</f>
        <v/>
      </c>
      <c r="Y2395" t="str">
        <f>IF($B2395="","",_xll.BDP($B2395,"INDUSTRY_SUBGROUP"))</f>
        <v/>
      </c>
      <c r="Z2395" t="str">
        <f>IF($B2395="","",_xll.BDP($B2395,"COUNTRY_FULL_NAME"))</f>
        <v/>
      </c>
    </row>
    <row r="2396" spans="15:26" x14ac:dyDescent="0.25">
      <c r="O2396"/>
      <c r="P2396"/>
      <c r="Q2396"/>
      <c r="W2396" t="str">
        <f>IF(B2396="","",_xll.BDP(B2396,"INDUSTRY_SECTOR"))</f>
        <v/>
      </c>
      <c r="X2396" t="str">
        <f>IF($B2396="","",_xll.BDP($B2396,"INDUSTRY_GROUP"))</f>
        <v/>
      </c>
      <c r="Y2396" t="str">
        <f>IF($B2396="","",_xll.BDP($B2396,"INDUSTRY_SUBGROUP"))</f>
        <v/>
      </c>
      <c r="Z2396" t="str">
        <f>IF($B2396="","",_xll.BDP($B2396,"COUNTRY_FULL_NAME"))</f>
        <v/>
      </c>
    </row>
    <row r="2397" spans="15:26" x14ac:dyDescent="0.25">
      <c r="O2397"/>
      <c r="P2397"/>
      <c r="Q2397"/>
      <c r="W2397" t="str">
        <f>IF(B2397="","",_xll.BDP(B2397,"INDUSTRY_SECTOR"))</f>
        <v/>
      </c>
      <c r="X2397" t="str">
        <f>IF($B2397="","",_xll.BDP($B2397,"INDUSTRY_GROUP"))</f>
        <v/>
      </c>
      <c r="Y2397" t="str">
        <f>IF($B2397="","",_xll.BDP($B2397,"INDUSTRY_SUBGROUP"))</f>
        <v/>
      </c>
      <c r="Z2397" t="str">
        <f>IF($B2397="","",_xll.BDP($B2397,"COUNTRY_FULL_NAME"))</f>
        <v/>
      </c>
    </row>
    <row r="2398" spans="15:26" x14ac:dyDescent="0.25">
      <c r="O2398"/>
      <c r="P2398"/>
      <c r="Q2398"/>
      <c r="W2398" t="str">
        <f>IF(B2398="","",_xll.BDP(B2398,"INDUSTRY_SECTOR"))</f>
        <v/>
      </c>
      <c r="X2398" t="str">
        <f>IF($B2398="","",_xll.BDP($B2398,"INDUSTRY_GROUP"))</f>
        <v/>
      </c>
      <c r="Y2398" t="str">
        <f>IF($B2398="","",_xll.BDP($B2398,"INDUSTRY_SUBGROUP"))</f>
        <v/>
      </c>
      <c r="Z2398" t="str">
        <f>IF($B2398="","",_xll.BDP($B2398,"COUNTRY_FULL_NAME"))</f>
        <v/>
      </c>
    </row>
    <row r="2399" spans="15:26" x14ac:dyDescent="0.25">
      <c r="O2399"/>
      <c r="P2399"/>
      <c r="Q2399"/>
      <c r="W2399" t="str">
        <f>IF(B2399="","",_xll.BDP(B2399,"INDUSTRY_SECTOR"))</f>
        <v/>
      </c>
      <c r="X2399" t="str">
        <f>IF($B2399="","",_xll.BDP($B2399,"INDUSTRY_GROUP"))</f>
        <v/>
      </c>
      <c r="Y2399" t="str">
        <f>IF($B2399="","",_xll.BDP($B2399,"INDUSTRY_SUBGROUP"))</f>
        <v/>
      </c>
      <c r="Z2399" t="str">
        <f>IF($B2399="","",_xll.BDP($B2399,"COUNTRY_FULL_NAME"))</f>
        <v/>
      </c>
    </row>
    <row r="2400" spans="15:26" x14ac:dyDescent="0.25">
      <c r="O2400"/>
      <c r="P2400"/>
      <c r="Q2400"/>
      <c r="W2400" t="str">
        <f>IF(B2400="","",_xll.BDP(B2400,"INDUSTRY_SECTOR"))</f>
        <v/>
      </c>
      <c r="X2400" t="str">
        <f>IF($B2400="","",_xll.BDP($B2400,"INDUSTRY_GROUP"))</f>
        <v/>
      </c>
      <c r="Y2400" t="str">
        <f>IF($B2400="","",_xll.BDP($B2400,"INDUSTRY_SUBGROUP"))</f>
        <v/>
      </c>
      <c r="Z2400" t="str">
        <f>IF($B2400="","",_xll.BDP($B2400,"COUNTRY_FULL_NAME"))</f>
        <v/>
      </c>
    </row>
    <row r="2401" spans="15:26" x14ac:dyDescent="0.25">
      <c r="O2401"/>
      <c r="P2401"/>
      <c r="Q2401"/>
      <c r="W2401" t="str">
        <f>IF(B2401="","",_xll.BDP(B2401,"INDUSTRY_SECTOR"))</f>
        <v/>
      </c>
      <c r="X2401" t="str">
        <f>IF($B2401="","",_xll.BDP($B2401,"INDUSTRY_GROUP"))</f>
        <v/>
      </c>
      <c r="Y2401" t="str">
        <f>IF($B2401="","",_xll.BDP($B2401,"INDUSTRY_SUBGROUP"))</f>
        <v/>
      </c>
      <c r="Z2401" t="str">
        <f>IF($B2401="","",_xll.BDP($B2401,"COUNTRY_FULL_NAME"))</f>
        <v/>
      </c>
    </row>
    <row r="2402" spans="15:26" x14ac:dyDescent="0.25">
      <c r="O2402"/>
      <c r="P2402"/>
      <c r="Q2402"/>
      <c r="W2402" t="str">
        <f>IF(B2402="","",_xll.BDP(B2402,"INDUSTRY_SECTOR"))</f>
        <v/>
      </c>
      <c r="X2402" t="str">
        <f>IF($B2402="","",_xll.BDP($B2402,"INDUSTRY_GROUP"))</f>
        <v/>
      </c>
      <c r="Y2402" t="str">
        <f>IF($B2402="","",_xll.BDP($B2402,"INDUSTRY_SUBGROUP"))</f>
        <v/>
      </c>
      <c r="Z2402" t="str">
        <f>IF($B2402="","",_xll.BDP($B2402,"COUNTRY_FULL_NAME"))</f>
        <v/>
      </c>
    </row>
    <row r="2403" spans="15:26" x14ac:dyDescent="0.25">
      <c r="O2403"/>
      <c r="P2403"/>
      <c r="Q2403"/>
      <c r="W2403" t="str">
        <f>IF(B2403="","",_xll.BDP(B2403,"INDUSTRY_SECTOR"))</f>
        <v/>
      </c>
      <c r="X2403" t="str">
        <f>IF($B2403="","",_xll.BDP($B2403,"INDUSTRY_GROUP"))</f>
        <v/>
      </c>
      <c r="Y2403" t="str">
        <f>IF($B2403="","",_xll.BDP($B2403,"INDUSTRY_SUBGROUP"))</f>
        <v/>
      </c>
      <c r="Z2403" t="str">
        <f>IF($B2403="","",_xll.BDP($B2403,"COUNTRY_FULL_NAME"))</f>
        <v/>
      </c>
    </row>
    <row r="2404" spans="15:26" x14ac:dyDescent="0.25">
      <c r="O2404"/>
      <c r="P2404"/>
      <c r="Q2404"/>
      <c r="W2404" t="str">
        <f>IF(B2404="","",_xll.BDP(B2404,"INDUSTRY_SECTOR"))</f>
        <v/>
      </c>
      <c r="X2404" t="str">
        <f>IF($B2404="","",_xll.BDP($B2404,"INDUSTRY_GROUP"))</f>
        <v/>
      </c>
      <c r="Y2404" t="str">
        <f>IF($B2404="","",_xll.BDP($B2404,"INDUSTRY_SUBGROUP"))</f>
        <v/>
      </c>
      <c r="Z2404" t="str">
        <f>IF($B2404="","",_xll.BDP($B2404,"COUNTRY_FULL_NAME"))</f>
        <v/>
      </c>
    </row>
    <row r="2405" spans="15:26" x14ac:dyDescent="0.25">
      <c r="O2405"/>
      <c r="P2405"/>
      <c r="Q2405"/>
      <c r="W2405" t="str">
        <f>IF(B2405="","",_xll.BDP(B2405,"INDUSTRY_SECTOR"))</f>
        <v/>
      </c>
      <c r="X2405" t="str">
        <f>IF($B2405="","",_xll.BDP($B2405,"INDUSTRY_GROUP"))</f>
        <v/>
      </c>
      <c r="Y2405" t="str">
        <f>IF($B2405="","",_xll.BDP($B2405,"INDUSTRY_SUBGROUP"))</f>
        <v/>
      </c>
      <c r="Z2405" t="str">
        <f>IF($B2405="","",_xll.BDP($B2405,"COUNTRY_FULL_NAME"))</f>
        <v/>
      </c>
    </row>
    <row r="2406" spans="15:26" x14ac:dyDescent="0.25">
      <c r="O2406"/>
      <c r="P2406"/>
      <c r="Q2406"/>
      <c r="W2406" t="str">
        <f>IF(B2406="","",_xll.BDP(B2406,"INDUSTRY_SECTOR"))</f>
        <v/>
      </c>
      <c r="X2406" t="str">
        <f>IF($B2406="","",_xll.BDP($B2406,"INDUSTRY_GROUP"))</f>
        <v/>
      </c>
      <c r="Y2406" t="str">
        <f>IF($B2406="","",_xll.BDP($B2406,"INDUSTRY_SUBGROUP"))</f>
        <v/>
      </c>
      <c r="Z2406" t="str">
        <f>IF($B2406="","",_xll.BDP($B2406,"COUNTRY_FULL_NAME"))</f>
        <v/>
      </c>
    </row>
    <row r="2407" spans="15:26" x14ac:dyDescent="0.25">
      <c r="O2407"/>
      <c r="P2407"/>
      <c r="Q2407"/>
      <c r="W2407" t="str">
        <f>IF(B2407="","",_xll.BDP(B2407,"INDUSTRY_SECTOR"))</f>
        <v/>
      </c>
      <c r="X2407" t="str">
        <f>IF($B2407="","",_xll.BDP($B2407,"INDUSTRY_GROUP"))</f>
        <v/>
      </c>
      <c r="Y2407" t="str">
        <f>IF($B2407="","",_xll.BDP($B2407,"INDUSTRY_SUBGROUP"))</f>
        <v/>
      </c>
      <c r="Z2407" t="str">
        <f>IF($B2407="","",_xll.BDP($B2407,"COUNTRY_FULL_NAME"))</f>
        <v/>
      </c>
    </row>
    <row r="2408" spans="15:26" x14ac:dyDescent="0.25">
      <c r="O2408"/>
      <c r="P2408"/>
      <c r="Q2408"/>
      <c r="W2408" t="str">
        <f>IF(B2408="","",_xll.BDP(B2408,"INDUSTRY_SECTOR"))</f>
        <v/>
      </c>
      <c r="X2408" t="str">
        <f>IF($B2408="","",_xll.BDP($B2408,"INDUSTRY_GROUP"))</f>
        <v/>
      </c>
      <c r="Y2408" t="str">
        <f>IF($B2408="","",_xll.BDP($B2408,"INDUSTRY_SUBGROUP"))</f>
        <v/>
      </c>
      <c r="Z2408" t="str">
        <f>IF($B2408="","",_xll.BDP($B2408,"COUNTRY_FULL_NAME"))</f>
        <v/>
      </c>
    </row>
    <row r="2409" spans="15:26" x14ac:dyDescent="0.25">
      <c r="O2409"/>
      <c r="P2409"/>
      <c r="Q2409"/>
      <c r="W2409" t="str">
        <f>IF(B2409="","",_xll.BDP(B2409,"INDUSTRY_SECTOR"))</f>
        <v/>
      </c>
      <c r="X2409" t="str">
        <f>IF($B2409="","",_xll.BDP($B2409,"INDUSTRY_GROUP"))</f>
        <v/>
      </c>
      <c r="Y2409" t="str">
        <f>IF($B2409="","",_xll.BDP($B2409,"INDUSTRY_SUBGROUP"))</f>
        <v/>
      </c>
      <c r="Z2409" t="str">
        <f>IF($B2409="","",_xll.BDP($B2409,"COUNTRY_FULL_NAME"))</f>
        <v/>
      </c>
    </row>
    <row r="2410" spans="15:26" x14ac:dyDescent="0.25">
      <c r="O2410"/>
      <c r="P2410"/>
      <c r="Q2410"/>
      <c r="W2410" t="str">
        <f>IF(B2410="","",_xll.BDP(B2410,"INDUSTRY_SECTOR"))</f>
        <v/>
      </c>
      <c r="X2410" t="str">
        <f>IF($B2410="","",_xll.BDP($B2410,"INDUSTRY_GROUP"))</f>
        <v/>
      </c>
      <c r="Y2410" t="str">
        <f>IF($B2410="","",_xll.BDP($B2410,"INDUSTRY_SUBGROUP"))</f>
        <v/>
      </c>
      <c r="Z2410" t="str">
        <f>IF($B2410="","",_xll.BDP($B2410,"COUNTRY_FULL_NAME"))</f>
        <v/>
      </c>
    </row>
    <row r="2411" spans="15:26" x14ac:dyDescent="0.25">
      <c r="O2411"/>
      <c r="P2411"/>
      <c r="Q2411"/>
      <c r="W2411" t="str">
        <f>IF(B2411="","",_xll.BDP(B2411,"INDUSTRY_SECTOR"))</f>
        <v/>
      </c>
      <c r="X2411" t="str">
        <f>IF($B2411="","",_xll.BDP($B2411,"INDUSTRY_GROUP"))</f>
        <v/>
      </c>
      <c r="Y2411" t="str">
        <f>IF($B2411="","",_xll.BDP($B2411,"INDUSTRY_SUBGROUP"))</f>
        <v/>
      </c>
      <c r="Z2411" t="str">
        <f>IF($B2411="","",_xll.BDP($B2411,"COUNTRY_FULL_NAME"))</f>
        <v/>
      </c>
    </row>
    <row r="2412" spans="15:26" x14ac:dyDescent="0.25">
      <c r="O2412"/>
      <c r="P2412"/>
      <c r="Q2412"/>
      <c r="W2412" t="str">
        <f>IF(B2412="","",_xll.BDP(B2412,"INDUSTRY_SECTOR"))</f>
        <v/>
      </c>
      <c r="X2412" t="str">
        <f>IF($B2412="","",_xll.BDP($B2412,"INDUSTRY_GROUP"))</f>
        <v/>
      </c>
      <c r="Y2412" t="str">
        <f>IF($B2412="","",_xll.BDP($B2412,"INDUSTRY_SUBGROUP"))</f>
        <v/>
      </c>
      <c r="Z2412" t="str">
        <f>IF($B2412="","",_xll.BDP($B2412,"COUNTRY_FULL_NAME"))</f>
        <v/>
      </c>
    </row>
    <row r="2413" spans="15:26" x14ac:dyDescent="0.25">
      <c r="O2413"/>
      <c r="P2413"/>
      <c r="Q2413"/>
      <c r="W2413" t="str">
        <f>IF(B2413="","",_xll.BDP(B2413,"INDUSTRY_SECTOR"))</f>
        <v/>
      </c>
      <c r="X2413" t="str">
        <f>IF($B2413="","",_xll.BDP($B2413,"INDUSTRY_GROUP"))</f>
        <v/>
      </c>
      <c r="Y2413" t="str">
        <f>IF($B2413="","",_xll.BDP($B2413,"INDUSTRY_SUBGROUP"))</f>
        <v/>
      </c>
      <c r="Z2413" t="str">
        <f>IF($B2413="","",_xll.BDP($B2413,"COUNTRY_FULL_NAME"))</f>
        <v/>
      </c>
    </row>
    <row r="2414" spans="15:26" x14ac:dyDescent="0.25">
      <c r="O2414"/>
      <c r="P2414"/>
      <c r="Q2414"/>
      <c r="W2414" t="str">
        <f>IF(B2414="","",_xll.BDP(B2414,"INDUSTRY_SECTOR"))</f>
        <v/>
      </c>
      <c r="X2414" t="str">
        <f>IF($B2414="","",_xll.BDP($B2414,"INDUSTRY_GROUP"))</f>
        <v/>
      </c>
      <c r="Y2414" t="str">
        <f>IF($B2414="","",_xll.BDP($B2414,"INDUSTRY_SUBGROUP"))</f>
        <v/>
      </c>
      <c r="Z2414" t="str">
        <f>IF($B2414="","",_xll.BDP($B2414,"COUNTRY_FULL_NAME"))</f>
        <v/>
      </c>
    </row>
    <row r="2415" spans="15:26" x14ac:dyDescent="0.25">
      <c r="O2415"/>
      <c r="P2415"/>
      <c r="Q2415"/>
      <c r="W2415" t="str">
        <f>IF(B2415="","",_xll.BDP(B2415,"INDUSTRY_SECTOR"))</f>
        <v/>
      </c>
      <c r="X2415" t="str">
        <f>IF($B2415="","",_xll.BDP($B2415,"INDUSTRY_GROUP"))</f>
        <v/>
      </c>
      <c r="Y2415" t="str">
        <f>IF($B2415="","",_xll.BDP($B2415,"INDUSTRY_SUBGROUP"))</f>
        <v/>
      </c>
      <c r="Z2415" t="str">
        <f>IF($B2415="","",_xll.BDP($B2415,"COUNTRY_FULL_NAME"))</f>
        <v/>
      </c>
    </row>
    <row r="2416" spans="15:26" x14ac:dyDescent="0.25">
      <c r="O2416"/>
      <c r="P2416"/>
      <c r="Q2416"/>
      <c r="W2416" t="str">
        <f>IF(B2416="","",_xll.BDP(B2416,"INDUSTRY_SECTOR"))</f>
        <v/>
      </c>
      <c r="X2416" t="str">
        <f>IF($B2416="","",_xll.BDP($B2416,"INDUSTRY_GROUP"))</f>
        <v/>
      </c>
      <c r="Y2416" t="str">
        <f>IF($B2416="","",_xll.BDP($B2416,"INDUSTRY_SUBGROUP"))</f>
        <v/>
      </c>
      <c r="Z2416" t="str">
        <f>IF($B2416="","",_xll.BDP($B2416,"COUNTRY_FULL_NAME"))</f>
        <v/>
      </c>
    </row>
    <row r="2417" spans="15:26" x14ac:dyDescent="0.25">
      <c r="O2417"/>
      <c r="P2417"/>
      <c r="Q2417"/>
      <c r="W2417" t="str">
        <f>IF(B2417="","",_xll.BDP(B2417,"INDUSTRY_SECTOR"))</f>
        <v/>
      </c>
      <c r="X2417" t="str">
        <f>IF($B2417="","",_xll.BDP($B2417,"INDUSTRY_GROUP"))</f>
        <v/>
      </c>
      <c r="Y2417" t="str">
        <f>IF($B2417="","",_xll.BDP($B2417,"INDUSTRY_SUBGROUP"))</f>
        <v/>
      </c>
      <c r="Z2417" t="str">
        <f>IF($B2417="","",_xll.BDP($B2417,"COUNTRY_FULL_NAME"))</f>
        <v/>
      </c>
    </row>
    <row r="2418" spans="15:26" x14ac:dyDescent="0.25">
      <c r="O2418"/>
      <c r="P2418"/>
      <c r="Q2418"/>
      <c r="W2418" t="str">
        <f>IF(B2418="","",_xll.BDP(B2418,"INDUSTRY_SECTOR"))</f>
        <v/>
      </c>
      <c r="X2418" t="str">
        <f>IF($B2418="","",_xll.BDP($B2418,"INDUSTRY_GROUP"))</f>
        <v/>
      </c>
      <c r="Y2418" t="str">
        <f>IF($B2418="","",_xll.BDP($B2418,"INDUSTRY_SUBGROUP"))</f>
        <v/>
      </c>
      <c r="Z2418" t="str">
        <f>IF($B2418="","",_xll.BDP($B2418,"COUNTRY_FULL_NAME"))</f>
        <v/>
      </c>
    </row>
    <row r="2419" spans="15:26" x14ac:dyDescent="0.25">
      <c r="O2419"/>
      <c r="P2419"/>
      <c r="Q2419"/>
      <c r="W2419" t="str">
        <f>IF(B2419="","",_xll.BDP(B2419,"INDUSTRY_SECTOR"))</f>
        <v/>
      </c>
      <c r="X2419" t="str">
        <f>IF($B2419="","",_xll.BDP($B2419,"INDUSTRY_GROUP"))</f>
        <v/>
      </c>
      <c r="Y2419" t="str">
        <f>IF($B2419="","",_xll.BDP($B2419,"INDUSTRY_SUBGROUP"))</f>
        <v/>
      </c>
      <c r="Z2419" t="str">
        <f>IF($B2419="","",_xll.BDP($B2419,"COUNTRY_FULL_NAME"))</f>
        <v/>
      </c>
    </row>
    <row r="2420" spans="15:26" x14ac:dyDescent="0.25">
      <c r="O2420"/>
      <c r="P2420"/>
      <c r="Q2420"/>
      <c r="W2420" t="str">
        <f>IF(B2420="","",_xll.BDP(B2420,"INDUSTRY_SECTOR"))</f>
        <v/>
      </c>
      <c r="X2420" t="str">
        <f>IF($B2420="","",_xll.BDP($B2420,"INDUSTRY_GROUP"))</f>
        <v/>
      </c>
      <c r="Y2420" t="str">
        <f>IF($B2420="","",_xll.BDP($B2420,"INDUSTRY_SUBGROUP"))</f>
        <v/>
      </c>
      <c r="Z2420" t="str">
        <f>IF($B2420="","",_xll.BDP($B2420,"COUNTRY_FULL_NAME"))</f>
        <v/>
      </c>
    </row>
    <row r="2421" spans="15:26" x14ac:dyDescent="0.25">
      <c r="O2421"/>
      <c r="P2421"/>
      <c r="Q2421"/>
      <c r="W2421" t="str">
        <f>IF(B2421="","",_xll.BDP(B2421,"INDUSTRY_SECTOR"))</f>
        <v/>
      </c>
      <c r="X2421" t="str">
        <f>IF($B2421="","",_xll.BDP($B2421,"INDUSTRY_GROUP"))</f>
        <v/>
      </c>
      <c r="Y2421" t="str">
        <f>IF($B2421="","",_xll.BDP($B2421,"INDUSTRY_SUBGROUP"))</f>
        <v/>
      </c>
      <c r="Z2421" t="str">
        <f>IF($B2421="","",_xll.BDP($B2421,"COUNTRY_FULL_NAME"))</f>
        <v/>
      </c>
    </row>
    <row r="2422" spans="15:26" x14ac:dyDescent="0.25">
      <c r="O2422"/>
      <c r="P2422"/>
      <c r="Q2422"/>
      <c r="W2422" t="str">
        <f>IF(B2422="","",_xll.BDP(B2422,"INDUSTRY_SECTOR"))</f>
        <v/>
      </c>
      <c r="X2422" t="str">
        <f>IF($B2422="","",_xll.BDP($B2422,"INDUSTRY_GROUP"))</f>
        <v/>
      </c>
      <c r="Y2422" t="str">
        <f>IF($B2422="","",_xll.BDP($B2422,"INDUSTRY_SUBGROUP"))</f>
        <v/>
      </c>
      <c r="Z2422" t="str">
        <f>IF($B2422="","",_xll.BDP($B2422,"COUNTRY_FULL_NAME"))</f>
        <v/>
      </c>
    </row>
    <row r="2423" spans="15:26" x14ac:dyDescent="0.25">
      <c r="O2423"/>
      <c r="P2423"/>
      <c r="Q2423"/>
      <c r="W2423" t="str">
        <f>IF(B2423="","",_xll.BDP(B2423,"INDUSTRY_SECTOR"))</f>
        <v/>
      </c>
      <c r="X2423" t="str">
        <f>IF($B2423="","",_xll.BDP($B2423,"INDUSTRY_GROUP"))</f>
        <v/>
      </c>
      <c r="Y2423" t="str">
        <f>IF($B2423="","",_xll.BDP($B2423,"INDUSTRY_SUBGROUP"))</f>
        <v/>
      </c>
      <c r="Z2423" t="str">
        <f>IF($B2423="","",_xll.BDP($B2423,"COUNTRY_FULL_NAME"))</f>
        <v/>
      </c>
    </row>
    <row r="2424" spans="15:26" x14ac:dyDescent="0.25">
      <c r="O2424"/>
      <c r="P2424"/>
      <c r="Q2424"/>
      <c r="W2424" t="str">
        <f>IF(B2424="","",_xll.BDP(B2424,"INDUSTRY_SECTOR"))</f>
        <v/>
      </c>
      <c r="X2424" t="str">
        <f>IF($B2424="","",_xll.BDP($B2424,"INDUSTRY_GROUP"))</f>
        <v/>
      </c>
      <c r="Y2424" t="str">
        <f>IF($B2424="","",_xll.BDP($B2424,"INDUSTRY_SUBGROUP"))</f>
        <v/>
      </c>
      <c r="Z2424" t="str">
        <f>IF($B2424="","",_xll.BDP($B2424,"COUNTRY_FULL_NAME"))</f>
        <v/>
      </c>
    </row>
    <row r="2425" spans="15:26" x14ac:dyDescent="0.25">
      <c r="O2425"/>
      <c r="P2425"/>
      <c r="Q2425"/>
      <c r="W2425" t="str">
        <f>IF(B2425="","",_xll.BDP(B2425,"INDUSTRY_SECTOR"))</f>
        <v/>
      </c>
      <c r="X2425" t="str">
        <f>IF($B2425="","",_xll.BDP($B2425,"INDUSTRY_GROUP"))</f>
        <v/>
      </c>
      <c r="Y2425" t="str">
        <f>IF($B2425="","",_xll.BDP($B2425,"INDUSTRY_SUBGROUP"))</f>
        <v/>
      </c>
      <c r="Z2425" t="str">
        <f>IF($B2425="","",_xll.BDP($B2425,"COUNTRY_FULL_NAME"))</f>
        <v/>
      </c>
    </row>
    <row r="2426" spans="15:26" x14ac:dyDescent="0.25">
      <c r="O2426"/>
      <c r="P2426"/>
      <c r="Q2426"/>
      <c r="W2426" t="str">
        <f>IF(B2426="","",_xll.BDP(B2426,"INDUSTRY_SECTOR"))</f>
        <v/>
      </c>
      <c r="X2426" t="str">
        <f>IF($B2426="","",_xll.BDP($B2426,"INDUSTRY_GROUP"))</f>
        <v/>
      </c>
      <c r="Y2426" t="str">
        <f>IF($B2426="","",_xll.BDP($B2426,"INDUSTRY_SUBGROUP"))</f>
        <v/>
      </c>
      <c r="Z2426" t="str">
        <f>IF($B2426="","",_xll.BDP($B2426,"COUNTRY_FULL_NAME"))</f>
        <v/>
      </c>
    </row>
    <row r="2427" spans="15:26" x14ac:dyDescent="0.25">
      <c r="O2427"/>
      <c r="P2427"/>
      <c r="Q2427"/>
      <c r="W2427" t="str">
        <f>IF(B2427="","",_xll.BDP(B2427,"INDUSTRY_SECTOR"))</f>
        <v/>
      </c>
      <c r="X2427" t="str">
        <f>IF($B2427="","",_xll.BDP($B2427,"INDUSTRY_GROUP"))</f>
        <v/>
      </c>
      <c r="Y2427" t="str">
        <f>IF($B2427="","",_xll.BDP($B2427,"INDUSTRY_SUBGROUP"))</f>
        <v/>
      </c>
      <c r="Z2427" t="str">
        <f>IF($B2427="","",_xll.BDP($B2427,"COUNTRY_FULL_NAME"))</f>
        <v/>
      </c>
    </row>
    <row r="2428" spans="15:26" x14ac:dyDescent="0.25">
      <c r="O2428"/>
      <c r="P2428"/>
      <c r="Q2428"/>
      <c r="W2428" t="str">
        <f>IF(B2428="","",_xll.BDP(B2428,"INDUSTRY_SECTOR"))</f>
        <v/>
      </c>
      <c r="X2428" t="str">
        <f>IF($B2428="","",_xll.BDP($B2428,"INDUSTRY_GROUP"))</f>
        <v/>
      </c>
      <c r="Y2428" t="str">
        <f>IF($B2428="","",_xll.BDP($B2428,"INDUSTRY_SUBGROUP"))</f>
        <v/>
      </c>
      <c r="Z2428" t="str">
        <f>IF($B2428="","",_xll.BDP($B2428,"COUNTRY_FULL_NAME"))</f>
        <v/>
      </c>
    </row>
    <row r="2429" spans="15:26" x14ac:dyDescent="0.25">
      <c r="O2429"/>
      <c r="P2429"/>
      <c r="Q2429"/>
      <c r="W2429" t="str">
        <f>IF(B2429="","",_xll.BDP(B2429,"INDUSTRY_SECTOR"))</f>
        <v/>
      </c>
      <c r="X2429" t="str">
        <f>IF($B2429="","",_xll.BDP($B2429,"INDUSTRY_GROUP"))</f>
        <v/>
      </c>
      <c r="Y2429" t="str">
        <f>IF($B2429="","",_xll.BDP($B2429,"INDUSTRY_SUBGROUP"))</f>
        <v/>
      </c>
      <c r="Z2429" t="str">
        <f>IF($B2429="","",_xll.BDP($B2429,"COUNTRY_FULL_NAME"))</f>
        <v/>
      </c>
    </row>
    <row r="2430" spans="15:26" x14ac:dyDescent="0.25">
      <c r="O2430"/>
      <c r="P2430"/>
      <c r="Q2430"/>
      <c r="W2430" t="str">
        <f>IF(B2430="","",_xll.BDP(B2430,"INDUSTRY_SECTOR"))</f>
        <v/>
      </c>
      <c r="X2430" t="str">
        <f>IF($B2430="","",_xll.BDP($B2430,"INDUSTRY_GROUP"))</f>
        <v/>
      </c>
      <c r="Y2430" t="str">
        <f>IF($B2430="","",_xll.BDP($B2430,"INDUSTRY_SUBGROUP"))</f>
        <v/>
      </c>
      <c r="Z2430" t="str">
        <f>IF($B2430="","",_xll.BDP($B2430,"COUNTRY_FULL_NAME"))</f>
        <v/>
      </c>
    </row>
    <row r="2431" spans="15:26" x14ac:dyDescent="0.25">
      <c r="O2431"/>
      <c r="P2431"/>
      <c r="Q2431"/>
      <c r="W2431" t="str">
        <f>IF(B2431="","",_xll.BDP(B2431,"INDUSTRY_SECTOR"))</f>
        <v/>
      </c>
      <c r="X2431" t="str">
        <f>IF($B2431="","",_xll.BDP($B2431,"INDUSTRY_GROUP"))</f>
        <v/>
      </c>
      <c r="Y2431" t="str">
        <f>IF($B2431="","",_xll.BDP($B2431,"INDUSTRY_SUBGROUP"))</f>
        <v/>
      </c>
      <c r="Z2431" t="str">
        <f>IF($B2431="","",_xll.BDP($B2431,"COUNTRY_FULL_NAME"))</f>
        <v/>
      </c>
    </row>
    <row r="2432" spans="15:26" x14ac:dyDescent="0.25">
      <c r="O2432"/>
      <c r="P2432"/>
      <c r="Q2432"/>
      <c r="W2432" t="str">
        <f>IF(B2432="","",_xll.BDP(B2432,"INDUSTRY_SECTOR"))</f>
        <v/>
      </c>
      <c r="X2432" t="str">
        <f>IF($B2432="","",_xll.BDP($B2432,"INDUSTRY_GROUP"))</f>
        <v/>
      </c>
      <c r="Y2432" t="str">
        <f>IF($B2432="","",_xll.BDP($B2432,"INDUSTRY_SUBGROUP"))</f>
        <v/>
      </c>
      <c r="Z2432" t="str">
        <f>IF($B2432="","",_xll.BDP($B2432,"COUNTRY_FULL_NAME"))</f>
        <v/>
      </c>
    </row>
    <row r="2433" spans="15:26" x14ac:dyDescent="0.25">
      <c r="O2433"/>
      <c r="P2433"/>
      <c r="Q2433"/>
      <c r="W2433" t="str">
        <f>IF(B2433="","",_xll.BDP(B2433,"INDUSTRY_SECTOR"))</f>
        <v/>
      </c>
      <c r="X2433" t="str">
        <f>IF($B2433="","",_xll.BDP($B2433,"INDUSTRY_GROUP"))</f>
        <v/>
      </c>
      <c r="Y2433" t="str">
        <f>IF($B2433="","",_xll.BDP($B2433,"INDUSTRY_SUBGROUP"))</f>
        <v/>
      </c>
      <c r="Z2433" t="str">
        <f>IF($B2433="","",_xll.BDP($B2433,"COUNTRY_FULL_NAME"))</f>
        <v/>
      </c>
    </row>
    <row r="2434" spans="15:26" x14ac:dyDescent="0.25">
      <c r="O2434"/>
      <c r="P2434"/>
      <c r="Q2434"/>
      <c r="W2434" t="str">
        <f>IF(B2434="","",_xll.BDP(B2434,"INDUSTRY_SECTOR"))</f>
        <v/>
      </c>
      <c r="X2434" t="str">
        <f>IF($B2434="","",_xll.BDP($B2434,"INDUSTRY_GROUP"))</f>
        <v/>
      </c>
      <c r="Y2434" t="str">
        <f>IF($B2434="","",_xll.BDP($B2434,"INDUSTRY_SUBGROUP"))</f>
        <v/>
      </c>
      <c r="Z2434" t="str">
        <f>IF($B2434="","",_xll.BDP($B2434,"COUNTRY_FULL_NAME"))</f>
        <v/>
      </c>
    </row>
    <row r="2435" spans="15:26" x14ac:dyDescent="0.25">
      <c r="O2435"/>
      <c r="P2435"/>
      <c r="Q2435"/>
      <c r="W2435" t="str">
        <f>IF(B2435="","",_xll.BDP(B2435,"INDUSTRY_SECTOR"))</f>
        <v/>
      </c>
      <c r="X2435" t="str">
        <f>IF($B2435="","",_xll.BDP($B2435,"INDUSTRY_GROUP"))</f>
        <v/>
      </c>
      <c r="Y2435" t="str">
        <f>IF($B2435="","",_xll.BDP($B2435,"INDUSTRY_SUBGROUP"))</f>
        <v/>
      </c>
      <c r="Z2435" t="str">
        <f>IF($B2435="","",_xll.BDP($B2435,"COUNTRY_FULL_NAME"))</f>
        <v/>
      </c>
    </row>
    <row r="2436" spans="15:26" x14ac:dyDescent="0.25">
      <c r="O2436"/>
      <c r="P2436"/>
      <c r="Q2436"/>
      <c r="W2436" t="str">
        <f>IF(B2436="","",_xll.BDP(B2436,"INDUSTRY_SECTOR"))</f>
        <v/>
      </c>
      <c r="X2436" t="str">
        <f>IF($B2436="","",_xll.BDP($B2436,"INDUSTRY_GROUP"))</f>
        <v/>
      </c>
      <c r="Y2436" t="str">
        <f>IF($B2436="","",_xll.BDP($B2436,"INDUSTRY_SUBGROUP"))</f>
        <v/>
      </c>
      <c r="Z2436" t="str">
        <f>IF($B2436="","",_xll.BDP($B2436,"COUNTRY_FULL_NAME"))</f>
        <v/>
      </c>
    </row>
    <row r="2437" spans="15:26" x14ac:dyDescent="0.25">
      <c r="O2437"/>
      <c r="P2437"/>
      <c r="Q2437"/>
      <c r="W2437" t="str">
        <f>IF(B2437="","",_xll.BDP(B2437,"INDUSTRY_SECTOR"))</f>
        <v/>
      </c>
      <c r="X2437" t="str">
        <f>IF($B2437="","",_xll.BDP($B2437,"INDUSTRY_GROUP"))</f>
        <v/>
      </c>
      <c r="Y2437" t="str">
        <f>IF($B2437="","",_xll.BDP($B2437,"INDUSTRY_SUBGROUP"))</f>
        <v/>
      </c>
      <c r="Z2437" t="str">
        <f>IF($B2437="","",_xll.BDP($B2437,"COUNTRY_FULL_NAME"))</f>
        <v/>
      </c>
    </row>
    <row r="2438" spans="15:26" x14ac:dyDescent="0.25">
      <c r="O2438"/>
      <c r="P2438"/>
      <c r="Q2438"/>
      <c r="W2438" t="str">
        <f>IF(B2438="","",_xll.BDP(B2438,"INDUSTRY_SECTOR"))</f>
        <v/>
      </c>
      <c r="X2438" t="str">
        <f>IF($B2438="","",_xll.BDP($B2438,"INDUSTRY_GROUP"))</f>
        <v/>
      </c>
      <c r="Y2438" t="str">
        <f>IF($B2438="","",_xll.BDP($B2438,"INDUSTRY_SUBGROUP"))</f>
        <v/>
      </c>
      <c r="Z2438" t="str">
        <f>IF($B2438="","",_xll.BDP($B2438,"COUNTRY_FULL_NAME"))</f>
        <v/>
      </c>
    </row>
    <row r="2439" spans="15:26" x14ac:dyDescent="0.25">
      <c r="O2439"/>
      <c r="P2439"/>
      <c r="Q2439"/>
      <c r="W2439" t="str">
        <f>IF(B2439="","",_xll.BDP(B2439,"INDUSTRY_SECTOR"))</f>
        <v/>
      </c>
      <c r="X2439" t="str">
        <f>IF($B2439="","",_xll.BDP($B2439,"INDUSTRY_GROUP"))</f>
        <v/>
      </c>
      <c r="Y2439" t="str">
        <f>IF($B2439="","",_xll.BDP($B2439,"INDUSTRY_SUBGROUP"))</f>
        <v/>
      </c>
      <c r="Z2439" t="str">
        <f>IF($B2439="","",_xll.BDP($B2439,"COUNTRY_FULL_NAME"))</f>
        <v/>
      </c>
    </row>
    <row r="2440" spans="15:26" x14ac:dyDescent="0.25">
      <c r="O2440"/>
      <c r="P2440"/>
      <c r="Q2440"/>
      <c r="W2440" t="str">
        <f>IF(B2440="","",_xll.BDP(B2440,"INDUSTRY_SECTOR"))</f>
        <v/>
      </c>
      <c r="X2440" t="str">
        <f>IF($B2440="","",_xll.BDP($B2440,"INDUSTRY_GROUP"))</f>
        <v/>
      </c>
      <c r="Y2440" t="str">
        <f>IF($B2440="","",_xll.BDP($B2440,"INDUSTRY_SUBGROUP"))</f>
        <v/>
      </c>
      <c r="Z2440" t="str">
        <f>IF($B2440="","",_xll.BDP($B2440,"COUNTRY_FULL_NAME"))</f>
        <v/>
      </c>
    </row>
    <row r="2441" spans="15:26" x14ac:dyDescent="0.25">
      <c r="O2441"/>
      <c r="P2441"/>
      <c r="Q2441"/>
      <c r="W2441" t="str">
        <f>IF(B2441="","",_xll.BDP(B2441,"INDUSTRY_SECTOR"))</f>
        <v/>
      </c>
      <c r="X2441" t="str">
        <f>IF($B2441="","",_xll.BDP($B2441,"INDUSTRY_GROUP"))</f>
        <v/>
      </c>
      <c r="Y2441" t="str">
        <f>IF($B2441="","",_xll.BDP($B2441,"INDUSTRY_SUBGROUP"))</f>
        <v/>
      </c>
      <c r="Z2441" t="str">
        <f>IF($B2441="","",_xll.BDP($B2441,"COUNTRY_FULL_NAME"))</f>
        <v/>
      </c>
    </row>
    <row r="2442" spans="15:26" x14ac:dyDescent="0.25">
      <c r="O2442"/>
      <c r="P2442"/>
      <c r="Q2442"/>
      <c r="W2442" t="str">
        <f>IF(B2442="","",_xll.BDP(B2442,"INDUSTRY_SECTOR"))</f>
        <v/>
      </c>
      <c r="X2442" t="str">
        <f>IF($B2442="","",_xll.BDP($B2442,"INDUSTRY_GROUP"))</f>
        <v/>
      </c>
      <c r="Y2442" t="str">
        <f>IF($B2442="","",_xll.BDP($B2442,"INDUSTRY_SUBGROUP"))</f>
        <v/>
      </c>
      <c r="Z2442" t="str">
        <f>IF($B2442="","",_xll.BDP($B2442,"COUNTRY_FULL_NAME"))</f>
        <v/>
      </c>
    </row>
    <row r="2443" spans="15:26" x14ac:dyDescent="0.25">
      <c r="O2443"/>
      <c r="P2443"/>
      <c r="Q2443"/>
      <c r="W2443" t="str">
        <f>IF(B2443="","",_xll.BDP(B2443,"INDUSTRY_SECTOR"))</f>
        <v/>
      </c>
      <c r="X2443" t="str">
        <f>IF($B2443="","",_xll.BDP($B2443,"INDUSTRY_GROUP"))</f>
        <v/>
      </c>
      <c r="Y2443" t="str">
        <f>IF($B2443="","",_xll.BDP($B2443,"INDUSTRY_SUBGROUP"))</f>
        <v/>
      </c>
      <c r="Z2443" t="str">
        <f>IF($B2443="","",_xll.BDP($B2443,"COUNTRY_FULL_NAME"))</f>
        <v/>
      </c>
    </row>
    <row r="2444" spans="15:26" x14ac:dyDescent="0.25">
      <c r="O2444"/>
      <c r="P2444"/>
      <c r="Q2444"/>
      <c r="W2444" t="str">
        <f>IF(B2444="","",_xll.BDP(B2444,"INDUSTRY_SECTOR"))</f>
        <v/>
      </c>
      <c r="X2444" t="str">
        <f>IF($B2444="","",_xll.BDP($B2444,"INDUSTRY_GROUP"))</f>
        <v/>
      </c>
      <c r="Y2444" t="str">
        <f>IF($B2444="","",_xll.BDP($B2444,"INDUSTRY_SUBGROUP"))</f>
        <v/>
      </c>
      <c r="Z2444" t="str">
        <f>IF($B2444="","",_xll.BDP($B2444,"COUNTRY_FULL_NAME"))</f>
        <v/>
      </c>
    </row>
    <row r="2445" spans="15:26" x14ac:dyDescent="0.25">
      <c r="O2445"/>
      <c r="P2445"/>
      <c r="Q2445"/>
      <c r="W2445" t="str">
        <f>IF(B2445="","",_xll.BDP(B2445,"INDUSTRY_SECTOR"))</f>
        <v/>
      </c>
      <c r="X2445" t="str">
        <f>IF($B2445="","",_xll.BDP($B2445,"INDUSTRY_GROUP"))</f>
        <v/>
      </c>
      <c r="Y2445" t="str">
        <f>IF($B2445="","",_xll.BDP($B2445,"INDUSTRY_SUBGROUP"))</f>
        <v/>
      </c>
      <c r="Z2445" t="str">
        <f>IF($B2445="","",_xll.BDP($B2445,"COUNTRY_FULL_NAME"))</f>
        <v/>
      </c>
    </row>
    <row r="2446" spans="15:26" x14ac:dyDescent="0.25">
      <c r="O2446"/>
      <c r="P2446"/>
      <c r="Q2446"/>
      <c r="W2446" t="str">
        <f>IF(B2446="","",_xll.BDP(B2446,"INDUSTRY_SECTOR"))</f>
        <v/>
      </c>
      <c r="X2446" t="str">
        <f>IF($B2446="","",_xll.BDP($B2446,"INDUSTRY_GROUP"))</f>
        <v/>
      </c>
      <c r="Y2446" t="str">
        <f>IF($B2446="","",_xll.BDP($B2446,"INDUSTRY_SUBGROUP"))</f>
        <v/>
      </c>
      <c r="Z2446" t="str">
        <f>IF($B2446="","",_xll.BDP($B2446,"COUNTRY_FULL_NAME"))</f>
        <v/>
      </c>
    </row>
    <row r="2447" spans="15:26" x14ac:dyDescent="0.25">
      <c r="O2447"/>
      <c r="P2447"/>
      <c r="Q2447"/>
      <c r="W2447" t="str">
        <f>IF(B2447="","",_xll.BDP(B2447,"INDUSTRY_SECTOR"))</f>
        <v/>
      </c>
      <c r="X2447" t="str">
        <f>IF($B2447="","",_xll.BDP($B2447,"INDUSTRY_GROUP"))</f>
        <v/>
      </c>
      <c r="Y2447" t="str">
        <f>IF($B2447="","",_xll.BDP($B2447,"INDUSTRY_SUBGROUP"))</f>
        <v/>
      </c>
      <c r="Z2447" t="str">
        <f>IF($B2447="","",_xll.BDP($B2447,"COUNTRY_FULL_NAME"))</f>
        <v/>
      </c>
    </row>
    <row r="2448" spans="15:26" x14ac:dyDescent="0.25">
      <c r="O2448"/>
      <c r="P2448"/>
      <c r="Q2448"/>
      <c r="W2448" t="str">
        <f>IF(B2448="","",_xll.BDP(B2448,"INDUSTRY_SECTOR"))</f>
        <v/>
      </c>
      <c r="X2448" t="str">
        <f>IF($B2448="","",_xll.BDP($B2448,"INDUSTRY_GROUP"))</f>
        <v/>
      </c>
      <c r="Y2448" t="str">
        <f>IF($B2448="","",_xll.BDP($B2448,"INDUSTRY_SUBGROUP"))</f>
        <v/>
      </c>
      <c r="Z2448" t="str">
        <f>IF($B2448="","",_xll.BDP($B2448,"COUNTRY_FULL_NAME"))</f>
        <v/>
      </c>
    </row>
    <row r="2449" spans="15:26" x14ac:dyDescent="0.25">
      <c r="O2449"/>
      <c r="P2449"/>
      <c r="Q2449"/>
      <c r="W2449" t="str">
        <f>IF(B2449="","",_xll.BDP(B2449,"INDUSTRY_SECTOR"))</f>
        <v/>
      </c>
      <c r="X2449" t="str">
        <f>IF($B2449="","",_xll.BDP($B2449,"INDUSTRY_GROUP"))</f>
        <v/>
      </c>
      <c r="Y2449" t="str">
        <f>IF($B2449="","",_xll.BDP($B2449,"INDUSTRY_SUBGROUP"))</f>
        <v/>
      </c>
      <c r="Z2449" t="str">
        <f>IF($B2449="","",_xll.BDP($B2449,"COUNTRY_FULL_NAME"))</f>
        <v/>
      </c>
    </row>
    <row r="2450" spans="15:26" x14ac:dyDescent="0.25">
      <c r="O2450"/>
      <c r="P2450"/>
      <c r="Q2450"/>
      <c r="W2450" t="str">
        <f>IF(B2450="","",_xll.BDP(B2450,"INDUSTRY_SECTOR"))</f>
        <v/>
      </c>
      <c r="X2450" t="str">
        <f>IF($B2450="","",_xll.BDP($B2450,"INDUSTRY_GROUP"))</f>
        <v/>
      </c>
      <c r="Y2450" t="str">
        <f>IF($B2450="","",_xll.BDP($B2450,"INDUSTRY_SUBGROUP"))</f>
        <v/>
      </c>
      <c r="Z2450" t="str">
        <f>IF($B2450="","",_xll.BDP($B2450,"COUNTRY_FULL_NAME"))</f>
        <v/>
      </c>
    </row>
    <row r="2451" spans="15:26" x14ac:dyDescent="0.25">
      <c r="O2451"/>
      <c r="P2451"/>
      <c r="Q2451"/>
      <c r="W2451" t="str">
        <f>IF(B2451="","",_xll.BDP(B2451,"INDUSTRY_SECTOR"))</f>
        <v/>
      </c>
      <c r="X2451" t="str">
        <f>IF($B2451="","",_xll.BDP($B2451,"INDUSTRY_GROUP"))</f>
        <v/>
      </c>
      <c r="Y2451" t="str">
        <f>IF($B2451="","",_xll.BDP($B2451,"INDUSTRY_SUBGROUP"))</f>
        <v/>
      </c>
      <c r="Z2451" t="str">
        <f>IF($B2451="","",_xll.BDP($B2451,"COUNTRY_FULL_NAME"))</f>
        <v/>
      </c>
    </row>
    <row r="2452" spans="15:26" x14ac:dyDescent="0.25">
      <c r="O2452"/>
      <c r="P2452"/>
      <c r="Q2452"/>
      <c r="W2452" t="str">
        <f>IF(B2452="","",_xll.BDP(B2452,"INDUSTRY_SECTOR"))</f>
        <v/>
      </c>
      <c r="X2452" t="str">
        <f>IF($B2452="","",_xll.BDP($B2452,"INDUSTRY_GROUP"))</f>
        <v/>
      </c>
      <c r="Y2452" t="str">
        <f>IF($B2452="","",_xll.BDP($B2452,"INDUSTRY_SUBGROUP"))</f>
        <v/>
      </c>
      <c r="Z2452" t="str">
        <f>IF($B2452="","",_xll.BDP($B2452,"COUNTRY_FULL_NAME"))</f>
        <v/>
      </c>
    </row>
    <row r="2453" spans="15:26" x14ac:dyDescent="0.25">
      <c r="O2453"/>
      <c r="P2453"/>
      <c r="Q2453"/>
      <c r="W2453" t="str">
        <f>IF(B2453="","",_xll.BDP(B2453,"INDUSTRY_SECTOR"))</f>
        <v/>
      </c>
      <c r="X2453" t="str">
        <f>IF($B2453="","",_xll.BDP($B2453,"INDUSTRY_GROUP"))</f>
        <v/>
      </c>
      <c r="Y2453" t="str">
        <f>IF($B2453="","",_xll.BDP($B2453,"INDUSTRY_SUBGROUP"))</f>
        <v/>
      </c>
      <c r="Z2453" t="str">
        <f>IF($B2453="","",_xll.BDP($B2453,"COUNTRY_FULL_NAME"))</f>
        <v/>
      </c>
    </row>
    <row r="2454" spans="15:26" x14ac:dyDescent="0.25">
      <c r="O2454"/>
      <c r="P2454"/>
      <c r="Q2454"/>
      <c r="W2454" t="str">
        <f>IF(B2454="","",_xll.BDP(B2454,"INDUSTRY_SECTOR"))</f>
        <v/>
      </c>
      <c r="X2454" t="str">
        <f>IF($B2454="","",_xll.BDP($B2454,"INDUSTRY_GROUP"))</f>
        <v/>
      </c>
      <c r="Y2454" t="str">
        <f>IF($B2454="","",_xll.BDP($B2454,"INDUSTRY_SUBGROUP"))</f>
        <v/>
      </c>
      <c r="Z2454" t="str">
        <f>IF($B2454="","",_xll.BDP($B2454,"COUNTRY_FULL_NAME"))</f>
        <v/>
      </c>
    </row>
    <row r="2455" spans="15:26" x14ac:dyDescent="0.25">
      <c r="O2455"/>
      <c r="P2455"/>
      <c r="Q2455"/>
      <c r="W2455" t="str">
        <f>IF(B2455="","",_xll.BDP(B2455,"INDUSTRY_SECTOR"))</f>
        <v/>
      </c>
      <c r="X2455" t="str">
        <f>IF($B2455="","",_xll.BDP($B2455,"INDUSTRY_GROUP"))</f>
        <v/>
      </c>
      <c r="Y2455" t="str">
        <f>IF($B2455="","",_xll.BDP($B2455,"INDUSTRY_SUBGROUP"))</f>
        <v/>
      </c>
      <c r="Z2455" t="str">
        <f>IF($B2455="","",_xll.BDP($B2455,"COUNTRY_FULL_NAME"))</f>
        <v/>
      </c>
    </row>
    <row r="2456" spans="15:26" x14ac:dyDescent="0.25">
      <c r="O2456"/>
      <c r="P2456"/>
      <c r="Q2456"/>
      <c r="W2456" t="str">
        <f>IF(B2456="","",_xll.BDP(B2456,"INDUSTRY_SECTOR"))</f>
        <v/>
      </c>
      <c r="X2456" t="str">
        <f>IF($B2456="","",_xll.BDP($B2456,"INDUSTRY_GROUP"))</f>
        <v/>
      </c>
      <c r="Y2456" t="str">
        <f>IF($B2456="","",_xll.BDP($B2456,"INDUSTRY_SUBGROUP"))</f>
        <v/>
      </c>
      <c r="Z2456" t="str">
        <f>IF($B2456="","",_xll.BDP($B2456,"COUNTRY_FULL_NAME"))</f>
        <v/>
      </c>
    </row>
    <row r="2457" spans="15:26" x14ac:dyDescent="0.25">
      <c r="O2457"/>
      <c r="P2457"/>
      <c r="Q2457"/>
      <c r="W2457" t="str">
        <f>IF(B2457="","",_xll.BDP(B2457,"INDUSTRY_SECTOR"))</f>
        <v/>
      </c>
      <c r="X2457" t="str">
        <f>IF($B2457="","",_xll.BDP($B2457,"INDUSTRY_GROUP"))</f>
        <v/>
      </c>
      <c r="Y2457" t="str">
        <f>IF($B2457="","",_xll.BDP($B2457,"INDUSTRY_SUBGROUP"))</f>
        <v/>
      </c>
      <c r="Z2457" t="str">
        <f>IF($B2457="","",_xll.BDP($B2457,"COUNTRY_FULL_NAME"))</f>
        <v/>
      </c>
    </row>
    <row r="2458" spans="15:26" x14ac:dyDescent="0.25">
      <c r="O2458"/>
      <c r="P2458"/>
      <c r="Q2458"/>
      <c r="W2458" t="str">
        <f>IF(B2458="","",_xll.BDP(B2458,"INDUSTRY_SECTOR"))</f>
        <v/>
      </c>
      <c r="X2458" t="str">
        <f>IF($B2458="","",_xll.BDP($B2458,"INDUSTRY_GROUP"))</f>
        <v/>
      </c>
      <c r="Y2458" t="str">
        <f>IF($B2458="","",_xll.BDP($B2458,"INDUSTRY_SUBGROUP"))</f>
        <v/>
      </c>
      <c r="Z2458" t="str">
        <f>IF($B2458="","",_xll.BDP($B2458,"COUNTRY_FULL_NAME"))</f>
        <v/>
      </c>
    </row>
    <row r="2459" spans="15:26" x14ac:dyDescent="0.25">
      <c r="O2459"/>
      <c r="P2459"/>
      <c r="Q2459"/>
      <c r="W2459" t="str">
        <f>IF(B2459="","",_xll.BDP(B2459,"INDUSTRY_SECTOR"))</f>
        <v/>
      </c>
      <c r="X2459" t="str">
        <f>IF($B2459="","",_xll.BDP($B2459,"INDUSTRY_GROUP"))</f>
        <v/>
      </c>
      <c r="Y2459" t="str">
        <f>IF($B2459="","",_xll.BDP($B2459,"INDUSTRY_SUBGROUP"))</f>
        <v/>
      </c>
      <c r="Z2459" t="str">
        <f>IF($B2459="","",_xll.BDP($B2459,"COUNTRY_FULL_NAME"))</f>
        <v/>
      </c>
    </row>
    <row r="2460" spans="15:26" x14ac:dyDescent="0.25">
      <c r="O2460"/>
      <c r="P2460"/>
      <c r="Q2460"/>
      <c r="W2460" t="str">
        <f>IF(B2460="","",_xll.BDP(B2460,"INDUSTRY_SECTOR"))</f>
        <v/>
      </c>
      <c r="X2460" t="str">
        <f>IF($B2460="","",_xll.BDP($B2460,"INDUSTRY_GROUP"))</f>
        <v/>
      </c>
      <c r="Y2460" t="str">
        <f>IF($B2460="","",_xll.BDP($B2460,"INDUSTRY_SUBGROUP"))</f>
        <v/>
      </c>
      <c r="Z2460" t="str">
        <f>IF($B2460="","",_xll.BDP($B2460,"COUNTRY_FULL_NAME"))</f>
        <v/>
      </c>
    </row>
    <row r="2461" spans="15:26" x14ac:dyDescent="0.25">
      <c r="O2461"/>
      <c r="P2461"/>
      <c r="Q2461"/>
      <c r="W2461" t="str">
        <f>IF(B2461="","",_xll.BDP(B2461,"INDUSTRY_SECTOR"))</f>
        <v/>
      </c>
      <c r="X2461" t="str">
        <f>IF($B2461="","",_xll.BDP($B2461,"INDUSTRY_GROUP"))</f>
        <v/>
      </c>
      <c r="Y2461" t="str">
        <f>IF($B2461="","",_xll.BDP($B2461,"INDUSTRY_SUBGROUP"))</f>
        <v/>
      </c>
      <c r="Z2461" t="str">
        <f>IF($B2461="","",_xll.BDP($B2461,"COUNTRY_FULL_NAME"))</f>
        <v/>
      </c>
    </row>
    <row r="2462" spans="15:26" x14ac:dyDescent="0.25">
      <c r="O2462"/>
      <c r="P2462"/>
      <c r="Q2462"/>
      <c r="W2462" t="str">
        <f>IF(B2462="","",_xll.BDP(B2462,"INDUSTRY_SECTOR"))</f>
        <v/>
      </c>
      <c r="X2462" t="str">
        <f>IF($B2462="","",_xll.BDP($B2462,"INDUSTRY_GROUP"))</f>
        <v/>
      </c>
      <c r="Y2462" t="str">
        <f>IF($B2462="","",_xll.BDP($B2462,"INDUSTRY_SUBGROUP"))</f>
        <v/>
      </c>
      <c r="Z2462" t="str">
        <f>IF($B2462="","",_xll.BDP($B2462,"COUNTRY_FULL_NAME"))</f>
        <v/>
      </c>
    </row>
    <row r="2463" spans="15:26" x14ac:dyDescent="0.25">
      <c r="O2463"/>
      <c r="P2463"/>
      <c r="Q2463"/>
      <c r="W2463" t="str">
        <f>IF(B2463="","",_xll.BDP(B2463,"INDUSTRY_SECTOR"))</f>
        <v/>
      </c>
      <c r="X2463" t="str">
        <f>IF($B2463="","",_xll.BDP($B2463,"INDUSTRY_GROUP"))</f>
        <v/>
      </c>
      <c r="Y2463" t="str">
        <f>IF($B2463="","",_xll.BDP($B2463,"INDUSTRY_SUBGROUP"))</f>
        <v/>
      </c>
      <c r="Z2463" t="str">
        <f>IF($B2463="","",_xll.BDP($B2463,"COUNTRY_FULL_NAME"))</f>
        <v/>
      </c>
    </row>
    <row r="2464" spans="15:26" x14ac:dyDescent="0.25">
      <c r="O2464"/>
      <c r="P2464"/>
      <c r="Q2464"/>
      <c r="W2464" t="str">
        <f>IF(B2464="","",_xll.BDP(B2464,"INDUSTRY_SECTOR"))</f>
        <v/>
      </c>
      <c r="X2464" t="str">
        <f>IF($B2464="","",_xll.BDP($B2464,"INDUSTRY_GROUP"))</f>
        <v/>
      </c>
      <c r="Y2464" t="str">
        <f>IF($B2464="","",_xll.BDP($B2464,"INDUSTRY_SUBGROUP"))</f>
        <v/>
      </c>
      <c r="Z2464" t="str">
        <f>IF($B2464="","",_xll.BDP($B2464,"COUNTRY_FULL_NAME"))</f>
        <v/>
      </c>
    </row>
    <row r="2465" spans="15:26" x14ac:dyDescent="0.25">
      <c r="O2465"/>
      <c r="P2465"/>
      <c r="Q2465"/>
      <c r="W2465" t="str">
        <f>IF(B2465="","",_xll.BDP(B2465,"INDUSTRY_SECTOR"))</f>
        <v/>
      </c>
      <c r="X2465" t="str">
        <f>IF($B2465="","",_xll.BDP($B2465,"INDUSTRY_GROUP"))</f>
        <v/>
      </c>
      <c r="Y2465" t="str">
        <f>IF($B2465="","",_xll.BDP($B2465,"INDUSTRY_SUBGROUP"))</f>
        <v/>
      </c>
      <c r="Z2465" t="str">
        <f>IF($B2465="","",_xll.BDP($B2465,"COUNTRY_FULL_NAME"))</f>
        <v/>
      </c>
    </row>
    <row r="2466" spans="15:26" x14ac:dyDescent="0.25">
      <c r="O2466"/>
      <c r="P2466"/>
      <c r="Q2466"/>
      <c r="W2466" t="str">
        <f>IF(B2466="","",_xll.BDP(B2466,"INDUSTRY_SECTOR"))</f>
        <v/>
      </c>
      <c r="X2466" t="str">
        <f>IF($B2466="","",_xll.BDP($B2466,"INDUSTRY_GROUP"))</f>
        <v/>
      </c>
      <c r="Y2466" t="str">
        <f>IF($B2466="","",_xll.BDP($B2466,"INDUSTRY_SUBGROUP"))</f>
        <v/>
      </c>
      <c r="Z2466" t="str">
        <f>IF($B2466="","",_xll.BDP($B2466,"COUNTRY_FULL_NAME"))</f>
        <v/>
      </c>
    </row>
    <row r="2467" spans="15:26" x14ac:dyDescent="0.25">
      <c r="O2467"/>
      <c r="P2467"/>
      <c r="Q2467"/>
      <c r="W2467" t="str">
        <f>IF(B2467="","",_xll.BDP(B2467,"INDUSTRY_SECTOR"))</f>
        <v/>
      </c>
      <c r="X2467" t="str">
        <f>IF($B2467="","",_xll.BDP($B2467,"INDUSTRY_GROUP"))</f>
        <v/>
      </c>
      <c r="Y2467" t="str">
        <f>IF($B2467="","",_xll.BDP($B2467,"INDUSTRY_SUBGROUP"))</f>
        <v/>
      </c>
      <c r="Z2467" t="str">
        <f>IF($B2467="","",_xll.BDP($B2467,"COUNTRY_FULL_NAME"))</f>
        <v/>
      </c>
    </row>
    <row r="2468" spans="15:26" x14ac:dyDescent="0.25">
      <c r="O2468"/>
      <c r="P2468"/>
      <c r="Q2468"/>
      <c r="W2468" t="str">
        <f>IF(B2468="","",_xll.BDP(B2468,"INDUSTRY_SECTOR"))</f>
        <v/>
      </c>
      <c r="X2468" t="str">
        <f>IF($B2468="","",_xll.BDP($B2468,"INDUSTRY_GROUP"))</f>
        <v/>
      </c>
      <c r="Y2468" t="str">
        <f>IF($B2468="","",_xll.BDP($B2468,"INDUSTRY_SUBGROUP"))</f>
        <v/>
      </c>
      <c r="Z2468" t="str">
        <f>IF($B2468="","",_xll.BDP($B2468,"COUNTRY_FULL_NAME"))</f>
        <v/>
      </c>
    </row>
    <row r="2469" spans="15:26" x14ac:dyDescent="0.25">
      <c r="O2469"/>
      <c r="P2469"/>
      <c r="Q2469"/>
      <c r="W2469" t="str">
        <f>IF(B2469="","",_xll.BDP(B2469,"INDUSTRY_SECTOR"))</f>
        <v/>
      </c>
      <c r="X2469" t="str">
        <f>IF($B2469="","",_xll.BDP($B2469,"INDUSTRY_GROUP"))</f>
        <v/>
      </c>
      <c r="Y2469" t="str">
        <f>IF($B2469="","",_xll.BDP($B2469,"INDUSTRY_SUBGROUP"))</f>
        <v/>
      </c>
      <c r="Z2469" t="str">
        <f>IF($B2469="","",_xll.BDP($B2469,"COUNTRY_FULL_NAME"))</f>
        <v/>
      </c>
    </row>
    <row r="2470" spans="15:26" x14ac:dyDescent="0.25">
      <c r="O2470"/>
      <c r="P2470"/>
      <c r="Q2470"/>
      <c r="W2470" t="str">
        <f>IF(B2470="","",_xll.BDP(B2470,"INDUSTRY_SECTOR"))</f>
        <v/>
      </c>
      <c r="X2470" t="str">
        <f>IF($B2470="","",_xll.BDP($B2470,"INDUSTRY_GROUP"))</f>
        <v/>
      </c>
      <c r="Y2470" t="str">
        <f>IF($B2470="","",_xll.BDP($B2470,"INDUSTRY_SUBGROUP"))</f>
        <v/>
      </c>
      <c r="Z2470" t="str">
        <f>IF($B2470="","",_xll.BDP($B2470,"COUNTRY_FULL_NAME"))</f>
        <v/>
      </c>
    </row>
    <row r="2471" spans="15:26" x14ac:dyDescent="0.25">
      <c r="O2471"/>
      <c r="P2471"/>
      <c r="Q2471"/>
      <c r="W2471" t="str">
        <f>IF(B2471="","",_xll.BDP(B2471,"INDUSTRY_SECTOR"))</f>
        <v/>
      </c>
      <c r="X2471" t="str">
        <f>IF($B2471="","",_xll.BDP($B2471,"INDUSTRY_GROUP"))</f>
        <v/>
      </c>
      <c r="Y2471" t="str">
        <f>IF($B2471="","",_xll.BDP($B2471,"INDUSTRY_SUBGROUP"))</f>
        <v/>
      </c>
      <c r="Z2471" t="str">
        <f>IF($B2471="","",_xll.BDP($B2471,"COUNTRY_FULL_NAME"))</f>
        <v/>
      </c>
    </row>
    <row r="2472" spans="15:26" x14ac:dyDescent="0.25">
      <c r="O2472"/>
      <c r="P2472"/>
      <c r="Q2472"/>
      <c r="W2472" t="str">
        <f>IF(B2472="","",_xll.BDP(B2472,"INDUSTRY_SECTOR"))</f>
        <v/>
      </c>
      <c r="X2472" t="str">
        <f>IF($B2472="","",_xll.BDP($B2472,"INDUSTRY_GROUP"))</f>
        <v/>
      </c>
      <c r="Y2472" t="str">
        <f>IF($B2472="","",_xll.BDP($B2472,"INDUSTRY_SUBGROUP"))</f>
        <v/>
      </c>
      <c r="Z2472" t="str">
        <f>IF($B2472="","",_xll.BDP($B2472,"COUNTRY_FULL_NAME"))</f>
        <v/>
      </c>
    </row>
    <row r="2473" spans="15:26" x14ac:dyDescent="0.25">
      <c r="O2473"/>
      <c r="P2473"/>
      <c r="Q2473"/>
      <c r="W2473" t="str">
        <f>IF(B2473="","",_xll.BDP(B2473,"INDUSTRY_SECTOR"))</f>
        <v/>
      </c>
      <c r="X2473" t="str">
        <f>IF($B2473="","",_xll.BDP($B2473,"INDUSTRY_GROUP"))</f>
        <v/>
      </c>
      <c r="Y2473" t="str">
        <f>IF($B2473="","",_xll.BDP($B2473,"INDUSTRY_SUBGROUP"))</f>
        <v/>
      </c>
      <c r="Z2473" t="str">
        <f>IF($B2473="","",_xll.BDP($B2473,"COUNTRY_FULL_NAME"))</f>
        <v/>
      </c>
    </row>
    <row r="2474" spans="15:26" x14ac:dyDescent="0.25">
      <c r="O2474"/>
      <c r="P2474"/>
      <c r="Q2474"/>
      <c r="W2474" t="str">
        <f>IF(B2474="","",_xll.BDP(B2474,"INDUSTRY_SECTOR"))</f>
        <v/>
      </c>
      <c r="X2474" t="str">
        <f>IF($B2474="","",_xll.BDP($B2474,"INDUSTRY_GROUP"))</f>
        <v/>
      </c>
      <c r="Y2474" t="str">
        <f>IF($B2474="","",_xll.BDP($B2474,"INDUSTRY_SUBGROUP"))</f>
        <v/>
      </c>
      <c r="Z2474" t="str">
        <f>IF($B2474="","",_xll.BDP($B2474,"COUNTRY_FULL_NAME"))</f>
        <v/>
      </c>
    </row>
    <row r="2475" spans="15:26" x14ac:dyDescent="0.25">
      <c r="O2475"/>
      <c r="P2475"/>
      <c r="Q2475"/>
      <c r="W2475" t="str">
        <f>IF(B2475="","",_xll.BDP(B2475,"INDUSTRY_SECTOR"))</f>
        <v/>
      </c>
      <c r="X2475" t="str">
        <f>IF($B2475="","",_xll.BDP($B2475,"INDUSTRY_GROUP"))</f>
        <v/>
      </c>
      <c r="Y2475" t="str">
        <f>IF($B2475="","",_xll.BDP($B2475,"INDUSTRY_SUBGROUP"))</f>
        <v/>
      </c>
      <c r="Z2475" t="str">
        <f>IF($B2475="","",_xll.BDP($B2475,"COUNTRY_FULL_NAME"))</f>
        <v/>
      </c>
    </row>
    <row r="2476" spans="15:26" x14ac:dyDescent="0.25">
      <c r="O2476"/>
      <c r="P2476"/>
      <c r="Q2476"/>
      <c r="W2476" t="str">
        <f>IF(B2476="","",_xll.BDP(B2476,"INDUSTRY_SECTOR"))</f>
        <v/>
      </c>
      <c r="X2476" t="str">
        <f>IF($B2476="","",_xll.BDP($B2476,"INDUSTRY_GROUP"))</f>
        <v/>
      </c>
      <c r="Y2476" t="str">
        <f>IF($B2476="","",_xll.BDP($B2476,"INDUSTRY_SUBGROUP"))</f>
        <v/>
      </c>
      <c r="Z2476" t="str">
        <f>IF($B2476="","",_xll.BDP($B2476,"COUNTRY_FULL_NAME"))</f>
        <v/>
      </c>
    </row>
    <row r="2477" spans="15:26" x14ac:dyDescent="0.25">
      <c r="O2477"/>
      <c r="P2477"/>
      <c r="Q2477"/>
      <c r="W2477" t="str">
        <f>IF(B2477="","",_xll.BDP(B2477,"INDUSTRY_SECTOR"))</f>
        <v/>
      </c>
      <c r="X2477" t="str">
        <f>IF($B2477="","",_xll.BDP($B2477,"INDUSTRY_GROUP"))</f>
        <v/>
      </c>
      <c r="Y2477" t="str">
        <f>IF($B2477="","",_xll.BDP($B2477,"INDUSTRY_SUBGROUP"))</f>
        <v/>
      </c>
      <c r="Z2477" t="str">
        <f>IF($B2477="","",_xll.BDP($B2477,"COUNTRY_FULL_NAME"))</f>
        <v/>
      </c>
    </row>
    <row r="2478" spans="15:26" x14ac:dyDescent="0.25">
      <c r="O2478"/>
      <c r="P2478"/>
      <c r="Q2478"/>
      <c r="W2478" t="str">
        <f>IF(B2478="","",_xll.BDP(B2478,"INDUSTRY_SECTOR"))</f>
        <v/>
      </c>
      <c r="X2478" t="str">
        <f>IF($B2478="","",_xll.BDP($B2478,"INDUSTRY_GROUP"))</f>
        <v/>
      </c>
      <c r="Y2478" t="str">
        <f>IF($B2478="","",_xll.BDP($B2478,"INDUSTRY_SUBGROUP"))</f>
        <v/>
      </c>
      <c r="Z2478" t="str">
        <f>IF($B2478="","",_xll.BDP($B2478,"COUNTRY_FULL_NAME"))</f>
        <v/>
      </c>
    </row>
    <row r="2479" spans="15:26" x14ac:dyDescent="0.25">
      <c r="O2479"/>
      <c r="P2479"/>
      <c r="Q2479"/>
      <c r="W2479" t="str">
        <f>IF(B2479="","",_xll.BDP(B2479,"INDUSTRY_SECTOR"))</f>
        <v/>
      </c>
      <c r="X2479" t="str">
        <f>IF($B2479="","",_xll.BDP($B2479,"INDUSTRY_GROUP"))</f>
        <v/>
      </c>
      <c r="Y2479" t="str">
        <f>IF($B2479="","",_xll.BDP($B2479,"INDUSTRY_SUBGROUP"))</f>
        <v/>
      </c>
      <c r="Z2479" t="str">
        <f>IF($B2479="","",_xll.BDP($B2479,"COUNTRY_FULL_NAME"))</f>
        <v/>
      </c>
    </row>
    <row r="2480" spans="15:26" x14ac:dyDescent="0.25">
      <c r="O2480"/>
      <c r="P2480"/>
      <c r="Q2480"/>
      <c r="W2480" t="str">
        <f>IF(B2480="","",_xll.BDP(B2480,"INDUSTRY_SECTOR"))</f>
        <v/>
      </c>
      <c r="X2480" t="str">
        <f>IF($B2480="","",_xll.BDP($B2480,"INDUSTRY_GROUP"))</f>
        <v/>
      </c>
      <c r="Y2480" t="str">
        <f>IF($B2480="","",_xll.BDP($B2480,"INDUSTRY_SUBGROUP"))</f>
        <v/>
      </c>
      <c r="Z2480" t="str">
        <f>IF($B2480="","",_xll.BDP($B2480,"COUNTRY_FULL_NAME"))</f>
        <v/>
      </c>
    </row>
    <row r="2481" spans="15:26" x14ac:dyDescent="0.25">
      <c r="O2481"/>
      <c r="P2481"/>
      <c r="Q2481"/>
      <c r="W2481" t="str">
        <f>IF(B2481="","",_xll.BDP(B2481,"INDUSTRY_SECTOR"))</f>
        <v/>
      </c>
      <c r="X2481" t="str">
        <f>IF($B2481="","",_xll.BDP($B2481,"INDUSTRY_GROUP"))</f>
        <v/>
      </c>
      <c r="Y2481" t="str">
        <f>IF($B2481="","",_xll.BDP($B2481,"INDUSTRY_SUBGROUP"))</f>
        <v/>
      </c>
      <c r="Z2481" t="str">
        <f>IF($B2481="","",_xll.BDP($B2481,"COUNTRY_FULL_NAME"))</f>
        <v/>
      </c>
    </row>
    <row r="2482" spans="15:26" x14ac:dyDescent="0.25">
      <c r="O2482"/>
      <c r="P2482"/>
      <c r="Q2482"/>
      <c r="W2482" t="str">
        <f>IF(B2482="","",_xll.BDP(B2482,"INDUSTRY_SECTOR"))</f>
        <v/>
      </c>
      <c r="X2482" t="str">
        <f>IF($B2482="","",_xll.BDP($B2482,"INDUSTRY_GROUP"))</f>
        <v/>
      </c>
      <c r="Y2482" t="str">
        <f>IF($B2482="","",_xll.BDP($B2482,"INDUSTRY_SUBGROUP"))</f>
        <v/>
      </c>
      <c r="Z2482" t="str">
        <f>IF($B2482="","",_xll.BDP($B2482,"COUNTRY_FULL_NAME"))</f>
        <v/>
      </c>
    </row>
    <row r="2483" spans="15:26" x14ac:dyDescent="0.25">
      <c r="O2483"/>
      <c r="P2483"/>
      <c r="Q2483"/>
      <c r="W2483" t="str">
        <f>IF(B2483="","",_xll.BDP(B2483,"INDUSTRY_SECTOR"))</f>
        <v/>
      </c>
      <c r="X2483" t="str">
        <f>IF($B2483="","",_xll.BDP($B2483,"INDUSTRY_GROUP"))</f>
        <v/>
      </c>
      <c r="Y2483" t="str">
        <f>IF($B2483="","",_xll.BDP($B2483,"INDUSTRY_SUBGROUP"))</f>
        <v/>
      </c>
      <c r="Z2483" t="str">
        <f>IF($B2483="","",_xll.BDP($B2483,"COUNTRY_FULL_NAME"))</f>
        <v/>
      </c>
    </row>
    <row r="2484" spans="15:26" x14ac:dyDescent="0.25">
      <c r="O2484"/>
      <c r="P2484"/>
      <c r="Q2484"/>
      <c r="W2484" t="str">
        <f>IF(B2484="","",_xll.BDP(B2484,"INDUSTRY_SECTOR"))</f>
        <v/>
      </c>
      <c r="X2484" t="str">
        <f>IF($B2484="","",_xll.BDP($B2484,"INDUSTRY_GROUP"))</f>
        <v/>
      </c>
      <c r="Y2484" t="str">
        <f>IF($B2484="","",_xll.BDP($B2484,"INDUSTRY_SUBGROUP"))</f>
        <v/>
      </c>
      <c r="Z2484" t="str">
        <f>IF($B2484="","",_xll.BDP($B2484,"COUNTRY_FULL_NAME"))</f>
        <v/>
      </c>
    </row>
    <row r="2485" spans="15:26" x14ac:dyDescent="0.25">
      <c r="O2485"/>
      <c r="P2485"/>
      <c r="Q2485"/>
      <c r="W2485" t="str">
        <f>IF(B2485="","",_xll.BDP(B2485,"INDUSTRY_SECTOR"))</f>
        <v/>
      </c>
      <c r="X2485" t="str">
        <f>IF($B2485="","",_xll.BDP($B2485,"INDUSTRY_GROUP"))</f>
        <v/>
      </c>
      <c r="Y2485" t="str">
        <f>IF($B2485="","",_xll.BDP($B2485,"INDUSTRY_SUBGROUP"))</f>
        <v/>
      </c>
      <c r="Z2485" t="str">
        <f>IF($B2485="","",_xll.BDP($B2485,"COUNTRY_FULL_NAME"))</f>
        <v/>
      </c>
    </row>
    <row r="2486" spans="15:26" x14ac:dyDescent="0.25">
      <c r="O2486"/>
      <c r="P2486"/>
      <c r="Q2486"/>
      <c r="W2486" t="str">
        <f>IF(B2486="","",_xll.BDP(B2486,"INDUSTRY_SECTOR"))</f>
        <v/>
      </c>
      <c r="X2486" t="str">
        <f>IF($B2486="","",_xll.BDP($B2486,"INDUSTRY_GROUP"))</f>
        <v/>
      </c>
      <c r="Y2486" t="str">
        <f>IF($B2486="","",_xll.BDP($B2486,"INDUSTRY_SUBGROUP"))</f>
        <v/>
      </c>
      <c r="Z2486" t="str">
        <f>IF($B2486="","",_xll.BDP($B2486,"COUNTRY_FULL_NAME"))</f>
        <v/>
      </c>
    </row>
    <row r="2487" spans="15:26" x14ac:dyDescent="0.25">
      <c r="O2487"/>
      <c r="P2487"/>
      <c r="Q2487"/>
      <c r="W2487" t="str">
        <f>IF(B2487="","",_xll.BDP(B2487,"INDUSTRY_SECTOR"))</f>
        <v/>
      </c>
      <c r="X2487" t="str">
        <f>IF($B2487="","",_xll.BDP($B2487,"INDUSTRY_GROUP"))</f>
        <v/>
      </c>
      <c r="Y2487" t="str">
        <f>IF($B2487="","",_xll.BDP($B2487,"INDUSTRY_SUBGROUP"))</f>
        <v/>
      </c>
      <c r="Z2487" t="str">
        <f>IF($B2487="","",_xll.BDP($B2487,"COUNTRY_FULL_NAME"))</f>
        <v/>
      </c>
    </row>
    <row r="2488" spans="15:26" x14ac:dyDescent="0.25">
      <c r="O2488"/>
      <c r="P2488"/>
      <c r="Q2488"/>
      <c r="W2488" t="str">
        <f>IF(B2488="","",_xll.BDP(B2488,"INDUSTRY_SECTOR"))</f>
        <v/>
      </c>
      <c r="X2488" t="str">
        <f>IF($B2488="","",_xll.BDP($B2488,"INDUSTRY_GROUP"))</f>
        <v/>
      </c>
      <c r="Y2488" t="str">
        <f>IF($B2488="","",_xll.BDP($B2488,"INDUSTRY_SUBGROUP"))</f>
        <v/>
      </c>
      <c r="Z2488" t="str">
        <f>IF($B2488="","",_xll.BDP($B2488,"COUNTRY_FULL_NAME"))</f>
        <v/>
      </c>
    </row>
    <row r="2489" spans="15:26" x14ac:dyDescent="0.25">
      <c r="O2489"/>
      <c r="P2489"/>
      <c r="Q2489"/>
      <c r="W2489" t="str">
        <f>IF(B2489="","",_xll.BDP(B2489,"INDUSTRY_SECTOR"))</f>
        <v/>
      </c>
      <c r="X2489" t="str">
        <f>IF($B2489="","",_xll.BDP($B2489,"INDUSTRY_GROUP"))</f>
        <v/>
      </c>
      <c r="Y2489" t="str">
        <f>IF($B2489="","",_xll.BDP($B2489,"INDUSTRY_SUBGROUP"))</f>
        <v/>
      </c>
      <c r="Z2489" t="str">
        <f>IF($B2489="","",_xll.BDP($B2489,"COUNTRY_FULL_NAME"))</f>
        <v/>
      </c>
    </row>
    <row r="2490" spans="15:26" x14ac:dyDescent="0.25">
      <c r="O2490"/>
      <c r="P2490"/>
      <c r="Q2490"/>
      <c r="W2490" t="str">
        <f>IF(B2490="","",_xll.BDP(B2490,"INDUSTRY_SECTOR"))</f>
        <v/>
      </c>
      <c r="X2490" t="str">
        <f>IF($B2490="","",_xll.BDP($B2490,"INDUSTRY_GROUP"))</f>
        <v/>
      </c>
      <c r="Y2490" t="str">
        <f>IF($B2490="","",_xll.BDP($B2490,"INDUSTRY_SUBGROUP"))</f>
        <v/>
      </c>
      <c r="Z2490" t="str">
        <f>IF($B2490="","",_xll.BDP($B2490,"COUNTRY_FULL_NAME"))</f>
        <v/>
      </c>
    </row>
    <row r="2491" spans="15:26" x14ac:dyDescent="0.25">
      <c r="O2491"/>
      <c r="P2491"/>
      <c r="Q2491"/>
      <c r="W2491" t="str">
        <f>IF(B2491="","",_xll.BDP(B2491,"INDUSTRY_SECTOR"))</f>
        <v/>
      </c>
      <c r="X2491" t="str">
        <f>IF($B2491="","",_xll.BDP($B2491,"INDUSTRY_GROUP"))</f>
        <v/>
      </c>
      <c r="Y2491" t="str">
        <f>IF($B2491="","",_xll.BDP($B2491,"INDUSTRY_SUBGROUP"))</f>
        <v/>
      </c>
      <c r="Z2491" t="str">
        <f>IF($B2491="","",_xll.BDP($B2491,"COUNTRY_FULL_NAME"))</f>
        <v/>
      </c>
    </row>
    <row r="2492" spans="15:26" x14ac:dyDescent="0.25">
      <c r="O2492"/>
      <c r="P2492"/>
      <c r="Q2492"/>
      <c r="W2492" t="str">
        <f>IF(B2492="","",_xll.BDP(B2492,"INDUSTRY_SECTOR"))</f>
        <v/>
      </c>
      <c r="X2492" t="str">
        <f>IF($B2492="","",_xll.BDP($B2492,"INDUSTRY_GROUP"))</f>
        <v/>
      </c>
      <c r="Y2492" t="str">
        <f>IF($B2492="","",_xll.BDP($B2492,"INDUSTRY_SUBGROUP"))</f>
        <v/>
      </c>
      <c r="Z2492" t="str">
        <f>IF($B2492="","",_xll.BDP($B2492,"COUNTRY_FULL_NAME"))</f>
        <v/>
      </c>
    </row>
    <row r="2493" spans="15:26" x14ac:dyDescent="0.25">
      <c r="O2493"/>
      <c r="P2493"/>
      <c r="Q2493"/>
      <c r="W2493" t="str">
        <f>IF(B2493="","",_xll.BDP(B2493,"INDUSTRY_SECTOR"))</f>
        <v/>
      </c>
      <c r="X2493" t="str">
        <f>IF($B2493="","",_xll.BDP($B2493,"INDUSTRY_GROUP"))</f>
        <v/>
      </c>
      <c r="Y2493" t="str">
        <f>IF($B2493="","",_xll.BDP($B2493,"INDUSTRY_SUBGROUP"))</f>
        <v/>
      </c>
      <c r="Z2493" t="str">
        <f>IF($B2493="","",_xll.BDP($B2493,"COUNTRY_FULL_NAME"))</f>
        <v/>
      </c>
    </row>
    <row r="2494" spans="15:26" x14ac:dyDescent="0.25">
      <c r="O2494"/>
      <c r="P2494"/>
      <c r="Q2494"/>
      <c r="W2494" t="str">
        <f>IF(B2494="","",_xll.BDP(B2494,"INDUSTRY_SECTOR"))</f>
        <v/>
      </c>
      <c r="X2494" t="str">
        <f>IF($B2494="","",_xll.BDP($B2494,"INDUSTRY_GROUP"))</f>
        <v/>
      </c>
      <c r="Y2494" t="str">
        <f>IF($B2494="","",_xll.BDP($B2494,"INDUSTRY_SUBGROUP"))</f>
        <v/>
      </c>
      <c r="Z2494" t="str">
        <f>IF($B2494="","",_xll.BDP($B2494,"COUNTRY_FULL_NAME"))</f>
        <v/>
      </c>
    </row>
    <row r="2495" spans="15:26" x14ac:dyDescent="0.25">
      <c r="O2495"/>
      <c r="P2495"/>
      <c r="Q2495"/>
      <c r="W2495" t="str">
        <f>IF(B2495="","",_xll.BDP(B2495,"INDUSTRY_SECTOR"))</f>
        <v/>
      </c>
      <c r="X2495" t="str">
        <f>IF($B2495="","",_xll.BDP($B2495,"INDUSTRY_GROUP"))</f>
        <v/>
      </c>
      <c r="Y2495" t="str">
        <f>IF($B2495="","",_xll.BDP($B2495,"INDUSTRY_SUBGROUP"))</f>
        <v/>
      </c>
      <c r="Z2495" t="str">
        <f>IF($B2495="","",_xll.BDP($B2495,"COUNTRY_FULL_NAME"))</f>
        <v/>
      </c>
    </row>
    <row r="2496" spans="15:26" x14ac:dyDescent="0.25">
      <c r="O2496"/>
      <c r="P2496"/>
      <c r="Q2496"/>
      <c r="W2496" t="str">
        <f>IF(B2496="","",_xll.BDP(B2496,"INDUSTRY_SECTOR"))</f>
        <v/>
      </c>
      <c r="X2496" t="str">
        <f>IF($B2496="","",_xll.BDP($B2496,"INDUSTRY_GROUP"))</f>
        <v/>
      </c>
      <c r="Y2496" t="str">
        <f>IF($B2496="","",_xll.BDP($B2496,"INDUSTRY_SUBGROUP"))</f>
        <v/>
      </c>
      <c r="Z2496" t="str">
        <f>IF($B2496="","",_xll.BDP($B2496,"COUNTRY_FULL_NAME"))</f>
        <v/>
      </c>
    </row>
    <row r="2497" spans="15:26" x14ac:dyDescent="0.25">
      <c r="O2497"/>
      <c r="P2497"/>
      <c r="Q2497"/>
      <c r="W2497" t="str">
        <f>IF(B2497="","",_xll.BDP(B2497,"INDUSTRY_SECTOR"))</f>
        <v/>
      </c>
      <c r="X2497" t="str">
        <f>IF($B2497="","",_xll.BDP($B2497,"INDUSTRY_GROUP"))</f>
        <v/>
      </c>
      <c r="Y2497" t="str">
        <f>IF($B2497="","",_xll.BDP($B2497,"INDUSTRY_SUBGROUP"))</f>
        <v/>
      </c>
      <c r="Z2497" t="str">
        <f>IF($B2497="","",_xll.BDP($B2497,"COUNTRY_FULL_NAME"))</f>
        <v/>
      </c>
    </row>
    <row r="2498" spans="15:26" x14ac:dyDescent="0.25">
      <c r="O2498"/>
      <c r="P2498"/>
      <c r="Q2498"/>
      <c r="W2498" t="str">
        <f>IF(B2498="","",_xll.BDP(B2498,"INDUSTRY_SECTOR"))</f>
        <v/>
      </c>
      <c r="X2498" t="str">
        <f>IF($B2498="","",_xll.BDP($B2498,"INDUSTRY_GROUP"))</f>
        <v/>
      </c>
      <c r="Y2498" t="str">
        <f>IF($B2498="","",_xll.BDP($B2498,"INDUSTRY_SUBGROUP"))</f>
        <v/>
      </c>
      <c r="Z2498" t="str">
        <f>IF($B2498="","",_xll.BDP($B2498,"COUNTRY_FULL_NAME"))</f>
        <v/>
      </c>
    </row>
    <row r="2499" spans="15:26" x14ac:dyDescent="0.25">
      <c r="O2499"/>
      <c r="P2499"/>
      <c r="Q2499"/>
      <c r="W2499" t="str">
        <f>IF(B2499="","",_xll.BDP(B2499,"INDUSTRY_SECTOR"))</f>
        <v/>
      </c>
      <c r="X2499" t="str">
        <f>IF($B2499="","",_xll.BDP($B2499,"INDUSTRY_GROUP"))</f>
        <v/>
      </c>
      <c r="Y2499" t="str">
        <f>IF($B2499="","",_xll.BDP($B2499,"INDUSTRY_SUBGROUP"))</f>
        <v/>
      </c>
      <c r="Z2499" t="str">
        <f>IF($B2499="","",_xll.BDP($B2499,"COUNTRY_FULL_NAME"))</f>
        <v/>
      </c>
    </row>
    <row r="2500" spans="15:26" x14ac:dyDescent="0.25">
      <c r="O2500"/>
      <c r="P2500"/>
      <c r="Q2500"/>
      <c r="W2500" t="str">
        <f>IF(B2500="","",_xll.BDP(B2500,"INDUSTRY_SECTOR"))</f>
        <v/>
      </c>
      <c r="X2500" t="str">
        <f>IF($B2500="","",_xll.BDP($B2500,"INDUSTRY_GROUP"))</f>
        <v/>
      </c>
      <c r="Y2500" t="str">
        <f>IF($B2500="","",_xll.BDP($B2500,"INDUSTRY_SUBGROUP"))</f>
        <v/>
      </c>
      <c r="Z2500" t="str">
        <f>IF($B2500="","",_xll.BDP($B2500,"COUNTRY_FULL_NAME"))</f>
        <v/>
      </c>
    </row>
    <row r="2501" spans="15:26" x14ac:dyDescent="0.25">
      <c r="O2501"/>
      <c r="P2501"/>
      <c r="Q2501"/>
      <c r="W2501" t="str">
        <f>IF(B2501="","",_xll.BDP(B2501,"INDUSTRY_SECTOR"))</f>
        <v/>
      </c>
      <c r="X2501" t="str">
        <f>IF($B2501="","",_xll.BDP($B2501,"INDUSTRY_GROUP"))</f>
        <v/>
      </c>
      <c r="Y2501" t="str">
        <f>IF($B2501="","",_xll.BDP($B2501,"INDUSTRY_SUBGROUP"))</f>
        <v/>
      </c>
      <c r="Z2501" t="str">
        <f>IF($B2501="","",_xll.BDP($B2501,"COUNTRY_FULL_NAME"))</f>
        <v/>
      </c>
    </row>
    <row r="2502" spans="15:26" x14ac:dyDescent="0.25">
      <c r="O2502"/>
      <c r="P2502"/>
      <c r="Q2502"/>
      <c r="W2502" t="str">
        <f>IF(B2502="","",_xll.BDP(B2502,"INDUSTRY_SECTOR"))</f>
        <v/>
      </c>
      <c r="X2502" t="str">
        <f>IF($B2502="","",_xll.BDP($B2502,"INDUSTRY_GROUP"))</f>
        <v/>
      </c>
      <c r="Y2502" t="str">
        <f>IF($B2502="","",_xll.BDP($B2502,"INDUSTRY_SUBGROUP"))</f>
        <v/>
      </c>
      <c r="Z2502" t="str">
        <f>IF($B2502="","",_xll.BDP($B2502,"COUNTRY_FULL_NAME"))</f>
        <v/>
      </c>
    </row>
    <row r="2503" spans="15:26" x14ac:dyDescent="0.25">
      <c r="O2503"/>
      <c r="P2503"/>
      <c r="Q2503"/>
      <c r="W2503" t="str">
        <f>IF(B2503="","",_xll.BDP(B2503,"INDUSTRY_SECTOR"))</f>
        <v/>
      </c>
      <c r="X2503" t="str">
        <f>IF($B2503="","",_xll.BDP($B2503,"INDUSTRY_GROUP"))</f>
        <v/>
      </c>
      <c r="Y2503" t="str">
        <f>IF($B2503="","",_xll.BDP($B2503,"INDUSTRY_SUBGROUP"))</f>
        <v/>
      </c>
      <c r="Z2503" t="str">
        <f>IF($B2503="","",_xll.BDP($B2503,"COUNTRY_FULL_NAME"))</f>
        <v/>
      </c>
    </row>
    <row r="2504" spans="15:26" x14ac:dyDescent="0.25">
      <c r="O2504"/>
      <c r="P2504"/>
      <c r="Q2504"/>
      <c r="W2504" t="str">
        <f>IF(B2504="","",_xll.BDP(B2504,"INDUSTRY_SECTOR"))</f>
        <v/>
      </c>
      <c r="X2504" t="str">
        <f>IF($B2504="","",_xll.BDP($B2504,"INDUSTRY_GROUP"))</f>
        <v/>
      </c>
      <c r="Y2504" t="str">
        <f>IF($B2504="","",_xll.BDP($B2504,"INDUSTRY_SUBGROUP"))</f>
        <v/>
      </c>
      <c r="Z2504" t="str">
        <f>IF($B2504="","",_xll.BDP($B2504,"COUNTRY_FULL_NAME"))</f>
        <v/>
      </c>
    </row>
    <row r="2505" spans="15:26" x14ac:dyDescent="0.25">
      <c r="O2505"/>
      <c r="P2505"/>
      <c r="Q2505"/>
      <c r="W2505" t="str">
        <f>IF(B2505="","",_xll.BDP(B2505,"INDUSTRY_SECTOR"))</f>
        <v/>
      </c>
      <c r="X2505" t="str">
        <f>IF($B2505="","",_xll.BDP($B2505,"INDUSTRY_GROUP"))</f>
        <v/>
      </c>
      <c r="Y2505" t="str">
        <f>IF($B2505="","",_xll.BDP($B2505,"INDUSTRY_SUBGROUP"))</f>
        <v/>
      </c>
      <c r="Z2505" t="str">
        <f>IF($B2505="","",_xll.BDP($B2505,"COUNTRY_FULL_NAME"))</f>
        <v/>
      </c>
    </row>
    <row r="2506" spans="15:26" x14ac:dyDescent="0.25">
      <c r="O2506"/>
      <c r="P2506"/>
      <c r="Q2506"/>
      <c r="W2506" t="str">
        <f>IF(B2506="","",_xll.BDP(B2506,"INDUSTRY_SECTOR"))</f>
        <v/>
      </c>
      <c r="X2506" t="str">
        <f>IF($B2506="","",_xll.BDP($B2506,"INDUSTRY_GROUP"))</f>
        <v/>
      </c>
      <c r="Y2506" t="str">
        <f>IF($B2506="","",_xll.BDP($B2506,"INDUSTRY_SUBGROUP"))</f>
        <v/>
      </c>
      <c r="Z2506" t="str">
        <f>IF($B2506="","",_xll.BDP($B2506,"COUNTRY_FULL_NAME"))</f>
        <v/>
      </c>
    </row>
    <row r="2507" spans="15:26" x14ac:dyDescent="0.25">
      <c r="O2507"/>
      <c r="P2507"/>
      <c r="Q2507"/>
      <c r="W2507" t="str">
        <f>IF(B2507="","",_xll.BDP(B2507,"INDUSTRY_SECTOR"))</f>
        <v/>
      </c>
      <c r="X2507" t="str">
        <f>IF($B2507="","",_xll.BDP($B2507,"INDUSTRY_GROUP"))</f>
        <v/>
      </c>
      <c r="Y2507" t="str">
        <f>IF($B2507="","",_xll.BDP($B2507,"INDUSTRY_SUBGROUP"))</f>
        <v/>
      </c>
      <c r="Z2507" t="str">
        <f>IF($B2507="","",_xll.BDP($B2507,"COUNTRY_FULL_NAME"))</f>
        <v/>
      </c>
    </row>
    <row r="2508" spans="15:26" x14ac:dyDescent="0.25">
      <c r="O2508"/>
      <c r="P2508"/>
      <c r="Q2508"/>
      <c r="W2508" t="str">
        <f>IF(B2508="","",_xll.BDP(B2508,"INDUSTRY_SECTOR"))</f>
        <v/>
      </c>
      <c r="X2508" t="str">
        <f>IF($B2508="","",_xll.BDP($B2508,"INDUSTRY_GROUP"))</f>
        <v/>
      </c>
      <c r="Y2508" t="str">
        <f>IF($B2508="","",_xll.BDP($B2508,"INDUSTRY_SUBGROUP"))</f>
        <v/>
      </c>
      <c r="Z2508" t="str">
        <f>IF($B2508="","",_xll.BDP($B2508,"COUNTRY_FULL_NAME"))</f>
        <v/>
      </c>
    </row>
    <row r="2509" spans="15:26" x14ac:dyDescent="0.25">
      <c r="O2509"/>
      <c r="P2509"/>
      <c r="Q2509"/>
      <c r="W2509" t="str">
        <f>IF(B2509="","",_xll.BDP(B2509,"INDUSTRY_SECTOR"))</f>
        <v/>
      </c>
      <c r="X2509" t="str">
        <f>IF($B2509="","",_xll.BDP($B2509,"INDUSTRY_GROUP"))</f>
        <v/>
      </c>
      <c r="Y2509" t="str">
        <f>IF($B2509="","",_xll.BDP($B2509,"INDUSTRY_SUBGROUP"))</f>
        <v/>
      </c>
      <c r="Z2509" t="str">
        <f>IF($B2509="","",_xll.BDP($B2509,"COUNTRY_FULL_NAME"))</f>
        <v/>
      </c>
    </row>
    <row r="2510" spans="15:26" x14ac:dyDescent="0.25">
      <c r="O2510"/>
      <c r="P2510"/>
      <c r="Q2510"/>
      <c r="W2510" t="str">
        <f>IF(B2510="","",_xll.BDP(B2510,"INDUSTRY_SECTOR"))</f>
        <v/>
      </c>
      <c r="X2510" t="str">
        <f>IF($B2510="","",_xll.BDP($B2510,"INDUSTRY_GROUP"))</f>
        <v/>
      </c>
      <c r="Y2510" t="str">
        <f>IF($B2510="","",_xll.BDP($B2510,"INDUSTRY_SUBGROUP"))</f>
        <v/>
      </c>
      <c r="Z2510" t="str">
        <f>IF($B2510="","",_xll.BDP($B2510,"COUNTRY_FULL_NAME"))</f>
        <v/>
      </c>
    </row>
    <row r="2511" spans="15:26" x14ac:dyDescent="0.25">
      <c r="O2511"/>
      <c r="P2511"/>
      <c r="Q2511"/>
      <c r="W2511" t="str">
        <f>IF(B2511="","",_xll.BDP(B2511,"INDUSTRY_SECTOR"))</f>
        <v/>
      </c>
      <c r="X2511" t="str">
        <f>IF($B2511="","",_xll.BDP($B2511,"INDUSTRY_GROUP"))</f>
        <v/>
      </c>
      <c r="Y2511" t="str">
        <f>IF($B2511="","",_xll.BDP($B2511,"INDUSTRY_SUBGROUP"))</f>
        <v/>
      </c>
      <c r="Z2511" t="str">
        <f>IF($B2511="","",_xll.BDP($B2511,"COUNTRY_FULL_NAME"))</f>
        <v/>
      </c>
    </row>
    <row r="2512" spans="15:26" x14ac:dyDescent="0.25">
      <c r="O2512"/>
      <c r="P2512"/>
      <c r="Q2512"/>
      <c r="W2512" t="str">
        <f>IF(B2512="","",_xll.BDP(B2512,"INDUSTRY_SECTOR"))</f>
        <v/>
      </c>
      <c r="X2512" t="str">
        <f>IF($B2512="","",_xll.BDP($B2512,"INDUSTRY_GROUP"))</f>
        <v/>
      </c>
      <c r="Y2512" t="str">
        <f>IF($B2512="","",_xll.BDP($B2512,"INDUSTRY_SUBGROUP"))</f>
        <v/>
      </c>
      <c r="Z2512" t="str">
        <f>IF($B2512="","",_xll.BDP($B2512,"COUNTRY_FULL_NAME"))</f>
        <v/>
      </c>
    </row>
    <row r="2513" spans="15:26" x14ac:dyDescent="0.25">
      <c r="O2513"/>
      <c r="P2513"/>
      <c r="Q2513"/>
      <c r="W2513" t="str">
        <f>IF(B2513="","",_xll.BDP(B2513,"INDUSTRY_SECTOR"))</f>
        <v/>
      </c>
      <c r="X2513" t="str">
        <f>IF($B2513="","",_xll.BDP($B2513,"INDUSTRY_GROUP"))</f>
        <v/>
      </c>
      <c r="Y2513" t="str">
        <f>IF($B2513="","",_xll.BDP($B2513,"INDUSTRY_SUBGROUP"))</f>
        <v/>
      </c>
      <c r="Z2513" t="str">
        <f>IF($B2513="","",_xll.BDP($B2513,"COUNTRY_FULL_NAME"))</f>
        <v/>
      </c>
    </row>
    <row r="2514" spans="15:26" x14ac:dyDescent="0.25">
      <c r="O2514"/>
      <c r="P2514"/>
      <c r="Q2514"/>
      <c r="W2514" t="str">
        <f>IF(B2514="","",_xll.BDP(B2514,"INDUSTRY_SECTOR"))</f>
        <v/>
      </c>
      <c r="X2514" t="str">
        <f>IF($B2514="","",_xll.BDP($B2514,"INDUSTRY_GROUP"))</f>
        <v/>
      </c>
      <c r="Y2514" t="str">
        <f>IF($B2514="","",_xll.BDP($B2514,"INDUSTRY_SUBGROUP"))</f>
        <v/>
      </c>
      <c r="Z2514" t="str">
        <f>IF($B2514="","",_xll.BDP($B2514,"COUNTRY_FULL_NAME"))</f>
        <v/>
      </c>
    </row>
    <row r="2515" spans="15:26" x14ac:dyDescent="0.25">
      <c r="O2515"/>
      <c r="P2515"/>
      <c r="Q2515"/>
      <c r="W2515" t="str">
        <f>IF(B2515="","",_xll.BDP(B2515,"INDUSTRY_SECTOR"))</f>
        <v/>
      </c>
      <c r="X2515" t="str">
        <f>IF($B2515="","",_xll.BDP($B2515,"INDUSTRY_GROUP"))</f>
        <v/>
      </c>
      <c r="Y2515" t="str">
        <f>IF($B2515="","",_xll.BDP($B2515,"INDUSTRY_SUBGROUP"))</f>
        <v/>
      </c>
      <c r="Z2515" t="str">
        <f>IF($B2515="","",_xll.BDP($B2515,"COUNTRY_FULL_NAME"))</f>
        <v/>
      </c>
    </row>
    <row r="2516" spans="15:26" x14ac:dyDescent="0.25">
      <c r="O2516"/>
      <c r="P2516"/>
      <c r="Q2516"/>
      <c r="W2516" t="str">
        <f>IF(B2516="","",_xll.BDP(B2516,"INDUSTRY_SECTOR"))</f>
        <v/>
      </c>
      <c r="X2516" t="str">
        <f>IF($B2516="","",_xll.BDP($B2516,"INDUSTRY_GROUP"))</f>
        <v/>
      </c>
      <c r="Y2516" t="str">
        <f>IF($B2516="","",_xll.BDP($B2516,"INDUSTRY_SUBGROUP"))</f>
        <v/>
      </c>
      <c r="Z2516" t="str">
        <f>IF($B2516="","",_xll.BDP($B2516,"COUNTRY_FULL_NAME"))</f>
        <v/>
      </c>
    </row>
    <row r="2517" spans="15:26" x14ac:dyDescent="0.25">
      <c r="O2517"/>
      <c r="P2517"/>
      <c r="Q2517"/>
      <c r="W2517" t="str">
        <f>IF(B2517="","",_xll.BDP(B2517,"INDUSTRY_SECTOR"))</f>
        <v/>
      </c>
      <c r="X2517" t="str">
        <f>IF($B2517="","",_xll.BDP($B2517,"INDUSTRY_GROUP"))</f>
        <v/>
      </c>
      <c r="Y2517" t="str">
        <f>IF($B2517="","",_xll.BDP($B2517,"INDUSTRY_SUBGROUP"))</f>
        <v/>
      </c>
      <c r="Z2517" t="str">
        <f>IF($B2517="","",_xll.BDP($B2517,"COUNTRY_FULL_NAME"))</f>
        <v/>
      </c>
    </row>
    <row r="2518" spans="15:26" x14ac:dyDescent="0.25">
      <c r="O2518"/>
      <c r="P2518"/>
      <c r="Q2518"/>
      <c r="W2518" t="str">
        <f>IF(B2518="","",_xll.BDP(B2518,"INDUSTRY_SECTOR"))</f>
        <v/>
      </c>
      <c r="X2518" t="str">
        <f>IF($B2518="","",_xll.BDP($B2518,"INDUSTRY_GROUP"))</f>
        <v/>
      </c>
      <c r="Y2518" t="str">
        <f>IF($B2518="","",_xll.BDP($B2518,"INDUSTRY_SUBGROUP"))</f>
        <v/>
      </c>
      <c r="Z2518" t="str">
        <f>IF($B2518="","",_xll.BDP($B2518,"COUNTRY_FULL_NAME"))</f>
        <v/>
      </c>
    </row>
    <row r="2519" spans="15:26" x14ac:dyDescent="0.25">
      <c r="O2519"/>
      <c r="P2519"/>
      <c r="Q2519"/>
      <c r="W2519" t="str">
        <f>IF(B2519="","",_xll.BDP(B2519,"INDUSTRY_SECTOR"))</f>
        <v/>
      </c>
      <c r="X2519" t="str">
        <f>IF($B2519="","",_xll.BDP($B2519,"INDUSTRY_GROUP"))</f>
        <v/>
      </c>
      <c r="Y2519" t="str">
        <f>IF($B2519="","",_xll.BDP($B2519,"INDUSTRY_SUBGROUP"))</f>
        <v/>
      </c>
      <c r="Z2519" t="str">
        <f>IF($B2519="","",_xll.BDP($B2519,"COUNTRY_FULL_NAME"))</f>
        <v/>
      </c>
    </row>
    <row r="2520" spans="15:26" x14ac:dyDescent="0.25">
      <c r="O2520"/>
      <c r="P2520"/>
      <c r="Q2520"/>
      <c r="W2520" t="str">
        <f>IF(B2520="","",_xll.BDP(B2520,"INDUSTRY_SECTOR"))</f>
        <v/>
      </c>
      <c r="X2520" t="str">
        <f>IF($B2520="","",_xll.BDP($B2520,"INDUSTRY_GROUP"))</f>
        <v/>
      </c>
      <c r="Y2520" t="str">
        <f>IF($B2520="","",_xll.BDP($B2520,"INDUSTRY_SUBGROUP"))</f>
        <v/>
      </c>
      <c r="Z2520" t="str">
        <f>IF($B2520="","",_xll.BDP($B2520,"COUNTRY_FULL_NAME"))</f>
        <v/>
      </c>
    </row>
    <row r="2521" spans="15:26" x14ac:dyDescent="0.25">
      <c r="O2521"/>
      <c r="P2521"/>
      <c r="Q2521"/>
      <c r="W2521" t="str">
        <f>IF(B2521="","",_xll.BDP(B2521,"INDUSTRY_SECTOR"))</f>
        <v/>
      </c>
      <c r="X2521" t="str">
        <f>IF($B2521="","",_xll.BDP($B2521,"INDUSTRY_GROUP"))</f>
        <v/>
      </c>
      <c r="Y2521" t="str">
        <f>IF($B2521="","",_xll.BDP($B2521,"INDUSTRY_SUBGROUP"))</f>
        <v/>
      </c>
      <c r="Z2521" t="str">
        <f>IF($B2521="","",_xll.BDP($B2521,"COUNTRY_FULL_NAME"))</f>
        <v/>
      </c>
    </row>
    <row r="2522" spans="15:26" x14ac:dyDescent="0.25">
      <c r="O2522"/>
      <c r="P2522"/>
      <c r="Q2522"/>
      <c r="W2522" t="str">
        <f>IF(B2522="","",_xll.BDP(B2522,"INDUSTRY_SECTOR"))</f>
        <v/>
      </c>
      <c r="X2522" t="str">
        <f>IF($B2522="","",_xll.BDP($B2522,"INDUSTRY_GROUP"))</f>
        <v/>
      </c>
      <c r="Y2522" t="str">
        <f>IF($B2522="","",_xll.BDP($B2522,"INDUSTRY_SUBGROUP"))</f>
        <v/>
      </c>
      <c r="Z2522" t="str">
        <f>IF($B2522="","",_xll.BDP($B2522,"COUNTRY_FULL_NAME"))</f>
        <v/>
      </c>
    </row>
    <row r="2523" spans="15:26" x14ac:dyDescent="0.25">
      <c r="O2523"/>
      <c r="P2523"/>
      <c r="Q2523"/>
      <c r="W2523" t="str">
        <f>IF(B2523="","",_xll.BDP(B2523,"INDUSTRY_SECTOR"))</f>
        <v/>
      </c>
      <c r="X2523" t="str">
        <f>IF($B2523="","",_xll.BDP($B2523,"INDUSTRY_GROUP"))</f>
        <v/>
      </c>
      <c r="Y2523" t="str">
        <f>IF($B2523="","",_xll.BDP($B2523,"INDUSTRY_SUBGROUP"))</f>
        <v/>
      </c>
      <c r="Z2523" t="str">
        <f>IF($B2523="","",_xll.BDP($B2523,"COUNTRY_FULL_NAME"))</f>
        <v/>
      </c>
    </row>
    <row r="2524" spans="15:26" x14ac:dyDescent="0.25">
      <c r="O2524"/>
      <c r="P2524"/>
      <c r="Q2524"/>
      <c r="W2524" t="str">
        <f>IF(B2524="","",_xll.BDP(B2524,"INDUSTRY_SECTOR"))</f>
        <v/>
      </c>
      <c r="X2524" t="str">
        <f>IF($B2524="","",_xll.BDP($B2524,"INDUSTRY_GROUP"))</f>
        <v/>
      </c>
      <c r="Y2524" t="str">
        <f>IF($B2524="","",_xll.BDP($B2524,"INDUSTRY_SUBGROUP"))</f>
        <v/>
      </c>
      <c r="Z2524" t="str">
        <f>IF($B2524="","",_xll.BDP($B2524,"COUNTRY_FULL_NAME"))</f>
        <v/>
      </c>
    </row>
    <row r="2525" spans="15:26" x14ac:dyDescent="0.25">
      <c r="O2525"/>
      <c r="P2525"/>
      <c r="Q2525"/>
      <c r="W2525" t="str">
        <f>IF(B2525="","",_xll.BDP(B2525,"INDUSTRY_SECTOR"))</f>
        <v/>
      </c>
      <c r="X2525" t="str">
        <f>IF($B2525="","",_xll.BDP($B2525,"INDUSTRY_GROUP"))</f>
        <v/>
      </c>
      <c r="Y2525" t="str">
        <f>IF($B2525="","",_xll.BDP($B2525,"INDUSTRY_SUBGROUP"))</f>
        <v/>
      </c>
      <c r="Z2525" t="str">
        <f>IF($B2525="","",_xll.BDP($B2525,"COUNTRY_FULL_NAME"))</f>
        <v/>
      </c>
    </row>
    <row r="2526" spans="15:26" x14ac:dyDescent="0.25">
      <c r="O2526"/>
      <c r="P2526"/>
      <c r="Q2526"/>
      <c r="W2526" t="str">
        <f>IF(B2526="","",_xll.BDP(B2526,"INDUSTRY_SECTOR"))</f>
        <v/>
      </c>
      <c r="X2526" t="str">
        <f>IF($B2526="","",_xll.BDP($B2526,"INDUSTRY_GROUP"))</f>
        <v/>
      </c>
      <c r="Y2526" t="str">
        <f>IF($B2526="","",_xll.BDP($B2526,"INDUSTRY_SUBGROUP"))</f>
        <v/>
      </c>
      <c r="Z2526" t="str">
        <f>IF($B2526="","",_xll.BDP($B2526,"COUNTRY_FULL_NAME"))</f>
        <v/>
      </c>
    </row>
    <row r="2527" spans="15:26" x14ac:dyDescent="0.25">
      <c r="O2527"/>
      <c r="P2527"/>
      <c r="Q2527"/>
      <c r="W2527" t="str">
        <f>IF(B2527="","",_xll.BDP(B2527,"INDUSTRY_SECTOR"))</f>
        <v/>
      </c>
      <c r="X2527" t="str">
        <f>IF($B2527="","",_xll.BDP($B2527,"INDUSTRY_GROUP"))</f>
        <v/>
      </c>
      <c r="Y2527" t="str">
        <f>IF($B2527="","",_xll.BDP($B2527,"INDUSTRY_SUBGROUP"))</f>
        <v/>
      </c>
      <c r="Z2527" t="str">
        <f>IF($B2527="","",_xll.BDP($B2527,"COUNTRY_FULL_NAME"))</f>
        <v/>
      </c>
    </row>
    <row r="2528" spans="15:26" x14ac:dyDescent="0.25">
      <c r="O2528"/>
      <c r="P2528"/>
      <c r="Q2528"/>
      <c r="W2528" t="str">
        <f>IF(B2528="","",_xll.BDP(B2528,"INDUSTRY_SECTOR"))</f>
        <v/>
      </c>
      <c r="X2528" t="str">
        <f>IF($B2528="","",_xll.BDP($B2528,"INDUSTRY_GROUP"))</f>
        <v/>
      </c>
      <c r="Y2528" t="str">
        <f>IF($B2528="","",_xll.BDP($B2528,"INDUSTRY_SUBGROUP"))</f>
        <v/>
      </c>
      <c r="Z2528" t="str">
        <f>IF($B2528="","",_xll.BDP($B2528,"COUNTRY_FULL_NAME"))</f>
        <v/>
      </c>
    </row>
    <row r="2529" spans="15:26" x14ac:dyDescent="0.25">
      <c r="O2529"/>
      <c r="P2529"/>
      <c r="Q2529"/>
      <c r="W2529" t="str">
        <f>IF(B2529="","",_xll.BDP(B2529,"INDUSTRY_SECTOR"))</f>
        <v/>
      </c>
      <c r="X2529" t="str">
        <f>IF($B2529="","",_xll.BDP($B2529,"INDUSTRY_GROUP"))</f>
        <v/>
      </c>
      <c r="Y2529" t="str">
        <f>IF($B2529="","",_xll.BDP($B2529,"INDUSTRY_SUBGROUP"))</f>
        <v/>
      </c>
      <c r="Z2529" t="str">
        <f>IF($B2529="","",_xll.BDP($B2529,"COUNTRY_FULL_NAME"))</f>
        <v/>
      </c>
    </row>
    <row r="2530" spans="15:26" x14ac:dyDescent="0.25">
      <c r="O2530"/>
      <c r="P2530"/>
      <c r="Q2530"/>
      <c r="W2530" t="str">
        <f>IF(B2530="","",_xll.BDP(B2530,"INDUSTRY_SECTOR"))</f>
        <v/>
      </c>
      <c r="X2530" t="str">
        <f>IF($B2530="","",_xll.BDP($B2530,"INDUSTRY_GROUP"))</f>
        <v/>
      </c>
      <c r="Y2530" t="str">
        <f>IF($B2530="","",_xll.BDP($B2530,"INDUSTRY_SUBGROUP"))</f>
        <v/>
      </c>
      <c r="Z2530" t="str">
        <f>IF($B2530="","",_xll.BDP($B2530,"COUNTRY_FULL_NAME"))</f>
        <v/>
      </c>
    </row>
    <row r="2531" spans="15:26" x14ac:dyDescent="0.25">
      <c r="O2531"/>
      <c r="P2531"/>
      <c r="Q2531"/>
      <c r="W2531" t="str">
        <f>IF(B2531="","",_xll.BDP(B2531,"INDUSTRY_SECTOR"))</f>
        <v/>
      </c>
      <c r="X2531" t="str">
        <f>IF($B2531="","",_xll.BDP($B2531,"INDUSTRY_GROUP"))</f>
        <v/>
      </c>
      <c r="Y2531" t="str">
        <f>IF($B2531="","",_xll.BDP($B2531,"INDUSTRY_SUBGROUP"))</f>
        <v/>
      </c>
      <c r="Z2531" t="str">
        <f>IF($B2531="","",_xll.BDP($B2531,"COUNTRY_FULL_NAME"))</f>
        <v/>
      </c>
    </row>
    <row r="2532" spans="15:26" x14ac:dyDescent="0.25">
      <c r="O2532"/>
      <c r="P2532"/>
      <c r="Q2532"/>
      <c r="W2532" t="str">
        <f>IF(B2532="","",_xll.BDP(B2532,"INDUSTRY_SECTOR"))</f>
        <v/>
      </c>
      <c r="X2532" t="str">
        <f>IF($B2532="","",_xll.BDP($B2532,"INDUSTRY_GROUP"))</f>
        <v/>
      </c>
      <c r="Y2532" t="str">
        <f>IF($B2532="","",_xll.BDP($B2532,"INDUSTRY_SUBGROUP"))</f>
        <v/>
      </c>
      <c r="Z2532" t="str">
        <f>IF($B2532="","",_xll.BDP($B2532,"COUNTRY_FULL_NAME"))</f>
        <v/>
      </c>
    </row>
    <row r="2533" spans="15:26" x14ac:dyDescent="0.25">
      <c r="O2533"/>
      <c r="P2533"/>
      <c r="Q2533"/>
      <c r="W2533" t="str">
        <f>IF(B2533="","",_xll.BDP(B2533,"INDUSTRY_SECTOR"))</f>
        <v/>
      </c>
      <c r="X2533" t="str">
        <f>IF($B2533="","",_xll.BDP($B2533,"INDUSTRY_GROUP"))</f>
        <v/>
      </c>
      <c r="Y2533" t="str">
        <f>IF($B2533="","",_xll.BDP($B2533,"INDUSTRY_SUBGROUP"))</f>
        <v/>
      </c>
      <c r="Z2533" t="str">
        <f>IF($B2533="","",_xll.BDP($B2533,"COUNTRY_FULL_NAME"))</f>
        <v/>
      </c>
    </row>
    <row r="2534" spans="15:26" x14ac:dyDescent="0.25">
      <c r="O2534"/>
      <c r="P2534"/>
      <c r="Q2534"/>
      <c r="W2534" t="str">
        <f>IF(B2534="","",_xll.BDP(B2534,"INDUSTRY_SECTOR"))</f>
        <v/>
      </c>
      <c r="X2534" t="str">
        <f>IF($B2534="","",_xll.BDP($B2534,"INDUSTRY_GROUP"))</f>
        <v/>
      </c>
      <c r="Y2534" t="str">
        <f>IF($B2534="","",_xll.BDP($B2534,"INDUSTRY_SUBGROUP"))</f>
        <v/>
      </c>
      <c r="Z2534" t="str">
        <f>IF($B2534="","",_xll.BDP($B2534,"COUNTRY_FULL_NAME"))</f>
        <v/>
      </c>
    </row>
    <row r="2535" spans="15:26" x14ac:dyDescent="0.25">
      <c r="O2535"/>
      <c r="P2535"/>
      <c r="Q2535"/>
      <c r="W2535" t="str">
        <f>IF(B2535="","",_xll.BDP(B2535,"INDUSTRY_SECTOR"))</f>
        <v/>
      </c>
      <c r="X2535" t="str">
        <f>IF($B2535="","",_xll.BDP($B2535,"INDUSTRY_GROUP"))</f>
        <v/>
      </c>
      <c r="Y2535" t="str">
        <f>IF($B2535="","",_xll.BDP($B2535,"INDUSTRY_SUBGROUP"))</f>
        <v/>
      </c>
      <c r="Z2535" t="str">
        <f>IF($B2535="","",_xll.BDP($B2535,"COUNTRY_FULL_NAME"))</f>
        <v/>
      </c>
    </row>
    <row r="2536" spans="15:26" x14ac:dyDescent="0.25">
      <c r="O2536"/>
      <c r="P2536"/>
      <c r="Q2536"/>
      <c r="W2536" t="str">
        <f>IF(B2536="","",_xll.BDP(B2536,"INDUSTRY_SECTOR"))</f>
        <v/>
      </c>
      <c r="X2536" t="str">
        <f>IF($B2536="","",_xll.BDP($B2536,"INDUSTRY_GROUP"))</f>
        <v/>
      </c>
      <c r="Y2536" t="str">
        <f>IF($B2536="","",_xll.BDP($B2536,"INDUSTRY_SUBGROUP"))</f>
        <v/>
      </c>
      <c r="Z2536" t="str">
        <f>IF($B2536="","",_xll.BDP($B2536,"COUNTRY_FULL_NAME"))</f>
        <v/>
      </c>
    </row>
    <row r="2537" spans="15:26" x14ac:dyDescent="0.25">
      <c r="O2537"/>
      <c r="P2537"/>
      <c r="Q2537"/>
      <c r="W2537" t="str">
        <f>IF(B2537="","",_xll.BDP(B2537,"INDUSTRY_SECTOR"))</f>
        <v/>
      </c>
      <c r="X2537" t="str">
        <f>IF($B2537="","",_xll.BDP($B2537,"INDUSTRY_GROUP"))</f>
        <v/>
      </c>
      <c r="Y2537" t="str">
        <f>IF($B2537="","",_xll.BDP($B2537,"INDUSTRY_SUBGROUP"))</f>
        <v/>
      </c>
      <c r="Z2537" t="str">
        <f>IF($B2537="","",_xll.BDP($B2537,"COUNTRY_FULL_NAME"))</f>
        <v/>
      </c>
    </row>
    <row r="2538" spans="15:26" x14ac:dyDescent="0.25">
      <c r="O2538"/>
      <c r="P2538"/>
      <c r="Q2538"/>
      <c r="W2538" t="str">
        <f>IF(B2538="","",_xll.BDP(B2538,"INDUSTRY_SECTOR"))</f>
        <v/>
      </c>
      <c r="X2538" t="str">
        <f>IF($B2538="","",_xll.BDP($B2538,"INDUSTRY_GROUP"))</f>
        <v/>
      </c>
      <c r="Y2538" t="str">
        <f>IF($B2538="","",_xll.BDP($B2538,"INDUSTRY_SUBGROUP"))</f>
        <v/>
      </c>
      <c r="Z2538" t="str">
        <f>IF($B2538="","",_xll.BDP($B2538,"COUNTRY_FULL_NAME"))</f>
        <v/>
      </c>
    </row>
    <row r="2539" spans="15:26" x14ac:dyDescent="0.25">
      <c r="O2539"/>
      <c r="P2539"/>
      <c r="Q2539"/>
      <c r="W2539" t="str">
        <f>IF(B2539="","",_xll.BDP(B2539,"INDUSTRY_SECTOR"))</f>
        <v/>
      </c>
      <c r="X2539" t="str">
        <f>IF($B2539="","",_xll.BDP($B2539,"INDUSTRY_GROUP"))</f>
        <v/>
      </c>
      <c r="Y2539" t="str">
        <f>IF($B2539="","",_xll.BDP($B2539,"INDUSTRY_SUBGROUP"))</f>
        <v/>
      </c>
      <c r="Z2539" t="str">
        <f>IF($B2539="","",_xll.BDP($B2539,"COUNTRY_FULL_NAME"))</f>
        <v/>
      </c>
    </row>
    <row r="2540" spans="15:26" x14ac:dyDescent="0.25">
      <c r="O2540"/>
      <c r="P2540"/>
      <c r="Q2540"/>
      <c r="W2540" t="str">
        <f>IF(B2540="","",_xll.BDP(B2540,"INDUSTRY_SECTOR"))</f>
        <v/>
      </c>
      <c r="X2540" t="str">
        <f>IF($B2540="","",_xll.BDP($B2540,"INDUSTRY_GROUP"))</f>
        <v/>
      </c>
      <c r="Y2540" t="str">
        <f>IF($B2540="","",_xll.BDP($B2540,"INDUSTRY_SUBGROUP"))</f>
        <v/>
      </c>
      <c r="Z2540" t="str">
        <f>IF($B2540="","",_xll.BDP($B2540,"COUNTRY_FULL_NAME"))</f>
        <v/>
      </c>
    </row>
    <row r="2541" spans="15:26" x14ac:dyDescent="0.25">
      <c r="O2541"/>
      <c r="P2541"/>
      <c r="Q2541"/>
      <c r="W2541" t="str">
        <f>IF(B2541="","",_xll.BDP(B2541,"INDUSTRY_SECTOR"))</f>
        <v/>
      </c>
      <c r="X2541" t="str">
        <f>IF($B2541="","",_xll.BDP($B2541,"INDUSTRY_GROUP"))</f>
        <v/>
      </c>
      <c r="Y2541" t="str">
        <f>IF($B2541="","",_xll.BDP($B2541,"INDUSTRY_SUBGROUP"))</f>
        <v/>
      </c>
      <c r="Z2541" t="str">
        <f>IF($B2541="","",_xll.BDP($B2541,"COUNTRY_FULL_NAME"))</f>
        <v/>
      </c>
    </row>
    <row r="2542" spans="15:26" x14ac:dyDescent="0.25">
      <c r="O2542"/>
      <c r="P2542"/>
      <c r="Q2542"/>
      <c r="W2542" t="str">
        <f>IF(B2542="","",_xll.BDP(B2542,"INDUSTRY_SECTOR"))</f>
        <v/>
      </c>
      <c r="X2542" t="str">
        <f>IF($B2542="","",_xll.BDP($B2542,"INDUSTRY_GROUP"))</f>
        <v/>
      </c>
      <c r="Y2542" t="str">
        <f>IF($B2542="","",_xll.BDP($B2542,"INDUSTRY_SUBGROUP"))</f>
        <v/>
      </c>
      <c r="Z2542" t="str">
        <f>IF($B2542="","",_xll.BDP($B2542,"COUNTRY_FULL_NAME"))</f>
        <v/>
      </c>
    </row>
    <row r="2543" spans="15:26" x14ac:dyDescent="0.25">
      <c r="O2543"/>
      <c r="P2543"/>
      <c r="Q2543"/>
      <c r="W2543" t="str">
        <f>IF(B2543="","",_xll.BDP(B2543,"INDUSTRY_SECTOR"))</f>
        <v/>
      </c>
      <c r="X2543" t="str">
        <f>IF($B2543="","",_xll.BDP($B2543,"INDUSTRY_GROUP"))</f>
        <v/>
      </c>
      <c r="Y2543" t="str">
        <f>IF($B2543="","",_xll.BDP($B2543,"INDUSTRY_SUBGROUP"))</f>
        <v/>
      </c>
      <c r="Z2543" t="str">
        <f>IF($B2543="","",_xll.BDP($B2543,"COUNTRY_FULL_NAME"))</f>
        <v/>
      </c>
    </row>
    <row r="2544" spans="15:26" x14ac:dyDescent="0.25">
      <c r="O2544"/>
      <c r="P2544"/>
      <c r="Q2544"/>
      <c r="W2544" t="str">
        <f>IF(B2544="","",_xll.BDP(B2544,"INDUSTRY_SECTOR"))</f>
        <v/>
      </c>
      <c r="X2544" t="str">
        <f>IF($B2544="","",_xll.BDP($B2544,"INDUSTRY_GROUP"))</f>
        <v/>
      </c>
      <c r="Y2544" t="str">
        <f>IF($B2544="","",_xll.BDP($B2544,"INDUSTRY_SUBGROUP"))</f>
        <v/>
      </c>
      <c r="Z2544" t="str">
        <f>IF($B2544="","",_xll.BDP($B2544,"COUNTRY_FULL_NAME"))</f>
        <v/>
      </c>
    </row>
    <row r="2545" spans="15:26" x14ac:dyDescent="0.25">
      <c r="O2545"/>
      <c r="P2545"/>
      <c r="Q2545"/>
      <c r="W2545" t="str">
        <f>IF(B2545="","",_xll.BDP(B2545,"INDUSTRY_SECTOR"))</f>
        <v/>
      </c>
      <c r="X2545" t="str">
        <f>IF($B2545="","",_xll.BDP($B2545,"INDUSTRY_GROUP"))</f>
        <v/>
      </c>
      <c r="Y2545" t="str">
        <f>IF($B2545="","",_xll.BDP($B2545,"INDUSTRY_SUBGROUP"))</f>
        <v/>
      </c>
      <c r="Z2545" t="str">
        <f>IF($B2545="","",_xll.BDP($B2545,"COUNTRY_FULL_NAME"))</f>
        <v/>
      </c>
    </row>
    <row r="2546" spans="15:26" x14ac:dyDescent="0.25">
      <c r="O2546"/>
      <c r="P2546"/>
      <c r="Q2546"/>
      <c r="W2546" t="str">
        <f>IF(B2546="","",_xll.BDP(B2546,"INDUSTRY_SECTOR"))</f>
        <v/>
      </c>
      <c r="X2546" t="str">
        <f>IF($B2546="","",_xll.BDP($B2546,"INDUSTRY_GROUP"))</f>
        <v/>
      </c>
      <c r="Y2546" t="str">
        <f>IF($B2546="","",_xll.BDP($B2546,"INDUSTRY_SUBGROUP"))</f>
        <v/>
      </c>
      <c r="Z2546" t="str">
        <f>IF($B2546="","",_xll.BDP($B2546,"COUNTRY_FULL_NAME"))</f>
        <v/>
      </c>
    </row>
    <row r="2547" spans="15:26" x14ac:dyDescent="0.25">
      <c r="O2547"/>
      <c r="P2547"/>
      <c r="Q2547"/>
      <c r="W2547" t="str">
        <f>IF(B2547="","",_xll.BDP(B2547,"INDUSTRY_SECTOR"))</f>
        <v/>
      </c>
      <c r="X2547" t="str">
        <f>IF($B2547="","",_xll.BDP($B2547,"INDUSTRY_GROUP"))</f>
        <v/>
      </c>
      <c r="Y2547" t="str">
        <f>IF($B2547="","",_xll.BDP($B2547,"INDUSTRY_SUBGROUP"))</f>
        <v/>
      </c>
      <c r="Z2547" t="str">
        <f>IF($B2547="","",_xll.BDP($B2547,"COUNTRY_FULL_NAME"))</f>
        <v/>
      </c>
    </row>
    <row r="2548" spans="15:26" x14ac:dyDescent="0.25">
      <c r="O2548"/>
      <c r="P2548"/>
      <c r="Q2548"/>
      <c r="W2548" t="str">
        <f>IF(B2548="","",_xll.BDP(B2548,"INDUSTRY_SECTOR"))</f>
        <v/>
      </c>
      <c r="X2548" t="str">
        <f>IF($B2548="","",_xll.BDP($B2548,"INDUSTRY_GROUP"))</f>
        <v/>
      </c>
      <c r="Y2548" t="str">
        <f>IF($B2548="","",_xll.BDP($B2548,"INDUSTRY_SUBGROUP"))</f>
        <v/>
      </c>
      <c r="Z2548" t="str">
        <f>IF($B2548="","",_xll.BDP($B2548,"COUNTRY_FULL_NAME"))</f>
        <v/>
      </c>
    </row>
    <row r="2549" spans="15:26" x14ac:dyDescent="0.25">
      <c r="O2549"/>
      <c r="P2549"/>
      <c r="Q2549"/>
      <c r="W2549" t="str">
        <f>IF(B2549="","",_xll.BDP(B2549,"INDUSTRY_SECTOR"))</f>
        <v/>
      </c>
      <c r="X2549" t="str">
        <f>IF($B2549="","",_xll.BDP($B2549,"INDUSTRY_GROUP"))</f>
        <v/>
      </c>
      <c r="Y2549" t="str">
        <f>IF($B2549="","",_xll.BDP($B2549,"INDUSTRY_SUBGROUP"))</f>
        <v/>
      </c>
      <c r="Z2549" t="str">
        <f>IF($B2549="","",_xll.BDP($B2549,"COUNTRY_FULL_NAME"))</f>
        <v/>
      </c>
    </row>
    <row r="2550" spans="15:26" x14ac:dyDescent="0.25">
      <c r="O2550"/>
      <c r="P2550"/>
      <c r="Q2550"/>
      <c r="W2550" t="str">
        <f>IF(B2550="","",_xll.BDP(B2550,"INDUSTRY_SECTOR"))</f>
        <v/>
      </c>
      <c r="X2550" t="str">
        <f>IF($B2550="","",_xll.BDP($B2550,"INDUSTRY_GROUP"))</f>
        <v/>
      </c>
      <c r="Y2550" t="str">
        <f>IF($B2550="","",_xll.BDP($B2550,"INDUSTRY_SUBGROUP"))</f>
        <v/>
      </c>
      <c r="Z2550" t="str">
        <f>IF($B2550="","",_xll.BDP($B2550,"COUNTRY_FULL_NAME"))</f>
        <v/>
      </c>
    </row>
    <row r="2551" spans="15:26" x14ac:dyDescent="0.25">
      <c r="O2551"/>
      <c r="P2551"/>
      <c r="Q2551"/>
      <c r="W2551" t="str">
        <f>IF(B2551="","",_xll.BDP(B2551,"INDUSTRY_SECTOR"))</f>
        <v/>
      </c>
      <c r="X2551" t="str">
        <f>IF($B2551="","",_xll.BDP($B2551,"INDUSTRY_GROUP"))</f>
        <v/>
      </c>
      <c r="Y2551" t="str">
        <f>IF($B2551="","",_xll.BDP($B2551,"INDUSTRY_SUBGROUP"))</f>
        <v/>
      </c>
      <c r="Z2551" t="str">
        <f>IF($B2551="","",_xll.BDP($B2551,"COUNTRY_FULL_NAME"))</f>
        <v/>
      </c>
    </row>
    <row r="2552" spans="15:26" x14ac:dyDescent="0.25">
      <c r="O2552"/>
      <c r="P2552"/>
      <c r="Q2552"/>
      <c r="W2552" t="str">
        <f>IF(B2552="","",_xll.BDP(B2552,"INDUSTRY_SECTOR"))</f>
        <v/>
      </c>
      <c r="X2552" t="str">
        <f>IF($B2552="","",_xll.BDP($B2552,"INDUSTRY_GROUP"))</f>
        <v/>
      </c>
      <c r="Y2552" t="str">
        <f>IF($B2552="","",_xll.BDP($B2552,"INDUSTRY_SUBGROUP"))</f>
        <v/>
      </c>
      <c r="Z2552" t="str">
        <f>IF($B2552="","",_xll.BDP($B2552,"COUNTRY_FULL_NAME"))</f>
        <v/>
      </c>
    </row>
    <row r="2553" spans="15:26" x14ac:dyDescent="0.25">
      <c r="O2553"/>
      <c r="P2553"/>
      <c r="Q2553"/>
      <c r="W2553" t="str">
        <f>IF(B2553="","",_xll.BDP(B2553,"INDUSTRY_SECTOR"))</f>
        <v/>
      </c>
      <c r="X2553" t="str">
        <f>IF($B2553="","",_xll.BDP($B2553,"INDUSTRY_GROUP"))</f>
        <v/>
      </c>
      <c r="Y2553" t="str">
        <f>IF($B2553="","",_xll.BDP($B2553,"INDUSTRY_SUBGROUP"))</f>
        <v/>
      </c>
      <c r="Z2553" t="str">
        <f>IF($B2553="","",_xll.BDP($B2553,"COUNTRY_FULL_NAME"))</f>
        <v/>
      </c>
    </row>
    <row r="2554" spans="15:26" x14ac:dyDescent="0.25">
      <c r="O2554"/>
      <c r="P2554"/>
      <c r="Q2554"/>
      <c r="W2554" t="str">
        <f>IF(B2554="","",_xll.BDP(B2554,"INDUSTRY_SECTOR"))</f>
        <v/>
      </c>
      <c r="X2554" t="str">
        <f>IF($B2554="","",_xll.BDP($B2554,"INDUSTRY_GROUP"))</f>
        <v/>
      </c>
      <c r="Y2554" t="str">
        <f>IF($B2554="","",_xll.BDP($B2554,"INDUSTRY_SUBGROUP"))</f>
        <v/>
      </c>
      <c r="Z2554" t="str">
        <f>IF($B2554="","",_xll.BDP($B2554,"COUNTRY_FULL_NAME"))</f>
        <v/>
      </c>
    </row>
    <row r="2555" spans="15:26" x14ac:dyDescent="0.25">
      <c r="O2555"/>
      <c r="P2555"/>
      <c r="Q2555"/>
      <c r="W2555" t="str">
        <f>IF(B2555="","",_xll.BDP(B2555,"INDUSTRY_SECTOR"))</f>
        <v/>
      </c>
      <c r="X2555" t="str">
        <f>IF($B2555="","",_xll.BDP($B2555,"INDUSTRY_GROUP"))</f>
        <v/>
      </c>
      <c r="Y2555" t="str">
        <f>IF($B2555="","",_xll.BDP($B2555,"INDUSTRY_SUBGROUP"))</f>
        <v/>
      </c>
      <c r="Z2555" t="str">
        <f>IF($B2555="","",_xll.BDP($B2555,"COUNTRY_FULL_NAME"))</f>
        <v/>
      </c>
    </row>
    <row r="2556" spans="15:26" x14ac:dyDescent="0.25">
      <c r="O2556"/>
      <c r="P2556"/>
      <c r="Q2556"/>
      <c r="W2556" t="str">
        <f>IF(B2556="","",_xll.BDP(B2556,"INDUSTRY_SECTOR"))</f>
        <v/>
      </c>
      <c r="X2556" t="str">
        <f>IF($B2556="","",_xll.BDP($B2556,"INDUSTRY_GROUP"))</f>
        <v/>
      </c>
      <c r="Y2556" t="str">
        <f>IF($B2556="","",_xll.BDP($B2556,"INDUSTRY_SUBGROUP"))</f>
        <v/>
      </c>
      <c r="Z2556" t="str">
        <f>IF($B2556="","",_xll.BDP($B2556,"COUNTRY_FULL_NAME"))</f>
        <v/>
      </c>
    </row>
    <row r="2557" spans="15:26" x14ac:dyDescent="0.25">
      <c r="O2557"/>
      <c r="P2557"/>
      <c r="Q2557"/>
      <c r="W2557" t="str">
        <f>IF(B2557="","",_xll.BDP(B2557,"INDUSTRY_SECTOR"))</f>
        <v/>
      </c>
      <c r="X2557" t="str">
        <f>IF($B2557="","",_xll.BDP($B2557,"INDUSTRY_GROUP"))</f>
        <v/>
      </c>
      <c r="Y2557" t="str">
        <f>IF($B2557="","",_xll.BDP($B2557,"INDUSTRY_SUBGROUP"))</f>
        <v/>
      </c>
      <c r="Z2557" t="str">
        <f>IF($B2557="","",_xll.BDP($B2557,"COUNTRY_FULL_NAME"))</f>
        <v/>
      </c>
    </row>
    <row r="2558" spans="15:26" x14ac:dyDescent="0.25">
      <c r="O2558"/>
      <c r="P2558"/>
      <c r="Q2558"/>
      <c r="W2558" t="str">
        <f>IF(B2558="","",_xll.BDP(B2558,"INDUSTRY_SECTOR"))</f>
        <v/>
      </c>
      <c r="X2558" t="str">
        <f>IF($B2558="","",_xll.BDP($B2558,"INDUSTRY_GROUP"))</f>
        <v/>
      </c>
      <c r="Y2558" t="str">
        <f>IF($B2558="","",_xll.BDP($B2558,"INDUSTRY_SUBGROUP"))</f>
        <v/>
      </c>
      <c r="Z2558" t="str">
        <f>IF($B2558="","",_xll.BDP($B2558,"COUNTRY_FULL_NAME"))</f>
        <v/>
      </c>
    </row>
    <row r="2559" spans="15:26" x14ac:dyDescent="0.25">
      <c r="O2559"/>
      <c r="P2559"/>
      <c r="Q2559"/>
      <c r="W2559" t="str">
        <f>IF(B2559="","",_xll.BDP(B2559,"INDUSTRY_SECTOR"))</f>
        <v/>
      </c>
      <c r="X2559" t="str">
        <f>IF($B2559="","",_xll.BDP($B2559,"INDUSTRY_GROUP"))</f>
        <v/>
      </c>
      <c r="Y2559" t="str">
        <f>IF($B2559="","",_xll.BDP($B2559,"INDUSTRY_SUBGROUP"))</f>
        <v/>
      </c>
      <c r="Z2559" t="str">
        <f>IF($B2559="","",_xll.BDP($B2559,"COUNTRY_FULL_NAME"))</f>
        <v/>
      </c>
    </row>
    <row r="2560" spans="15:26" x14ac:dyDescent="0.25">
      <c r="O2560"/>
      <c r="P2560"/>
      <c r="Q2560"/>
      <c r="W2560" t="str">
        <f>IF(B2560="","",_xll.BDP(B2560,"INDUSTRY_SECTOR"))</f>
        <v/>
      </c>
      <c r="X2560" t="str">
        <f>IF($B2560="","",_xll.BDP($B2560,"INDUSTRY_GROUP"))</f>
        <v/>
      </c>
      <c r="Y2560" t="str">
        <f>IF($B2560="","",_xll.BDP($B2560,"INDUSTRY_SUBGROUP"))</f>
        <v/>
      </c>
      <c r="Z2560" t="str">
        <f>IF($B2560="","",_xll.BDP($B2560,"COUNTRY_FULL_NAME"))</f>
        <v/>
      </c>
    </row>
    <row r="2561" spans="15:26" x14ac:dyDescent="0.25">
      <c r="O2561"/>
      <c r="P2561"/>
      <c r="Q2561"/>
      <c r="W2561" t="str">
        <f>IF(B2561="","",_xll.BDP(B2561,"INDUSTRY_SECTOR"))</f>
        <v/>
      </c>
      <c r="X2561" t="str">
        <f>IF($B2561="","",_xll.BDP($B2561,"INDUSTRY_GROUP"))</f>
        <v/>
      </c>
      <c r="Y2561" t="str">
        <f>IF($B2561="","",_xll.BDP($B2561,"INDUSTRY_SUBGROUP"))</f>
        <v/>
      </c>
      <c r="Z2561" t="str">
        <f>IF($B2561="","",_xll.BDP($B2561,"COUNTRY_FULL_NAME"))</f>
        <v/>
      </c>
    </row>
    <row r="2562" spans="15:26" x14ac:dyDescent="0.25">
      <c r="O2562"/>
      <c r="P2562"/>
      <c r="Q2562"/>
      <c r="W2562" t="str">
        <f>IF(B2562="","",_xll.BDP(B2562,"INDUSTRY_SECTOR"))</f>
        <v/>
      </c>
      <c r="X2562" t="str">
        <f>IF($B2562="","",_xll.BDP($B2562,"INDUSTRY_GROUP"))</f>
        <v/>
      </c>
      <c r="Y2562" t="str">
        <f>IF($B2562="","",_xll.BDP($B2562,"INDUSTRY_SUBGROUP"))</f>
        <v/>
      </c>
      <c r="Z2562" t="str">
        <f>IF($B2562="","",_xll.BDP($B2562,"COUNTRY_FULL_NAME"))</f>
        <v/>
      </c>
    </row>
    <row r="2563" spans="15:26" x14ac:dyDescent="0.25">
      <c r="O2563"/>
      <c r="P2563"/>
      <c r="Q2563"/>
      <c r="W2563" t="str">
        <f>IF(B2563="","",_xll.BDP(B2563,"INDUSTRY_SECTOR"))</f>
        <v/>
      </c>
      <c r="X2563" t="str">
        <f>IF($B2563="","",_xll.BDP($B2563,"INDUSTRY_GROUP"))</f>
        <v/>
      </c>
      <c r="Y2563" t="str">
        <f>IF($B2563="","",_xll.BDP($B2563,"INDUSTRY_SUBGROUP"))</f>
        <v/>
      </c>
      <c r="Z2563" t="str">
        <f>IF($B2563="","",_xll.BDP($B2563,"COUNTRY_FULL_NAME"))</f>
        <v/>
      </c>
    </row>
    <row r="2564" spans="15:26" x14ac:dyDescent="0.25">
      <c r="O2564"/>
      <c r="P2564"/>
      <c r="Q2564"/>
      <c r="W2564" t="str">
        <f>IF(B2564="","",_xll.BDP(B2564,"INDUSTRY_SECTOR"))</f>
        <v/>
      </c>
      <c r="X2564" t="str">
        <f>IF($B2564="","",_xll.BDP($B2564,"INDUSTRY_GROUP"))</f>
        <v/>
      </c>
      <c r="Y2564" t="str">
        <f>IF($B2564="","",_xll.BDP($B2564,"INDUSTRY_SUBGROUP"))</f>
        <v/>
      </c>
      <c r="Z2564" t="str">
        <f>IF($B2564="","",_xll.BDP($B2564,"COUNTRY_FULL_NAME"))</f>
        <v/>
      </c>
    </row>
    <row r="2565" spans="15:26" x14ac:dyDescent="0.25">
      <c r="O2565"/>
      <c r="P2565"/>
      <c r="Q2565"/>
      <c r="W2565" t="str">
        <f>IF(B2565="","",_xll.BDP(B2565,"INDUSTRY_SECTOR"))</f>
        <v/>
      </c>
      <c r="X2565" t="str">
        <f>IF($B2565="","",_xll.BDP($B2565,"INDUSTRY_GROUP"))</f>
        <v/>
      </c>
      <c r="Y2565" t="str">
        <f>IF($B2565="","",_xll.BDP($B2565,"INDUSTRY_SUBGROUP"))</f>
        <v/>
      </c>
      <c r="Z2565" t="str">
        <f>IF($B2565="","",_xll.BDP($B2565,"COUNTRY_FULL_NAME"))</f>
        <v/>
      </c>
    </row>
    <row r="2566" spans="15:26" x14ac:dyDescent="0.25">
      <c r="O2566"/>
      <c r="P2566"/>
      <c r="Q2566"/>
      <c r="W2566" t="str">
        <f>IF(B2566="","",_xll.BDP(B2566,"INDUSTRY_SECTOR"))</f>
        <v/>
      </c>
      <c r="X2566" t="str">
        <f>IF($B2566="","",_xll.BDP($B2566,"INDUSTRY_GROUP"))</f>
        <v/>
      </c>
      <c r="Y2566" t="str">
        <f>IF($B2566="","",_xll.BDP($B2566,"INDUSTRY_SUBGROUP"))</f>
        <v/>
      </c>
      <c r="Z2566" t="str">
        <f>IF($B2566="","",_xll.BDP($B2566,"COUNTRY_FULL_NAME"))</f>
        <v/>
      </c>
    </row>
    <row r="2567" spans="15:26" x14ac:dyDescent="0.25">
      <c r="O2567"/>
      <c r="P2567"/>
      <c r="Q2567"/>
      <c r="W2567" t="str">
        <f>IF(B2567="","",_xll.BDP(B2567,"INDUSTRY_SECTOR"))</f>
        <v/>
      </c>
      <c r="X2567" t="str">
        <f>IF($B2567="","",_xll.BDP($B2567,"INDUSTRY_GROUP"))</f>
        <v/>
      </c>
      <c r="Y2567" t="str">
        <f>IF($B2567="","",_xll.BDP($B2567,"INDUSTRY_SUBGROUP"))</f>
        <v/>
      </c>
      <c r="Z2567" t="str">
        <f>IF($B2567="","",_xll.BDP($B2567,"COUNTRY_FULL_NAME"))</f>
        <v/>
      </c>
    </row>
    <row r="2568" spans="15:26" x14ac:dyDescent="0.25">
      <c r="O2568"/>
      <c r="P2568"/>
      <c r="Q2568"/>
      <c r="W2568" t="str">
        <f>IF(B2568="","",_xll.BDP(B2568,"INDUSTRY_SECTOR"))</f>
        <v/>
      </c>
      <c r="X2568" t="str">
        <f>IF($B2568="","",_xll.BDP($B2568,"INDUSTRY_GROUP"))</f>
        <v/>
      </c>
      <c r="Y2568" t="str">
        <f>IF($B2568="","",_xll.BDP($B2568,"INDUSTRY_SUBGROUP"))</f>
        <v/>
      </c>
      <c r="Z2568" t="str">
        <f>IF($B2568="","",_xll.BDP($B2568,"COUNTRY_FULL_NAME"))</f>
        <v/>
      </c>
    </row>
    <row r="2569" spans="15:26" x14ac:dyDescent="0.25">
      <c r="O2569"/>
      <c r="P2569"/>
      <c r="Q2569"/>
      <c r="W2569" t="str">
        <f>IF(B2569="","",_xll.BDP(B2569,"INDUSTRY_SECTOR"))</f>
        <v/>
      </c>
      <c r="X2569" t="str">
        <f>IF($B2569="","",_xll.BDP($B2569,"INDUSTRY_GROUP"))</f>
        <v/>
      </c>
      <c r="Y2569" t="str">
        <f>IF($B2569="","",_xll.BDP($B2569,"INDUSTRY_SUBGROUP"))</f>
        <v/>
      </c>
      <c r="Z2569" t="str">
        <f>IF($B2569="","",_xll.BDP($B2569,"COUNTRY_FULL_NAME"))</f>
        <v/>
      </c>
    </row>
    <row r="2570" spans="15:26" x14ac:dyDescent="0.25">
      <c r="O2570"/>
      <c r="P2570"/>
      <c r="Q2570"/>
      <c r="W2570" t="str">
        <f>IF(B2570="","",_xll.BDP(B2570,"INDUSTRY_SECTOR"))</f>
        <v/>
      </c>
      <c r="X2570" t="str">
        <f>IF($B2570="","",_xll.BDP($B2570,"INDUSTRY_GROUP"))</f>
        <v/>
      </c>
      <c r="Y2570" t="str">
        <f>IF($B2570="","",_xll.BDP($B2570,"INDUSTRY_SUBGROUP"))</f>
        <v/>
      </c>
      <c r="Z2570" t="str">
        <f>IF($B2570="","",_xll.BDP($B2570,"COUNTRY_FULL_NAME"))</f>
        <v/>
      </c>
    </row>
    <row r="2571" spans="15:26" x14ac:dyDescent="0.25">
      <c r="O2571"/>
      <c r="P2571"/>
      <c r="Q2571"/>
      <c r="W2571" t="str">
        <f>IF(B2571="","",_xll.BDP(B2571,"INDUSTRY_SECTOR"))</f>
        <v/>
      </c>
      <c r="X2571" t="str">
        <f>IF($B2571="","",_xll.BDP($B2571,"INDUSTRY_GROUP"))</f>
        <v/>
      </c>
      <c r="Y2571" t="str">
        <f>IF($B2571="","",_xll.BDP($B2571,"INDUSTRY_SUBGROUP"))</f>
        <v/>
      </c>
      <c r="Z2571" t="str">
        <f>IF($B2571="","",_xll.BDP($B2571,"COUNTRY_FULL_NAME"))</f>
        <v/>
      </c>
    </row>
    <row r="2572" spans="15:26" x14ac:dyDescent="0.25">
      <c r="O2572"/>
      <c r="P2572"/>
      <c r="Q2572"/>
      <c r="W2572" t="str">
        <f>IF(B2572="","",_xll.BDP(B2572,"INDUSTRY_SECTOR"))</f>
        <v/>
      </c>
      <c r="X2572" t="str">
        <f>IF($B2572="","",_xll.BDP($B2572,"INDUSTRY_GROUP"))</f>
        <v/>
      </c>
      <c r="Y2572" t="str">
        <f>IF($B2572="","",_xll.BDP($B2572,"INDUSTRY_SUBGROUP"))</f>
        <v/>
      </c>
      <c r="Z2572" t="str">
        <f>IF($B2572="","",_xll.BDP($B2572,"COUNTRY_FULL_NAME"))</f>
        <v/>
      </c>
    </row>
    <row r="2573" spans="15:26" x14ac:dyDescent="0.25">
      <c r="O2573"/>
      <c r="P2573"/>
      <c r="Q2573"/>
      <c r="W2573" t="str">
        <f>IF(B2573="","",_xll.BDP(B2573,"INDUSTRY_SECTOR"))</f>
        <v/>
      </c>
      <c r="X2573" t="str">
        <f>IF($B2573="","",_xll.BDP($B2573,"INDUSTRY_GROUP"))</f>
        <v/>
      </c>
      <c r="Y2573" t="str">
        <f>IF($B2573="","",_xll.BDP($B2573,"INDUSTRY_SUBGROUP"))</f>
        <v/>
      </c>
      <c r="Z2573" t="str">
        <f>IF($B2573="","",_xll.BDP($B2573,"COUNTRY_FULL_NAME"))</f>
        <v/>
      </c>
    </row>
    <row r="2574" spans="15:26" x14ac:dyDescent="0.25">
      <c r="O2574"/>
      <c r="P2574"/>
      <c r="Q2574"/>
      <c r="W2574" t="str">
        <f>IF(B2574="","",_xll.BDP(B2574,"INDUSTRY_SECTOR"))</f>
        <v/>
      </c>
      <c r="X2574" t="str">
        <f>IF($B2574="","",_xll.BDP($B2574,"INDUSTRY_GROUP"))</f>
        <v/>
      </c>
      <c r="Y2574" t="str">
        <f>IF($B2574="","",_xll.BDP($B2574,"INDUSTRY_SUBGROUP"))</f>
        <v/>
      </c>
      <c r="Z2574" t="str">
        <f>IF($B2574="","",_xll.BDP($B2574,"COUNTRY_FULL_NAME"))</f>
        <v/>
      </c>
    </row>
    <row r="2575" spans="15:26" x14ac:dyDescent="0.25">
      <c r="O2575"/>
      <c r="P2575"/>
      <c r="Q2575"/>
      <c r="W2575" t="str">
        <f>IF(B2575="","",_xll.BDP(B2575,"INDUSTRY_SECTOR"))</f>
        <v/>
      </c>
      <c r="X2575" t="str">
        <f>IF($B2575="","",_xll.BDP($B2575,"INDUSTRY_GROUP"))</f>
        <v/>
      </c>
      <c r="Y2575" t="str">
        <f>IF($B2575="","",_xll.BDP($B2575,"INDUSTRY_SUBGROUP"))</f>
        <v/>
      </c>
      <c r="Z2575" t="str">
        <f>IF($B2575="","",_xll.BDP($B2575,"COUNTRY_FULL_NAME"))</f>
        <v/>
      </c>
    </row>
    <row r="2576" spans="15:26" x14ac:dyDescent="0.25">
      <c r="O2576"/>
      <c r="P2576"/>
      <c r="Q2576"/>
      <c r="W2576" t="str">
        <f>IF(B2576="","",_xll.BDP(B2576,"INDUSTRY_SECTOR"))</f>
        <v/>
      </c>
      <c r="X2576" t="str">
        <f>IF($B2576="","",_xll.BDP($B2576,"INDUSTRY_GROUP"))</f>
        <v/>
      </c>
      <c r="Y2576" t="str">
        <f>IF($B2576="","",_xll.BDP($B2576,"INDUSTRY_SUBGROUP"))</f>
        <v/>
      </c>
      <c r="Z2576" t="str">
        <f>IF($B2576="","",_xll.BDP($B2576,"COUNTRY_FULL_NAME"))</f>
        <v/>
      </c>
    </row>
    <row r="2577" spans="15:26" x14ac:dyDescent="0.25">
      <c r="O2577"/>
      <c r="P2577"/>
      <c r="Q2577"/>
      <c r="W2577" t="str">
        <f>IF(B2577="","",_xll.BDP(B2577,"INDUSTRY_SECTOR"))</f>
        <v/>
      </c>
      <c r="X2577" t="str">
        <f>IF($B2577="","",_xll.BDP($B2577,"INDUSTRY_GROUP"))</f>
        <v/>
      </c>
      <c r="Y2577" t="str">
        <f>IF($B2577="","",_xll.BDP($B2577,"INDUSTRY_SUBGROUP"))</f>
        <v/>
      </c>
      <c r="Z2577" t="str">
        <f>IF($B2577="","",_xll.BDP($B2577,"COUNTRY_FULL_NAME"))</f>
        <v/>
      </c>
    </row>
    <row r="2578" spans="15:26" x14ac:dyDescent="0.25">
      <c r="O2578"/>
      <c r="P2578"/>
      <c r="Q2578"/>
      <c r="W2578" t="str">
        <f>IF(B2578="","",_xll.BDP(B2578,"INDUSTRY_SECTOR"))</f>
        <v/>
      </c>
      <c r="X2578" t="str">
        <f>IF($B2578="","",_xll.BDP($B2578,"INDUSTRY_GROUP"))</f>
        <v/>
      </c>
      <c r="Y2578" t="str">
        <f>IF($B2578="","",_xll.BDP($B2578,"INDUSTRY_SUBGROUP"))</f>
        <v/>
      </c>
      <c r="Z2578" t="str">
        <f>IF($B2578="","",_xll.BDP($B2578,"COUNTRY_FULL_NAME"))</f>
        <v/>
      </c>
    </row>
    <row r="2579" spans="15:26" x14ac:dyDescent="0.25">
      <c r="O2579"/>
      <c r="P2579"/>
      <c r="Q2579"/>
      <c r="W2579" t="str">
        <f>IF(B2579="","",_xll.BDP(B2579,"INDUSTRY_SECTOR"))</f>
        <v/>
      </c>
      <c r="X2579" t="str">
        <f>IF($B2579="","",_xll.BDP($B2579,"INDUSTRY_GROUP"))</f>
        <v/>
      </c>
      <c r="Y2579" t="str">
        <f>IF($B2579="","",_xll.BDP($B2579,"INDUSTRY_SUBGROUP"))</f>
        <v/>
      </c>
      <c r="Z2579" t="str">
        <f>IF($B2579="","",_xll.BDP($B2579,"COUNTRY_FULL_NAME"))</f>
        <v/>
      </c>
    </row>
    <row r="2580" spans="15:26" x14ac:dyDescent="0.25">
      <c r="O2580"/>
      <c r="P2580"/>
      <c r="Q2580"/>
      <c r="W2580" t="str">
        <f>IF(B2580="","",_xll.BDP(B2580,"INDUSTRY_SECTOR"))</f>
        <v/>
      </c>
      <c r="X2580" t="str">
        <f>IF($B2580="","",_xll.BDP($B2580,"INDUSTRY_GROUP"))</f>
        <v/>
      </c>
      <c r="Y2580" t="str">
        <f>IF($B2580="","",_xll.BDP($B2580,"INDUSTRY_SUBGROUP"))</f>
        <v/>
      </c>
      <c r="Z2580" t="str">
        <f>IF($B2580="","",_xll.BDP($B2580,"COUNTRY_FULL_NAME"))</f>
        <v/>
      </c>
    </row>
    <row r="2581" spans="15:26" x14ac:dyDescent="0.25">
      <c r="O2581"/>
      <c r="P2581"/>
      <c r="Q2581"/>
      <c r="W2581" t="str">
        <f>IF(B2581="","",_xll.BDP(B2581,"INDUSTRY_SECTOR"))</f>
        <v/>
      </c>
      <c r="X2581" t="str">
        <f>IF($B2581="","",_xll.BDP($B2581,"INDUSTRY_GROUP"))</f>
        <v/>
      </c>
      <c r="Y2581" t="str">
        <f>IF($B2581="","",_xll.BDP($B2581,"INDUSTRY_SUBGROUP"))</f>
        <v/>
      </c>
      <c r="Z2581" t="str">
        <f>IF($B2581="","",_xll.BDP($B2581,"COUNTRY_FULL_NAME"))</f>
        <v/>
      </c>
    </row>
    <row r="2582" spans="15:26" x14ac:dyDescent="0.25">
      <c r="O2582"/>
      <c r="P2582"/>
      <c r="Q2582"/>
      <c r="W2582" t="str">
        <f>IF(B2582="","",_xll.BDP(B2582,"INDUSTRY_SECTOR"))</f>
        <v/>
      </c>
      <c r="X2582" t="str">
        <f>IF($B2582="","",_xll.BDP($B2582,"INDUSTRY_GROUP"))</f>
        <v/>
      </c>
      <c r="Y2582" t="str">
        <f>IF($B2582="","",_xll.BDP($B2582,"INDUSTRY_SUBGROUP"))</f>
        <v/>
      </c>
      <c r="Z2582" t="str">
        <f>IF($B2582="","",_xll.BDP($B2582,"COUNTRY_FULL_NAME"))</f>
        <v/>
      </c>
    </row>
    <row r="2583" spans="15:26" x14ac:dyDescent="0.25">
      <c r="O2583"/>
      <c r="P2583"/>
      <c r="Q2583"/>
      <c r="W2583" t="str">
        <f>IF(B2583="","",_xll.BDP(B2583,"INDUSTRY_SECTOR"))</f>
        <v/>
      </c>
      <c r="X2583" t="str">
        <f>IF($B2583="","",_xll.BDP($B2583,"INDUSTRY_GROUP"))</f>
        <v/>
      </c>
      <c r="Y2583" t="str">
        <f>IF($B2583="","",_xll.BDP($B2583,"INDUSTRY_SUBGROUP"))</f>
        <v/>
      </c>
      <c r="Z2583" t="str">
        <f>IF($B2583="","",_xll.BDP($B2583,"COUNTRY_FULL_NAME"))</f>
        <v/>
      </c>
    </row>
    <row r="2584" spans="15:26" x14ac:dyDescent="0.25">
      <c r="O2584"/>
      <c r="P2584"/>
      <c r="Q2584"/>
      <c r="W2584" t="str">
        <f>IF(B2584="","",_xll.BDP(B2584,"INDUSTRY_SECTOR"))</f>
        <v/>
      </c>
      <c r="X2584" t="str">
        <f>IF($B2584="","",_xll.BDP($B2584,"INDUSTRY_GROUP"))</f>
        <v/>
      </c>
      <c r="Y2584" t="str">
        <f>IF($B2584="","",_xll.BDP($B2584,"INDUSTRY_SUBGROUP"))</f>
        <v/>
      </c>
      <c r="Z2584" t="str">
        <f>IF($B2584="","",_xll.BDP($B2584,"COUNTRY_FULL_NAME"))</f>
        <v/>
      </c>
    </row>
    <row r="2585" spans="15:26" x14ac:dyDescent="0.25">
      <c r="O2585"/>
      <c r="P2585"/>
      <c r="Q2585"/>
      <c r="W2585" t="str">
        <f>IF(B2585="","",_xll.BDP(B2585,"INDUSTRY_SECTOR"))</f>
        <v/>
      </c>
      <c r="X2585" t="str">
        <f>IF($B2585="","",_xll.BDP($B2585,"INDUSTRY_GROUP"))</f>
        <v/>
      </c>
      <c r="Y2585" t="str">
        <f>IF($B2585="","",_xll.BDP($B2585,"INDUSTRY_SUBGROUP"))</f>
        <v/>
      </c>
      <c r="Z2585" t="str">
        <f>IF($B2585="","",_xll.BDP($B2585,"COUNTRY_FULL_NAME"))</f>
        <v/>
      </c>
    </row>
    <row r="2586" spans="15:26" x14ac:dyDescent="0.25">
      <c r="O2586"/>
      <c r="P2586"/>
      <c r="Q2586"/>
      <c r="W2586" t="str">
        <f>IF(B2586="","",_xll.BDP(B2586,"INDUSTRY_SECTOR"))</f>
        <v/>
      </c>
      <c r="X2586" t="str">
        <f>IF($B2586="","",_xll.BDP($B2586,"INDUSTRY_GROUP"))</f>
        <v/>
      </c>
      <c r="Y2586" t="str">
        <f>IF($B2586="","",_xll.BDP($B2586,"INDUSTRY_SUBGROUP"))</f>
        <v/>
      </c>
      <c r="Z2586" t="str">
        <f>IF($B2586="","",_xll.BDP($B2586,"COUNTRY_FULL_NAME"))</f>
        <v/>
      </c>
    </row>
    <row r="2587" spans="15:26" x14ac:dyDescent="0.25">
      <c r="O2587"/>
      <c r="P2587"/>
      <c r="Q2587"/>
      <c r="W2587" t="str">
        <f>IF(B2587="","",_xll.BDP(B2587,"INDUSTRY_SECTOR"))</f>
        <v/>
      </c>
      <c r="X2587" t="str">
        <f>IF($B2587="","",_xll.BDP($B2587,"INDUSTRY_GROUP"))</f>
        <v/>
      </c>
      <c r="Y2587" t="str">
        <f>IF($B2587="","",_xll.BDP($B2587,"INDUSTRY_SUBGROUP"))</f>
        <v/>
      </c>
      <c r="Z2587" t="str">
        <f>IF($B2587="","",_xll.BDP($B2587,"COUNTRY_FULL_NAME"))</f>
        <v/>
      </c>
    </row>
    <row r="2588" spans="15:26" x14ac:dyDescent="0.25">
      <c r="O2588"/>
      <c r="P2588"/>
      <c r="Q2588"/>
      <c r="W2588" t="str">
        <f>IF(B2588="","",_xll.BDP(B2588,"INDUSTRY_SECTOR"))</f>
        <v/>
      </c>
      <c r="X2588" t="str">
        <f>IF($B2588="","",_xll.BDP($B2588,"INDUSTRY_GROUP"))</f>
        <v/>
      </c>
      <c r="Y2588" t="str">
        <f>IF($B2588="","",_xll.BDP($B2588,"INDUSTRY_SUBGROUP"))</f>
        <v/>
      </c>
      <c r="Z2588" t="str">
        <f>IF($B2588="","",_xll.BDP($B2588,"COUNTRY_FULL_NAME"))</f>
        <v/>
      </c>
    </row>
    <row r="2589" spans="15:26" x14ac:dyDescent="0.25">
      <c r="O2589"/>
      <c r="P2589"/>
      <c r="Q2589"/>
      <c r="W2589" t="str">
        <f>IF(B2589="","",_xll.BDP(B2589,"INDUSTRY_SECTOR"))</f>
        <v/>
      </c>
      <c r="X2589" t="str">
        <f>IF($B2589="","",_xll.BDP($B2589,"INDUSTRY_GROUP"))</f>
        <v/>
      </c>
      <c r="Y2589" t="str">
        <f>IF($B2589="","",_xll.BDP($B2589,"INDUSTRY_SUBGROUP"))</f>
        <v/>
      </c>
      <c r="Z2589" t="str">
        <f>IF($B2589="","",_xll.BDP($B2589,"COUNTRY_FULL_NAME"))</f>
        <v/>
      </c>
    </row>
    <row r="2590" spans="15:26" x14ac:dyDescent="0.25">
      <c r="O2590"/>
      <c r="P2590"/>
      <c r="Q2590"/>
      <c r="W2590" t="str">
        <f>IF(B2590="","",_xll.BDP(B2590,"INDUSTRY_SECTOR"))</f>
        <v/>
      </c>
      <c r="X2590" t="str">
        <f>IF($B2590="","",_xll.BDP($B2590,"INDUSTRY_GROUP"))</f>
        <v/>
      </c>
      <c r="Y2590" t="str">
        <f>IF($B2590="","",_xll.BDP($B2590,"INDUSTRY_SUBGROUP"))</f>
        <v/>
      </c>
      <c r="Z2590" t="str">
        <f>IF($B2590="","",_xll.BDP($B2590,"COUNTRY_FULL_NAME"))</f>
        <v/>
      </c>
    </row>
    <row r="2591" spans="15:26" x14ac:dyDescent="0.25">
      <c r="O2591"/>
      <c r="P2591"/>
      <c r="Q2591"/>
      <c r="W2591" t="str">
        <f>IF(B2591="","",_xll.BDP(B2591,"INDUSTRY_SECTOR"))</f>
        <v/>
      </c>
      <c r="X2591" t="str">
        <f>IF($B2591="","",_xll.BDP($B2591,"INDUSTRY_GROUP"))</f>
        <v/>
      </c>
      <c r="Y2591" t="str">
        <f>IF($B2591="","",_xll.BDP($B2591,"INDUSTRY_SUBGROUP"))</f>
        <v/>
      </c>
      <c r="Z2591" t="str">
        <f>IF($B2591="","",_xll.BDP($B2591,"COUNTRY_FULL_NAME"))</f>
        <v/>
      </c>
    </row>
    <row r="2592" spans="15:26" x14ac:dyDescent="0.25">
      <c r="O2592"/>
      <c r="P2592"/>
      <c r="Q2592"/>
      <c r="W2592" t="str">
        <f>IF(B2592="","",_xll.BDP(B2592,"INDUSTRY_SECTOR"))</f>
        <v/>
      </c>
      <c r="X2592" t="str">
        <f>IF($B2592="","",_xll.BDP($B2592,"INDUSTRY_GROUP"))</f>
        <v/>
      </c>
      <c r="Y2592" t="str">
        <f>IF($B2592="","",_xll.BDP($B2592,"INDUSTRY_SUBGROUP"))</f>
        <v/>
      </c>
      <c r="Z2592" t="str">
        <f>IF($B2592="","",_xll.BDP($B2592,"COUNTRY_FULL_NAME"))</f>
        <v/>
      </c>
    </row>
    <row r="2593" spans="15:26" x14ac:dyDescent="0.25">
      <c r="O2593"/>
      <c r="P2593"/>
      <c r="Q2593"/>
      <c r="W2593" t="str">
        <f>IF(B2593="","",_xll.BDP(B2593,"INDUSTRY_SECTOR"))</f>
        <v/>
      </c>
      <c r="X2593" t="str">
        <f>IF($B2593="","",_xll.BDP($B2593,"INDUSTRY_GROUP"))</f>
        <v/>
      </c>
      <c r="Y2593" t="str">
        <f>IF($B2593="","",_xll.BDP($B2593,"INDUSTRY_SUBGROUP"))</f>
        <v/>
      </c>
      <c r="Z2593" t="str">
        <f>IF($B2593="","",_xll.BDP($B2593,"COUNTRY_FULL_NAME"))</f>
        <v/>
      </c>
    </row>
    <row r="2594" spans="15:26" x14ac:dyDescent="0.25">
      <c r="O2594"/>
      <c r="P2594"/>
      <c r="Q2594"/>
      <c r="W2594" t="str">
        <f>IF(B2594="","",_xll.BDP(B2594,"INDUSTRY_SECTOR"))</f>
        <v/>
      </c>
      <c r="X2594" t="str">
        <f>IF($B2594="","",_xll.BDP($B2594,"INDUSTRY_GROUP"))</f>
        <v/>
      </c>
      <c r="Y2594" t="str">
        <f>IF($B2594="","",_xll.BDP($B2594,"INDUSTRY_SUBGROUP"))</f>
        <v/>
      </c>
      <c r="Z2594" t="str">
        <f>IF($B2594="","",_xll.BDP($B2594,"COUNTRY_FULL_NAME"))</f>
        <v/>
      </c>
    </row>
    <row r="2595" spans="15:26" x14ac:dyDescent="0.25">
      <c r="O2595"/>
      <c r="P2595"/>
      <c r="Q2595"/>
      <c r="W2595" t="str">
        <f>IF(B2595="","",_xll.BDP(B2595,"INDUSTRY_SECTOR"))</f>
        <v/>
      </c>
      <c r="X2595" t="str">
        <f>IF($B2595="","",_xll.BDP($B2595,"INDUSTRY_GROUP"))</f>
        <v/>
      </c>
      <c r="Y2595" t="str">
        <f>IF($B2595="","",_xll.BDP($B2595,"INDUSTRY_SUBGROUP"))</f>
        <v/>
      </c>
      <c r="Z2595" t="str">
        <f>IF($B2595="","",_xll.BDP($B2595,"COUNTRY_FULL_NAME"))</f>
        <v/>
      </c>
    </row>
    <row r="2596" spans="15:26" x14ac:dyDescent="0.25">
      <c r="O2596"/>
      <c r="P2596"/>
      <c r="Q2596"/>
      <c r="W2596" t="str">
        <f>IF(B2596="","",_xll.BDP(B2596,"INDUSTRY_SECTOR"))</f>
        <v/>
      </c>
      <c r="X2596" t="str">
        <f>IF($B2596="","",_xll.BDP($B2596,"INDUSTRY_GROUP"))</f>
        <v/>
      </c>
      <c r="Y2596" t="str">
        <f>IF($B2596="","",_xll.BDP($B2596,"INDUSTRY_SUBGROUP"))</f>
        <v/>
      </c>
      <c r="Z2596" t="str">
        <f>IF($B2596="","",_xll.BDP($B2596,"COUNTRY_FULL_NAME"))</f>
        <v/>
      </c>
    </row>
    <row r="2597" spans="15:26" x14ac:dyDescent="0.25">
      <c r="O2597"/>
      <c r="P2597"/>
      <c r="Q2597"/>
      <c r="W2597" t="str">
        <f>IF(B2597="","",_xll.BDP(B2597,"INDUSTRY_SECTOR"))</f>
        <v/>
      </c>
      <c r="X2597" t="str">
        <f>IF($B2597="","",_xll.BDP($B2597,"INDUSTRY_GROUP"))</f>
        <v/>
      </c>
      <c r="Y2597" t="str">
        <f>IF($B2597="","",_xll.BDP($B2597,"INDUSTRY_SUBGROUP"))</f>
        <v/>
      </c>
      <c r="Z2597" t="str">
        <f>IF($B2597="","",_xll.BDP($B2597,"COUNTRY_FULL_NAME"))</f>
        <v/>
      </c>
    </row>
    <row r="2598" spans="15:26" x14ac:dyDescent="0.25">
      <c r="O2598"/>
      <c r="P2598"/>
      <c r="Q2598"/>
      <c r="W2598" t="str">
        <f>IF(B2598="","",_xll.BDP(B2598,"INDUSTRY_SECTOR"))</f>
        <v/>
      </c>
      <c r="X2598" t="str">
        <f>IF($B2598="","",_xll.BDP($B2598,"INDUSTRY_GROUP"))</f>
        <v/>
      </c>
      <c r="Y2598" t="str">
        <f>IF($B2598="","",_xll.BDP($B2598,"INDUSTRY_SUBGROUP"))</f>
        <v/>
      </c>
      <c r="Z2598" t="str">
        <f>IF($B2598="","",_xll.BDP($B2598,"COUNTRY_FULL_NAME"))</f>
        <v/>
      </c>
    </row>
    <row r="2599" spans="15:26" x14ac:dyDescent="0.25">
      <c r="O2599"/>
      <c r="P2599"/>
      <c r="Q2599"/>
      <c r="W2599" t="str">
        <f>IF(B2599="","",_xll.BDP(B2599,"INDUSTRY_SECTOR"))</f>
        <v/>
      </c>
      <c r="X2599" t="str">
        <f>IF($B2599="","",_xll.BDP($B2599,"INDUSTRY_GROUP"))</f>
        <v/>
      </c>
      <c r="Y2599" t="str">
        <f>IF($B2599="","",_xll.BDP($B2599,"INDUSTRY_SUBGROUP"))</f>
        <v/>
      </c>
      <c r="Z2599" t="str">
        <f>IF($B2599="","",_xll.BDP($B2599,"COUNTRY_FULL_NAME"))</f>
        <v/>
      </c>
    </row>
    <row r="2600" spans="15:26" x14ac:dyDescent="0.25">
      <c r="O2600"/>
      <c r="P2600"/>
      <c r="Q2600"/>
      <c r="W2600" t="str">
        <f>IF(B2600="","",_xll.BDP(B2600,"INDUSTRY_SECTOR"))</f>
        <v/>
      </c>
      <c r="X2600" t="str">
        <f>IF($B2600="","",_xll.BDP($B2600,"INDUSTRY_GROUP"))</f>
        <v/>
      </c>
      <c r="Y2600" t="str">
        <f>IF($B2600="","",_xll.BDP($B2600,"INDUSTRY_SUBGROUP"))</f>
        <v/>
      </c>
      <c r="Z2600" t="str">
        <f>IF($B2600="","",_xll.BDP($B2600,"COUNTRY_FULL_NAME"))</f>
        <v/>
      </c>
    </row>
    <row r="2601" spans="15:26" x14ac:dyDescent="0.25">
      <c r="O2601"/>
      <c r="P2601"/>
      <c r="Q2601"/>
      <c r="W2601" t="str">
        <f>IF(B2601="","",_xll.BDP(B2601,"INDUSTRY_SECTOR"))</f>
        <v/>
      </c>
      <c r="X2601" t="str">
        <f>IF($B2601="","",_xll.BDP($B2601,"INDUSTRY_GROUP"))</f>
        <v/>
      </c>
      <c r="Y2601" t="str">
        <f>IF($B2601="","",_xll.BDP($B2601,"INDUSTRY_SUBGROUP"))</f>
        <v/>
      </c>
      <c r="Z2601" t="str">
        <f>IF($B2601="","",_xll.BDP($B2601,"COUNTRY_FULL_NAME"))</f>
        <v/>
      </c>
    </row>
    <row r="2602" spans="15:26" x14ac:dyDescent="0.25">
      <c r="O2602"/>
      <c r="P2602"/>
      <c r="Q2602"/>
      <c r="W2602" t="str">
        <f>IF(B2602="","",_xll.BDP(B2602,"INDUSTRY_SECTOR"))</f>
        <v/>
      </c>
      <c r="X2602" t="str">
        <f>IF($B2602="","",_xll.BDP($B2602,"INDUSTRY_GROUP"))</f>
        <v/>
      </c>
      <c r="Y2602" t="str">
        <f>IF($B2602="","",_xll.BDP($B2602,"INDUSTRY_SUBGROUP"))</f>
        <v/>
      </c>
      <c r="Z2602" t="str">
        <f>IF($B2602="","",_xll.BDP($B2602,"COUNTRY_FULL_NAME"))</f>
        <v/>
      </c>
    </row>
    <row r="2603" spans="15:26" x14ac:dyDescent="0.25">
      <c r="O2603"/>
      <c r="P2603"/>
      <c r="Q2603"/>
      <c r="W2603" t="str">
        <f>IF(B2603="","",_xll.BDP(B2603,"INDUSTRY_SECTOR"))</f>
        <v/>
      </c>
      <c r="X2603" t="str">
        <f>IF($B2603="","",_xll.BDP($B2603,"INDUSTRY_GROUP"))</f>
        <v/>
      </c>
      <c r="Y2603" t="str">
        <f>IF($B2603="","",_xll.BDP($B2603,"INDUSTRY_SUBGROUP"))</f>
        <v/>
      </c>
      <c r="Z2603" t="str">
        <f>IF($B2603="","",_xll.BDP($B2603,"COUNTRY_FULL_NAME"))</f>
        <v/>
      </c>
    </row>
    <row r="2604" spans="15:26" x14ac:dyDescent="0.25">
      <c r="O2604"/>
      <c r="P2604"/>
      <c r="Q2604"/>
      <c r="W2604" t="str">
        <f>IF(B2604="","",_xll.BDP(B2604,"INDUSTRY_SECTOR"))</f>
        <v/>
      </c>
      <c r="X2604" t="str">
        <f>IF($B2604="","",_xll.BDP($B2604,"INDUSTRY_GROUP"))</f>
        <v/>
      </c>
      <c r="Y2604" t="str">
        <f>IF($B2604="","",_xll.BDP($B2604,"INDUSTRY_SUBGROUP"))</f>
        <v/>
      </c>
      <c r="Z2604" t="str">
        <f>IF($B2604="","",_xll.BDP($B2604,"COUNTRY_FULL_NAME"))</f>
        <v/>
      </c>
    </row>
    <row r="2605" spans="15:26" x14ac:dyDescent="0.25">
      <c r="O2605"/>
      <c r="P2605"/>
      <c r="Q2605"/>
      <c r="W2605" t="str">
        <f>IF(B2605="","",_xll.BDP(B2605,"INDUSTRY_SECTOR"))</f>
        <v/>
      </c>
      <c r="X2605" t="str">
        <f>IF($B2605="","",_xll.BDP($B2605,"INDUSTRY_GROUP"))</f>
        <v/>
      </c>
      <c r="Y2605" t="str">
        <f>IF($B2605="","",_xll.BDP($B2605,"INDUSTRY_SUBGROUP"))</f>
        <v/>
      </c>
      <c r="Z2605" t="str">
        <f>IF($B2605="","",_xll.BDP($B2605,"COUNTRY_FULL_NAME"))</f>
        <v/>
      </c>
    </row>
    <row r="2606" spans="15:26" x14ac:dyDescent="0.25">
      <c r="O2606"/>
      <c r="P2606"/>
      <c r="Q2606"/>
      <c r="W2606" t="str">
        <f>IF(B2606="","",_xll.BDP(B2606,"INDUSTRY_SECTOR"))</f>
        <v/>
      </c>
      <c r="X2606" t="str">
        <f>IF($B2606="","",_xll.BDP($B2606,"INDUSTRY_GROUP"))</f>
        <v/>
      </c>
      <c r="Y2606" t="str">
        <f>IF($B2606="","",_xll.BDP($B2606,"INDUSTRY_SUBGROUP"))</f>
        <v/>
      </c>
      <c r="Z2606" t="str">
        <f>IF($B2606="","",_xll.BDP($B2606,"COUNTRY_FULL_NAME"))</f>
        <v/>
      </c>
    </row>
    <row r="2607" spans="15:26" x14ac:dyDescent="0.25">
      <c r="O2607"/>
      <c r="P2607"/>
      <c r="Q2607"/>
      <c r="W2607" t="str">
        <f>IF(B2607="","",_xll.BDP(B2607,"INDUSTRY_SECTOR"))</f>
        <v/>
      </c>
      <c r="X2607" t="str">
        <f>IF($B2607="","",_xll.BDP($B2607,"INDUSTRY_GROUP"))</f>
        <v/>
      </c>
      <c r="Y2607" t="str">
        <f>IF($B2607="","",_xll.BDP($B2607,"INDUSTRY_SUBGROUP"))</f>
        <v/>
      </c>
      <c r="Z2607" t="str">
        <f>IF($B2607="","",_xll.BDP($B2607,"COUNTRY_FULL_NAME"))</f>
        <v/>
      </c>
    </row>
    <row r="2608" spans="15:26" x14ac:dyDescent="0.25">
      <c r="O2608"/>
      <c r="P2608"/>
      <c r="Q2608"/>
      <c r="W2608" t="str">
        <f>IF(B2608="","",_xll.BDP(B2608,"INDUSTRY_SECTOR"))</f>
        <v/>
      </c>
      <c r="X2608" t="str">
        <f>IF($B2608="","",_xll.BDP($B2608,"INDUSTRY_GROUP"))</f>
        <v/>
      </c>
      <c r="Y2608" t="str">
        <f>IF($B2608="","",_xll.BDP($B2608,"INDUSTRY_SUBGROUP"))</f>
        <v/>
      </c>
      <c r="Z2608" t="str">
        <f>IF($B2608="","",_xll.BDP($B2608,"COUNTRY_FULL_NAME"))</f>
        <v/>
      </c>
    </row>
    <row r="2609" spans="15:26" x14ac:dyDescent="0.25">
      <c r="O2609"/>
      <c r="P2609"/>
      <c r="Q2609"/>
      <c r="W2609" t="str">
        <f>IF(B2609="","",_xll.BDP(B2609,"INDUSTRY_SECTOR"))</f>
        <v/>
      </c>
      <c r="X2609" t="str">
        <f>IF($B2609="","",_xll.BDP($B2609,"INDUSTRY_GROUP"))</f>
        <v/>
      </c>
      <c r="Y2609" t="str">
        <f>IF($B2609="","",_xll.BDP($B2609,"INDUSTRY_SUBGROUP"))</f>
        <v/>
      </c>
      <c r="Z2609" t="str">
        <f>IF($B2609="","",_xll.BDP($B2609,"COUNTRY_FULL_NAME"))</f>
        <v/>
      </c>
    </row>
    <row r="2610" spans="15:26" x14ac:dyDescent="0.25">
      <c r="O2610"/>
      <c r="P2610"/>
      <c r="Q2610"/>
      <c r="W2610" t="str">
        <f>IF(B2610="","",_xll.BDP(B2610,"INDUSTRY_SECTOR"))</f>
        <v/>
      </c>
      <c r="X2610" t="str">
        <f>IF($B2610="","",_xll.BDP($B2610,"INDUSTRY_GROUP"))</f>
        <v/>
      </c>
      <c r="Y2610" t="str">
        <f>IF($B2610="","",_xll.BDP($B2610,"INDUSTRY_SUBGROUP"))</f>
        <v/>
      </c>
      <c r="Z2610" t="str">
        <f>IF($B2610="","",_xll.BDP($B2610,"COUNTRY_FULL_NAME"))</f>
        <v/>
      </c>
    </row>
    <row r="2611" spans="15:26" x14ac:dyDescent="0.25">
      <c r="O2611"/>
      <c r="P2611"/>
      <c r="Q2611"/>
      <c r="W2611" t="str">
        <f>IF(B2611="","",_xll.BDP(B2611,"INDUSTRY_SECTOR"))</f>
        <v/>
      </c>
      <c r="X2611" t="str">
        <f>IF($B2611="","",_xll.BDP($B2611,"INDUSTRY_GROUP"))</f>
        <v/>
      </c>
      <c r="Y2611" t="str">
        <f>IF($B2611="","",_xll.BDP($B2611,"INDUSTRY_SUBGROUP"))</f>
        <v/>
      </c>
      <c r="Z2611" t="str">
        <f>IF($B2611="","",_xll.BDP($B2611,"COUNTRY_FULL_NAME"))</f>
        <v/>
      </c>
    </row>
    <row r="2612" spans="15:26" x14ac:dyDescent="0.25">
      <c r="O2612"/>
      <c r="P2612"/>
      <c r="Q2612"/>
      <c r="W2612" t="str">
        <f>IF(B2612="","",_xll.BDP(B2612,"INDUSTRY_SECTOR"))</f>
        <v/>
      </c>
      <c r="X2612" t="str">
        <f>IF($B2612="","",_xll.BDP($B2612,"INDUSTRY_GROUP"))</f>
        <v/>
      </c>
      <c r="Y2612" t="str">
        <f>IF($B2612="","",_xll.BDP($B2612,"INDUSTRY_SUBGROUP"))</f>
        <v/>
      </c>
      <c r="Z2612" t="str">
        <f>IF($B2612="","",_xll.BDP($B2612,"COUNTRY_FULL_NAME"))</f>
        <v/>
      </c>
    </row>
    <row r="2613" spans="15:26" x14ac:dyDescent="0.25">
      <c r="O2613"/>
      <c r="P2613"/>
      <c r="Q2613"/>
      <c r="W2613" t="str">
        <f>IF(B2613="","",_xll.BDP(B2613,"INDUSTRY_SECTOR"))</f>
        <v/>
      </c>
      <c r="X2613" t="str">
        <f>IF($B2613="","",_xll.BDP($B2613,"INDUSTRY_GROUP"))</f>
        <v/>
      </c>
      <c r="Y2613" t="str">
        <f>IF($B2613="","",_xll.BDP($B2613,"INDUSTRY_SUBGROUP"))</f>
        <v/>
      </c>
      <c r="Z2613" t="str">
        <f>IF($B2613="","",_xll.BDP($B2613,"COUNTRY_FULL_NAME"))</f>
        <v/>
      </c>
    </row>
    <row r="2614" spans="15:26" x14ac:dyDescent="0.25">
      <c r="O2614"/>
      <c r="P2614"/>
      <c r="Q2614"/>
      <c r="W2614" t="str">
        <f>IF(B2614="","",_xll.BDP(B2614,"INDUSTRY_SECTOR"))</f>
        <v/>
      </c>
      <c r="X2614" t="str">
        <f>IF($B2614="","",_xll.BDP($B2614,"INDUSTRY_GROUP"))</f>
        <v/>
      </c>
      <c r="Y2614" t="str">
        <f>IF($B2614="","",_xll.BDP($B2614,"INDUSTRY_SUBGROUP"))</f>
        <v/>
      </c>
      <c r="Z2614" t="str">
        <f>IF($B2614="","",_xll.BDP($B2614,"COUNTRY_FULL_NAME"))</f>
        <v/>
      </c>
    </row>
    <row r="2615" spans="15:26" x14ac:dyDescent="0.25">
      <c r="O2615"/>
      <c r="P2615"/>
      <c r="Q2615"/>
      <c r="W2615" t="str">
        <f>IF(B2615="","",_xll.BDP(B2615,"INDUSTRY_SECTOR"))</f>
        <v/>
      </c>
      <c r="X2615" t="str">
        <f>IF($B2615="","",_xll.BDP($B2615,"INDUSTRY_GROUP"))</f>
        <v/>
      </c>
      <c r="Y2615" t="str">
        <f>IF($B2615="","",_xll.BDP($B2615,"INDUSTRY_SUBGROUP"))</f>
        <v/>
      </c>
      <c r="Z2615" t="str">
        <f>IF($B2615="","",_xll.BDP($B2615,"COUNTRY_FULL_NAME"))</f>
        <v/>
      </c>
    </row>
    <row r="2616" spans="15:26" x14ac:dyDescent="0.25">
      <c r="O2616"/>
      <c r="P2616"/>
      <c r="Q2616"/>
      <c r="W2616" t="str">
        <f>IF(B2616="","",_xll.BDP(B2616,"INDUSTRY_SECTOR"))</f>
        <v/>
      </c>
      <c r="X2616" t="str">
        <f>IF($B2616="","",_xll.BDP($B2616,"INDUSTRY_GROUP"))</f>
        <v/>
      </c>
      <c r="Y2616" t="str">
        <f>IF($B2616="","",_xll.BDP($B2616,"INDUSTRY_SUBGROUP"))</f>
        <v/>
      </c>
      <c r="Z2616" t="str">
        <f>IF($B2616="","",_xll.BDP($B2616,"COUNTRY_FULL_NAME"))</f>
        <v/>
      </c>
    </row>
    <row r="2617" spans="15:26" x14ac:dyDescent="0.25">
      <c r="O2617"/>
      <c r="P2617"/>
      <c r="Q2617"/>
      <c r="W2617" t="str">
        <f>IF(B2617="","",_xll.BDP(B2617,"INDUSTRY_SECTOR"))</f>
        <v/>
      </c>
      <c r="X2617" t="str">
        <f>IF($B2617="","",_xll.BDP($B2617,"INDUSTRY_GROUP"))</f>
        <v/>
      </c>
      <c r="Y2617" t="str">
        <f>IF($B2617="","",_xll.BDP($B2617,"INDUSTRY_SUBGROUP"))</f>
        <v/>
      </c>
      <c r="Z2617" t="str">
        <f>IF($B2617="","",_xll.BDP($B2617,"COUNTRY_FULL_NAME"))</f>
        <v/>
      </c>
    </row>
    <row r="2618" spans="15:26" x14ac:dyDescent="0.25">
      <c r="O2618"/>
      <c r="P2618"/>
      <c r="Q2618"/>
      <c r="W2618" t="str">
        <f>IF(B2618="","",_xll.BDP(B2618,"INDUSTRY_SECTOR"))</f>
        <v/>
      </c>
      <c r="X2618" t="str">
        <f>IF($B2618="","",_xll.BDP($B2618,"INDUSTRY_GROUP"))</f>
        <v/>
      </c>
      <c r="Y2618" t="str">
        <f>IF($B2618="","",_xll.BDP($B2618,"INDUSTRY_SUBGROUP"))</f>
        <v/>
      </c>
      <c r="Z2618" t="str">
        <f>IF($B2618="","",_xll.BDP($B2618,"COUNTRY_FULL_NAME"))</f>
        <v/>
      </c>
    </row>
    <row r="2619" spans="15:26" x14ac:dyDescent="0.25">
      <c r="O2619"/>
      <c r="P2619"/>
      <c r="Q2619"/>
      <c r="W2619" t="str">
        <f>IF(B2619="","",_xll.BDP(B2619,"INDUSTRY_SECTOR"))</f>
        <v/>
      </c>
      <c r="X2619" t="str">
        <f>IF($B2619="","",_xll.BDP($B2619,"INDUSTRY_GROUP"))</f>
        <v/>
      </c>
      <c r="Y2619" t="str">
        <f>IF($B2619="","",_xll.BDP($B2619,"INDUSTRY_SUBGROUP"))</f>
        <v/>
      </c>
      <c r="Z2619" t="str">
        <f>IF($B2619="","",_xll.BDP($B2619,"COUNTRY_FULL_NAME"))</f>
        <v/>
      </c>
    </row>
    <row r="2620" spans="15:26" x14ac:dyDescent="0.25">
      <c r="O2620"/>
      <c r="P2620"/>
      <c r="Q2620"/>
      <c r="W2620" t="str">
        <f>IF(B2620="","",_xll.BDP(B2620,"INDUSTRY_SECTOR"))</f>
        <v/>
      </c>
      <c r="X2620" t="str">
        <f>IF($B2620="","",_xll.BDP($B2620,"INDUSTRY_GROUP"))</f>
        <v/>
      </c>
      <c r="Y2620" t="str">
        <f>IF($B2620="","",_xll.BDP($B2620,"INDUSTRY_SUBGROUP"))</f>
        <v/>
      </c>
      <c r="Z2620" t="str">
        <f>IF($B2620="","",_xll.BDP($B2620,"COUNTRY_FULL_NAME"))</f>
        <v/>
      </c>
    </row>
    <row r="2621" spans="15:26" x14ac:dyDescent="0.25">
      <c r="O2621"/>
      <c r="P2621"/>
      <c r="Q2621"/>
      <c r="W2621" t="str">
        <f>IF(B2621="","",_xll.BDP(B2621,"INDUSTRY_SECTOR"))</f>
        <v/>
      </c>
      <c r="X2621" t="str">
        <f>IF($B2621="","",_xll.BDP($B2621,"INDUSTRY_GROUP"))</f>
        <v/>
      </c>
      <c r="Y2621" t="str">
        <f>IF($B2621="","",_xll.BDP($B2621,"INDUSTRY_SUBGROUP"))</f>
        <v/>
      </c>
      <c r="Z2621" t="str">
        <f>IF($B2621="","",_xll.BDP($B2621,"COUNTRY_FULL_NAME"))</f>
        <v/>
      </c>
    </row>
    <row r="2622" spans="15:26" x14ac:dyDescent="0.25">
      <c r="O2622"/>
      <c r="P2622"/>
      <c r="Q2622"/>
      <c r="W2622" t="str">
        <f>IF(B2622="","",_xll.BDP(B2622,"INDUSTRY_SECTOR"))</f>
        <v/>
      </c>
      <c r="X2622" t="str">
        <f>IF($B2622="","",_xll.BDP($B2622,"INDUSTRY_GROUP"))</f>
        <v/>
      </c>
      <c r="Y2622" t="str">
        <f>IF($B2622="","",_xll.BDP($B2622,"INDUSTRY_SUBGROUP"))</f>
        <v/>
      </c>
      <c r="Z2622" t="str">
        <f>IF($B2622="","",_xll.BDP($B2622,"COUNTRY_FULL_NAME"))</f>
        <v/>
      </c>
    </row>
    <row r="2623" spans="15:26" x14ac:dyDescent="0.25">
      <c r="O2623"/>
      <c r="P2623"/>
      <c r="Q2623"/>
      <c r="W2623" t="str">
        <f>IF(B2623="","",_xll.BDP(B2623,"INDUSTRY_SECTOR"))</f>
        <v/>
      </c>
      <c r="X2623" t="str">
        <f>IF($B2623="","",_xll.BDP($B2623,"INDUSTRY_GROUP"))</f>
        <v/>
      </c>
      <c r="Y2623" t="str">
        <f>IF($B2623="","",_xll.BDP($B2623,"INDUSTRY_SUBGROUP"))</f>
        <v/>
      </c>
      <c r="Z2623" t="str">
        <f>IF($B2623="","",_xll.BDP($B2623,"COUNTRY_FULL_NAME"))</f>
        <v/>
      </c>
    </row>
    <row r="2624" spans="15:26" x14ac:dyDescent="0.25">
      <c r="O2624"/>
      <c r="P2624"/>
      <c r="Q2624"/>
      <c r="W2624" t="str">
        <f>IF(B2624="","",_xll.BDP(B2624,"INDUSTRY_SECTOR"))</f>
        <v/>
      </c>
      <c r="X2624" t="str">
        <f>IF($B2624="","",_xll.BDP($B2624,"INDUSTRY_GROUP"))</f>
        <v/>
      </c>
      <c r="Y2624" t="str">
        <f>IF($B2624="","",_xll.BDP($B2624,"INDUSTRY_SUBGROUP"))</f>
        <v/>
      </c>
      <c r="Z2624" t="str">
        <f>IF($B2624="","",_xll.BDP($B2624,"COUNTRY_FULL_NAME"))</f>
        <v/>
      </c>
    </row>
    <row r="2625" spans="15:26" x14ac:dyDescent="0.25">
      <c r="O2625"/>
      <c r="P2625"/>
      <c r="Q2625"/>
      <c r="W2625" t="str">
        <f>IF(B2625="","",_xll.BDP(B2625,"INDUSTRY_SECTOR"))</f>
        <v/>
      </c>
      <c r="X2625" t="str">
        <f>IF($B2625="","",_xll.BDP($B2625,"INDUSTRY_GROUP"))</f>
        <v/>
      </c>
      <c r="Y2625" t="str">
        <f>IF($B2625="","",_xll.BDP($B2625,"INDUSTRY_SUBGROUP"))</f>
        <v/>
      </c>
      <c r="Z2625" t="str">
        <f>IF($B2625="","",_xll.BDP($B2625,"COUNTRY_FULL_NAME"))</f>
        <v/>
      </c>
    </row>
    <row r="2626" spans="15:26" x14ac:dyDescent="0.25">
      <c r="O2626"/>
      <c r="P2626"/>
      <c r="Q2626"/>
      <c r="W2626" t="str">
        <f>IF(B2626="","",_xll.BDP(B2626,"INDUSTRY_SECTOR"))</f>
        <v/>
      </c>
      <c r="X2626" t="str">
        <f>IF($B2626="","",_xll.BDP($B2626,"INDUSTRY_GROUP"))</f>
        <v/>
      </c>
      <c r="Y2626" t="str">
        <f>IF($B2626="","",_xll.BDP($B2626,"INDUSTRY_SUBGROUP"))</f>
        <v/>
      </c>
      <c r="Z2626" t="str">
        <f>IF($B2626="","",_xll.BDP($B2626,"COUNTRY_FULL_NAME"))</f>
        <v/>
      </c>
    </row>
    <row r="2627" spans="15:26" x14ac:dyDescent="0.25">
      <c r="O2627"/>
      <c r="P2627"/>
      <c r="Q2627"/>
      <c r="W2627" t="str">
        <f>IF(B2627="","",_xll.BDP(B2627,"INDUSTRY_SECTOR"))</f>
        <v/>
      </c>
      <c r="X2627" t="str">
        <f>IF($B2627="","",_xll.BDP($B2627,"INDUSTRY_GROUP"))</f>
        <v/>
      </c>
      <c r="Y2627" t="str">
        <f>IF($B2627="","",_xll.BDP($B2627,"INDUSTRY_SUBGROUP"))</f>
        <v/>
      </c>
      <c r="Z2627" t="str">
        <f>IF($B2627="","",_xll.BDP($B2627,"COUNTRY_FULL_NAME"))</f>
        <v/>
      </c>
    </row>
    <row r="2628" spans="15:26" x14ac:dyDescent="0.25">
      <c r="O2628"/>
      <c r="P2628"/>
      <c r="Q2628"/>
      <c r="W2628" t="str">
        <f>IF(B2628="","",_xll.BDP(B2628,"INDUSTRY_SECTOR"))</f>
        <v/>
      </c>
      <c r="X2628" t="str">
        <f>IF($B2628="","",_xll.BDP($B2628,"INDUSTRY_GROUP"))</f>
        <v/>
      </c>
      <c r="Y2628" t="str">
        <f>IF($B2628="","",_xll.BDP($B2628,"INDUSTRY_SUBGROUP"))</f>
        <v/>
      </c>
      <c r="Z2628" t="str">
        <f>IF($B2628="","",_xll.BDP($B2628,"COUNTRY_FULL_NAME"))</f>
        <v/>
      </c>
    </row>
    <row r="2629" spans="15:26" x14ac:dyDescent="0.25">
      <c r="O2629"/>
      <c r="P2629"/>
      <c r="Q2629"/>
      <c r="W2629" t="str">
        <f>IF(B2629="","",_xll.BDP(B2629,"INDUSTRY_SECTOR"))</f>
        <v/>
      </c>
      <c r="X2629" t="str">
        <f>IF($B2629="","",_xll.BDP($B2629,"INDUSTRY_GROUP"))</f>
        <v/>
      </c>
      <c r="Y2629" t="str">
        <f>IF($B2629="","",_xll.BDP($B2629,"INDUSTRY_SUBGROUP"))</f>
        <v/>
      </c>
      <c r="Z2629" t="str">
        <f>IF($B2629="","",_xll.BDP($B2629,"COUNTRY_FULL_NAME"))</f>
        <v/>
      </c>
    </row>
    <row r="2630" spans="15:26" x14ac:dyDescent="0.25">
      <c r="O2630"/>
      <c r="P2630"/>
      <c r="Q2630"/>
      <c r="W2630" t="str">
        <f>IF(B2630="","",_xll.BDP(B2630,"INDUSTRY_SECTOR"))</f>
        <v/>
      </c>
      <c r="X2630" t="str">
        <f>IF($B2630="","",_xll.BDP($B2630,"INDUSTRY_GROUP"))</f>
        <v/>
      </c>
      <c r="Y2630" t="str">
        <f>IF($B2630="","",_xll.BDP($B2630,"INDUSTRY_SUBGROUP"))</f>
        <v/>
      </c>
      <c r="Z2630" t="str">
        <f>IF($B2630="","",_xll.BDP($B2630,"COUNTRY_FULL_NAME"))</f>
        <v/>
      </c>
    </row>
    <row r="2631" spans="15:26" x14ac:dyDescent="0.25">
      <c r="O2631"/>
      <c r="P2631"/>
      <c r="Q2631"/>
      <c r="W2631" t="str">
        <f>IF(B2631="","",_xll.BDP(B2631,"INDUSTRY_SECTOR"))</f>
        <v/>
      </c>
      <c r="X2631" t="str">
        <f>IF($B2631="","",_xll.BDP($B2631,"INDUSTRY_GROUP"))</f>
        <v/>
      </c>
      <c r="Y2631" t="str">
        <f>IF($B2631="","",_xll.BDP($B2631,"INDUSTRY_SUBGROUP"))</f>
        <v/>
      </c>
      <c r="Z2631" t="str">
        <f>IF($B2631="","",_xll.BDP($B2631,"COUNTRY_FULL_NAME"))</f>
        <v/>
      </c>
    </row>
    <row r="2632" spans="15:26" x14ac:dyDescent="0.25">
      <c r="O2632"/>
      <c r="P2632"/>
      <c r="Q2632"/>
      <c r="W2632" t="str">
        <f>IF(B2632="","",_xll.BDP(B2632,"INDUSTRY_SECTOR"))</f>
        <v/>
      </c>
      <c r="X2632" t="str">
        <f>IF($B2632="","",_xll.BDP($B2632,"INDUSTRY_GROUP"))</f>
        <v/>
      </c>
      <c r="Y2632" t="str">
        <f>IF($B2632="","",_xll.BDP($B2632,"INDUSTRY_SUBGROUP"))</f>
        <v/>
      </c>
      <c r="Z2632" t="str">
        <f>IF($B2632="","",_xll.BDP($B2632,"COUNTRY_FULL_NAME"))</f>
        <v/>
      </c>
    </row>
    <row r="2633" spans="15:26" x14ac:dyDescent="0.25">
      <c r="O2633"/>
      <c r="P2633"/>
      <c r="Q2633"/>
      <c r="W2633" t="str">
        <f>IF(B2633="","",_xll.BDP(B2633,"INDUSTRY_SECTOR"))</f>
        <v/>
      </c>
      <c r="X2633" t="str">
        <f>IF($B2633="","",_xll.BDP($B2633,"INDUSTRY_GROUP"))</f>
        <v/>
      </c>
      <c r="Y2633" t="str">
        <f>IF($B2633="","",_xll.BDP($B2633,"INDUSTRY_SUBGROUP"))</f>
        <v/>
      </c>
      <c r="Z2633" t="str">
        <f>IF($B2633="","",_xll.BDP($B2633,"COUNTRY_FULL_NAME"))</f>
        <v/>
      </c>
    </row>
    <row r="2634" spans="15:26" x14ac:dyDescent="0.25">
      <c r="O2634"/>
      <c r="P2634"/>
      <c r="Q2634"/>
      <c r="W2634" t="str">
        <f>IF(B2634="","",_xll.BDP(B2634,"INDUSTRY_SECTOR"))</f>
        <v/>
      </c>
      <c r="X2634" t="str">
        <f>IF($B2634="","",_xll.BDP($B2634,"INDUSTRY_GROUP"))</f>
        <v/>
      </c>
      <c r="Y2634" t="str">
        <f>IF($B2634="","",_xll.BDP($B2634,"INDUSTRY_SUBGROUP"))</f>
        <v/>
      </c>
      <c r="Z2634" t="str">
        <f>IF($B2634="","",_xll.BDP($B2634,"COUNTRY_FULL_NAME"))</f>
        <v/>
      </c>
    </row>
    <row r="2635" spans="15:26" x14ac:dyDescent="0.25">
      <c r="O2635"/>
      <c r="P2635"/>
      <c r="Q2635"/>
      <c r="W2635" t="str">
        <f>IF(B2635="","",_xll.BDP(B2635,"INDUSTRY_SECTOR"))</f>
        <v/>
      </c>
      <c r="X2635" t="str">
        <f>IF($B2635="","",_xll.BDP($B2635,"INDUSTRY_GROUP"))</f>
        <v/>
      </c>
      <c r="Y2635" t="str">
        <f>IF($B2635="","",_xll.BDP($B2635,"INDUSTRY_SUBGROUP"))</f>
        <v/>
      </c>
      <c r="Z2635" t="str">
        <f>IF($B2635="","",_xll.BDP($B2635,"COUNTRY_FULL_NAME"))</f>
        <v/>
      </c>
    </row>
    <row r="2636" spans="15:26" x14ac:dyDescent="0.25">
      <c r="O2636"/>
      <c r="P2636"/>
      <c r="Q2636"/>
      <c r="W2636" t="str">
        <f>IF(B2636="","",_xll.BDP(B2636,"INDUSTRY_SECTOR"))</f>
        <v/>
      </c>
      <c r="X2636" t="str">
        <f>IF($B2636="","",_xll.BDP($B2636,"INDUSTRY_GROUP"))</f>
        <v/>
      </c>
      <c r="Y2636" t="str">
        <f>IF($B2636="","",_xll.BDP($B2636,"INDUSTRY_SUBGROUP"))</f>
        <v/>
      </c>
      <c r="Z2636" t="str">
        <f>IF($B2636="","",_xll.BDP($B2636,"COUNTRY_FULL_NAME"))</f>
        <v/>
      </c>
    </row>
    <row r="2637" spans="15:26" x14ac:dyDescent="0.25">
      <c r="O2637"/>
      <c r="P2637"/>
      <c r="Q2637"/>
      <c r="W2637" t="str">
        <f>IF(B2637="","",_xll.BDP(B2637,"INDUSTRY_SECTOR"))</f>
        <v/>
      </c>
      <c r="X2637" t="str">
        <f>IF($B2637="","",_xll.BDP($B2637,"INDUSTRY_GROUP"))</f>
        <v/>
      </c>
      <c r="Y2637" t="str">
        <f>IF($B2637="","",_xll.BDP($B2637,"INDUSTRY_SUBGROUP"))</f>
        <v/>
      </c>
      <c r="Z2637" t="str">
        <f>IF($B2637="","",_xll.BDP($B2637,"COUNTRY_FULL_NAME"))</f>
        <v/>
      </c>
    </row>
    <row r="2638" spans="15:26" x14ac:dyDescent="0.25">
      <c r="O2638"/>
      <c r="P2638"/>
      <c r="Q2638"/>
      <c r="W2638" t="str">
        <f>IF(B2638="","",_xll.BDP(B2638,"INDUSTRY_SECTOR"))</f>
        <v/>
      </c>
      <c r="X2638" t="str">
        <f>IF($B2638="","",_xll.BDP($B2638,"INDUSTRY_GROUP"))</f>
        <v/>
      </c>
      <c r="Y2638" t="str">
        <f>IF($B2638="","",_xll.BDP($B2638,"INDUSTRY_SUBGROUP"))</f>
        <v/>
      </c>
      <c r="Z2638" t="str">
        <f>IF($B2638="","",_xll.BDP($B2638,"COUNTRY_FULL_NAME"))</f>
        <v/>
      </c>
    </row>
    <row r="2639" spans="15:26" x14ac:dyDescent="0.25">
      <c r="O2639"/>
      <c r="P2639"/>
      <c r="Q2639"/>
      <c r="W2639" t="str">
        <f>IF(B2639="","",_xll.BDP(B2639,"INDUSTRY_SECTOR"))</f>
        <v/>
      </c>
      <c r="X2639" t="str">
        <f>IF($B2639="","",_xll.BDP($B2639,"INDUSTRY_GROUP"))</f>
        <v/>
      </c>
      <c r="Y2639" t="str">
        <f>IF($B2639="","",_xll.BDP($B2639,"INDUSTRY_SUBGROUP"))</f>
        <v/>
      </c>
      <c r="Z2639" t="str">
        <f>IF($B2639="","",_xll.BDP($B2639,"COUNTRY_FULL_NAME"))</f>
        <v/>
      </c>
    </row>
    <row r="2640" spans="15:26" x14ac:dyDescent="0.25">
      <c r="O2640"/>
      <c r="P2640"/>
      <c r="Q2640"/>
      <c r="W2640" t="str">
        <f>IF(B2640="","",_xll.BDP(B2640,"INDUSTRY_SECTOR"))</f>
        <v/>
      </c>
      <c r="X2640" t="str">
        <f>IF($B2640="","",_xll.BDP($B2640,"INDUSTRY_GROUP"))</f>
        <v/>
      </c>
      <c r="Y2640" t="str">
        <f>IF($B2640="","",_xll.BDP($B2640,"INDUSTRY_SUBGROUP"))</f>
        <v/>
      </c>
      <c r="Z2640" t="str">
        <f>IF($B2640="","",_xll.BDP($B2640,"COUNTRY_FULL_NAME"))</f>
        <v/>
      </c>
    </row>
    <row r="2641" spans="15:26" x14ac:dyDescent="0.25">
      <c r="O2641"/>
      <c r="P2641"/>
      <c r="Q2641"/>
      <c r="W2641" t="str">
        <f>IF(B2641="","",_xll.BDP(B2641,"INDUSTRY_SECTOR"))</f>
        <v/>
      </c>
      <c r="X2641" t="str">
        <f>IF($B2641="","",_xll.BDP($B2641,"INDUSTRY_GROUP"))</f>
        <v/>
      </c>
      <c r="Y2641" t="str">
        <f>IF($B2641="","",_xll.BDP($B2641,"INDUSTRY_SUBGROUP"))</f>
        <v/>
      </c>
      <c r="Z2641" t="str">
        <f>IF($B2641="","",_xll.BDP($B2641,"COUNTRY_FULL_NAME"))</f>
        <v/>
      </c>
    </row>
    <row r="2642" spans="15:26" x14ac:dyDescent="0.25">
      <c r="O2642"/>
      <c r="P2642"/>
      <c r="Q2642"/>
      <c r="W2642" t="str">
        <f>IF(B2642="","",_xll.BDP(B2642,"INDUSTRY_SECTOR"))</f>
        <v/>
      </c>
      <c r="X2642" t="str">
        <f>IF($B2642="","",_xll.BDP($B2642,"INDUSTRY_GROUP"))</f>
        <v/>
      </c>
      <c r="Y2642" t="str">
        <f>IF($B2642="","",_xll.BDP($B2642,"INDUSTRY_SUBGROUP"))</f>
        <v/>
      </c>
      <c r="Z2642" t="str">
        <f>IF($B2642="","",_xll.BDP($B2642,"COUNTRY_FULL_NAME"))</f>
        <v/>
      </c>
    </row>
    <row r="2643" spans="15:26" x14ac:dyDescent="0.25">
      <c r="O2643"/>
      <c r="P2643"/>
      <c r="Q2643"/>
      <c r="W2643" t="str">
        <f>IF(B2643="","",_xll.BDP(B2643,"INDUSTRY_SECTOR"))</f>
        <v/>
      </c>
      <c r="X2643" t="str">
        <f>IF($B2643="","",_xll.BDP($B2643,"INDUSTRY_GROUP"))</f>
        <v/>
      </c>
      <c r="Y2643" t="str">
        <f>IF($B2643="","",_xll.BDP($B2643,"INDUSTRY_SUBGROUP"))</f>
        <v/>
      </c>
      <c r="Z2643" t="str">
        <f>IF($B2643="","",_xll.BDP($B2643,"COUNTRY_FULL_NAME"))</f>
        <v/>
      </c>
    </row>
    <row r="2644" spans="15:26" x14ac:dyDescent="0.25">
      <c r="O2644"/>
      <c r="P2644"/>
      <c r="Q2644"/>
      <c r="W2644" t="str">
        <f>IF(B2644="","",_xll.BDP(B2644,"INDUSTRY_SECTOR"))</f>
        <v/>
      </c>
      <c r="X2644" t="str">
        <f>IF($B2644="","",_xll.BDP($B2644,"INDUSTRY_GROUP"))</f>
        <v/>
      </c>
      <c r="Y2644" t="str">
        <f>IF($B2644="","",_xll.BDP($B2644,"INDUSTRY_SUBGROUP"))</f>
        <v/>
      </c>
      <c r="Z2644" t="str">
        <f>IF($B2644="","",_xll.BDP($B2644,"COUNTRY_FULL_NAME"))</f>
        <v/>
      </c>
    </row>
    <row r="2645" spans="15:26" x14ac:dyDescent="0.25">
      <c r="O2645"/>
      <c r="P2645"/>
      <c r="Q2645"/>
      <c r="W2645" t="str">
        <f>IF(B2645="","",_xll.BDP(B2645,"INDUSTRY_SECTOR"))</f>
        <v/>
      </c>
      <c r="X2645" t="str">
        <f>IF($B2645="","",_xll.BDP($B2645,"INDUSTRY_GROUP"))</f>
        <v/>
      </c>
      <c r="Y2645" t="str">
        <f>IF($B2645="","",_xll.BDP($B2645,"INDUSTRY_SUBGROUP"))</f>
        <v/>
      </c>
      <c r="Z2645" t="str">
        <f>IF($B2645="","",_xll.BDP($B2645,"COUNTRY_FULL_NAME"))</f>
        <v/>
      </c>
    </row>
    <row r="2646" spans="15:26" x14ac:dyDescent="0.25">
      <c r="O2646"/>
      <c r="P2646"/>
      <c r="Q2646"/>
      <c r="W2646" t="str">
        <f>IF(B2646="","",_xll.BDP(B2646,"INDUSTRY_SECTOR"))</f>
        <v/>
      </c>
      <c r="X2646" t="str">
        <f>IF($B2646="","",_xll.BDP($B2646,"INDUSTRY_GROUP"))</f>
        <v/>
      </c>
      <c r="Y2646" t="str">
        <f>IF($B2646="","",_xll.BDP($B2646,"INDUSTRY_SUBGROUP"))</f>
        <v/>
      </c>
      <c r="Z2646" t="str">
        <f>IF($B2646="","",_xll.BDP($B2646,"COUNTRY_FULL_NAME"))</f>
        <v/>
      </c>
    </row>
    <row r="2647" spans="15:26" x14ac:dyDescent="0.25">
      <c r="O2647"/>
      <c r="P2647"/>
      <c r="Q2647"/>
      <c r="W2647" t="str">
        <f>IF(B2647="","",_xll.BDP(B2647,"INDUSTRY_SECTOR"))</f>
        <v/>
      </c>
      <c r="X2647" t="str">
        <f>IF($B2647="","",_xll.BDP($B2647,"INDUSTRY_GROUP"))</f>
        <v/>
      </c>
      <c r="Y2647" t="str">
        <f>IF($B2647="","",_xll.BDP($B2647,"INDUSTRY_SUBGROUP"))</f>
        <v/>
      </c>
      <c r="Z2647" t="str">
        <f>IF($B2647="","",_xll.BDP($B2647,"COUNTRY_FULL_NAME"))</f>
        <v/>
      </c>
    </row>
    <row r="2648" spans="15:26" x14ac:dyDescent="0.25">
      <c r="O2648"/>
      <c r="P2648"/>
      <c r="Q2648"/>
      <c r="W2648" t="str">
        <f>IF(B2648="","",_xll.BDP(B2648,"INDUSTRY_SECTOR"))</f>
        <v/>
      </c>
      <c r="X2648" t="str">
        <f>IF($B2648="","",_xll.BDP($B2648,"INDUSTRY_GROUP"))</f>
        <v/>
      </c>
      <c r="Y2648" t="str">
        <f>IF($B2648="","",_xll.BDP($B2648,"INDUSTRY_SUBGROUP"))</f>
        <v/>
      </c>
      <c r="Z2648" t="str">
        <f>IF($B2648="","",_xll.BDP($B2648,"COUNTRY_FULL_NAME"))</f>
        <v/>
      </c>
    </row>
    <row r="2649" spans="15:26" x14ac:dyDescent="0.25">
      <c r="O2649"/>
      <c r="P2649"/>
      <c r="Q2649"/>
      <c r="W2649" t="str">
        <f>IF(B2649="","",_xll.BDP(B2649,"INDUSTRY_SECTOR"))</f>
        <v/>
      </c>
      <c r="X2649" t="str">
        <f>IF($B2649="","",_xll.BDP($B2649,"INDUSTRY_GROUP"))</f>
        <v/>
      </c>
      <c r="Y2649" t="str">
        <f>IF($B2649="","",_xll.BDP($B2649,"INDUSTRY_SUBGROUP"))</f>
        <v/>
      </c>
      <c r="Z2649" t="str">
        <f>IF($B2649="","",_xll.BDP($B2649,"COUNTRY_FULL_NAME"))</f>
        <v/>
      </c>
    </row>
    <row r="2650" spans="15:26" x14ac:dyDescent="0.25">
      <c r="O2650"/>
      <c r="P2650"/>
      <c r="Q2650"/>
      <c r="W2650" t="str">
        <f>IF(B2650="","",_xll.BDP(B2650,"INDUSTRY_SECTOR"))</f>
        <v/>
      </c>
      <c r="X2650" t="str">
        <f>IF($B2650="","",_xll.BDP($B2650,"INDUSTRY_GROUP"))</f>
        <v/>
      </c>
      <c r="Y2650" t="str">
        <f>IF($B2650="","",_xll.BDP($B2650,"INDUSTRY_SUBGROUP"))</f>
        <v/>
      </c>
      <c r="Z2650" t="str">
        <f>IF($B2650="","",_xll.BDP($B2650,"COUNTRY_FULL_NAME"))</f>
        <v/>
      </c>
    </row>
    <row r="2651" spans="15:26" x14ac:dyDescent="0.25">
      <c r="O2651"/>
      <c r="P2651"/>
      <c r="Q2651"/>
      <c r="W2651" t="str">
        <f>IF(B2651="","",_xll.BDP(B2651,"INDUSTRY_SECTOR"))</f>
        <v/>
      </c>
      <c r="X2651" t="str">
        <f>IF($B2651="","",_xll.BDP($B2651,"INDUSTRY_GROUP"))</f>
        <v/>
      </c>
      <c r="Y2651" t="str">
        <f>IF($B2651="","",_xll.BDP($B2651,"INDUSTRY_SUBGROUP"))</f>
        <v/>
      </c>
      <c r="Z2651" t="str">
        <f>IF($B2651="","",_xll.BDP($B2651,"COUNTRY_FULL_NAME"))</f>
        <v/>
      </c>
    </row>
    <row r="2652" spans="15:26" x14ac:dyDescent="0.25">
      <c r="O2652"/>
      <c r="P2652"/>
      <c r="Q2652"/>
      <c r="W2652" t="str">
        <f>IF(B2652="","",_xll.BDP(B2652,"INDUSTRY_SECTOR"))</f>
        <v/>
      </c>
      <c r="X2652" t="str">
        <f>IF($B2652="","",_xll.BDP($B2652,"INDUSTRY_GROUP"))</f>
        <v/>
      </c>
      <c r="Y2652" t="str">
        <f>IF($B2652="","",_xll.BDP($B2652,"INDUSTRY_SUBGROUP"))</f>
        <v/>
      </c>
      <c r="Z2652" t="str">
        <f>IF($B2652="","",_xll.BDP($B2652,"COUNTRY_FULL_NAME"))</f>
        <v/>
      </c>
    </row>
    <row r="2653" spans="15:26" x14ac:dyDescent="0.25">
      <c r="O2653"/>
      <c r="P2653"/>
      <c r="Q2653"/>
      <c r="W2653" t="str">
        <f>IF(B2653="","",_xll.BDP(B2653,"INDUSTRY_SECTOR"))</f>
        <v/>
      </c>
      <c r="X2653" t="str">
        <f>IF($B2653="","",_xll.BDP($B2653,"INDUSTRY_GROUP"))</f>
        <v/>
      </c>
      <c r="Y2653" t="str">
        <f>IF($B2653="","",_xll.BDP($B2653,"INDUSTRY_SUBGROUP"))</f>
        <v/>
      </c>
      <c r="Z2653" t="str">
        <f>IF($B2653="","",_xll.BDP($B2653,"COUNTRY_FULL_NAME"))</f>
        <v/>
      </c>
    </row>
    <row r="2654" spans="15:26" x14ac:dyDescent="0.25">
      <c r="O2654"/>
      <c r="P2654"/>
      <c r="Q2654"/>
      <c r="W2654" t="str">
        <f>IF(B2654="","",_xll.BDP(B2654,"INDUSTRY_SECTOR"))</f>
        <v/>
      </c>
      <c r="X2654" t="str">
        <f>IF($B2654="","",_xll.BDP($B2654,"INDUSTRY_GROUP"))</f>
        <v/>
      </c>
      <c r="Y2654" t="str">
        <f>IF($B2654="","",_xll.BDP($B2654,"INDUSTRY_SUBGROUP"))</f>
        <v/>
      </c>
      <c r="Z2654" t="str">
        <f>IF($B2654="","",_xll.BDP($B2654,"COUNTRY_FULL_NAME"))</f>
        <v/>
      </c>
    </row>
    <row r="2655" spans="15:26" x14ac:dyDescent="0.25">
      <c r="O2655"/>
      <c r="P2655"/>
      <c r="Q2655"/>
      <c r="W2655" t="str">
        <f>IF(B2655="","",_xll.BDP(B2655,"INDUSTRY_SECTOR"))</f>
        <v/>
      </c>
      <c r="X2655" t="str">
        <f>IF($B2655="","",_xll.BDP($B2655,"INDUSTRY_GROUP"))</f>
        <v/>
      </c>
      <c r="Y2655" t="str">
        <f>IF($B2655="","",_xll.BDP($B2655,"INDUSTRY_SUBGROUP"))</f>
        <v/>
      </c>
      <c r="Z2655" t="str">
        <f>IF($B2655="","",_xll.BDP($B2655,"COUNTRY_FULL_NAME"))</f>
        <v/>
      </c>
    </row>
    <row r="2656" spans="15:26" x14ac:dyDescent="0.25">
      <c r="O2656"/>
      <c r="P2656"/>
      <c r="Q2656"/>
      <c r="W2656" t="str">
        <f>IF(B2656="","",_xll.BDP(B2656,"INDUSTRY_SECTOR"))</f>
        <v/>
      </c>
      <c r="X2656" t="str">
        <f>IF($B2656="","",_xll.BDP($B2656,"INDUSTRY_GROUP"))</f>
        <v/>
      </c>
      <c r="Y2656" t="str">
        <f>IF($B2656="","",_xll.BDP($B2656,"INDUSTRY_SUBGROUP"))</f>
        <v/>
      </c>
      <c r="Z2656" t="str">
        <f>IF($B2656="","",_xll.BDP($B2656,"COUNTRY_FULL_NAME"))</f>
        <v/>
      </c>
    </row>
    <row r="2657" spans="15:26" x14ac:dyDescent="0.25">
      <c r="O2657"/>
      <c r="P2657"/>
      <c r="Q2657"/>
      <c r="W2657" t="str">
        <f>IF(B2657="","",_xll.BDP(B2657,"INDUSTRY_SECTOR"))</f>
        <v/>
      </c>
      <c r="X2657" t="str">
        <f>IF($B2657="","",_xll.BDP($B2657,"INDUSTRY_GROUP"))</f>
        <v/>
      </c>
      <c r="Y2657" t="str">
        <f>IF($B2657="","",_xll.BDP($B2657,"INDUSTRY_SUBGROUP"))</f>
        <v/>
      </c>
      <c r="Z2657" t="str">
        <f>IF($B2657="","",_xll.BDP($B2657,"COUNTRY_FULL_NAME"))</f>
        <v/>
      </c>
    </row>
    <row r="2658" spans="15:26" x14ac:dyDescent="0.25">
      <c r="O2658"/>
      <c r="P2658"/>
      <c r="Q2658"/>
      <c r="W2658" t="str">
        <f>IF(B2658="","",_xll.BDP(B2658,"INDUSTRY_SECTOR"))</f>
        <v/>
      </c>
      <c r="X2658" t="str">
        <f>IF($B2658="","",_xll.BDP($B2658,"INDUSTRY_GROUP"))</f>
        <v/>
      </c>
      <c r="Y2658" t="str">
        <f>IF($B2658="","",_xll.BDP($B2658,"INDUSTRY_SUBGROUP"))</f>
        <v/>
      </c>
      <c r="Z2658" t="str">
        <f>IF($B2658="","",_xll.BDP($B2658,"COUNTRY_FULL_NAME"))</f>
        <v/>
      </c>
    </row>
    <row r="2659" spans="15:26" x14ac:dyDescent="0.25">
      <c r="O2659"/>
      <c r="P2659"/>
      <c r="Q2659"/>
      <c r="W2659" t="str">
        <f>IF(B2659="","",_xll.BDP(B2659,"INDUSTRY_SECTOR"))</f>
        <v/>
      </c>
      <c r="X2659" t="str">
        <f>IF($B2659="","",_xll.BDP($B2659,"INDUSTRY_GROUP"))</f>
        <v/>
      </c>
      <c r="Y2659" t="str">
        <f>IF($B2659="","",_xll.BDP($B2659,"INDUSTRY_SUBGROUP"))</f>
        <v/>
      </c>
      <c r="Z2659" t="str">
        <f>IF($B2659="","",_xll.BDP($B2659,"COUNTRY_FULL_NAME"))</f>
        <v/>
      </c>
    </row>
    <row r="2660" spans="15:26" x14ac:dyDescent="0.25">
      <c r="O2660"/>
      <c r="P2660"/>
      <c r="Q2660"/>
      <c r="W2660" t="str">
        <f>IF(B2660="","",_xll.BDP(B2660,"INDUSTRY_SECTOR"))</f>
        <v/>
      </c>
      <c r="X2660" t="str">
        <f>IF($B2660="","",_xll.BDP($B2660,"INDUSTRY_GROUP"))</f>
        <v/>
      </c>
      <c r="Y2660" t="str">
        <f>IF($B2660="","",_xll.BDP($B2660,"INDUSTRY_SUBGROUP"))</f>
        <v/>
      </c>
      <c r="Z2660" t="str">
        <f>IF($B2660="","",_xll.BDP($B2660,"COUNTRY_FULL_NAME"))</f>
        <v/>
      </c>
    </row>
    <row r="2661" spans="15:26" x14ac:dyDescent="0.25">
      <c r="O2661"/>
      <c r="P2661"/>
      <c r="Q2661"/>
      <c r="W2661" t="str">
        <f>IF(B2661="","",_xll.BDP(B2661,"INDUSTRY_SECTOR"))</f>
        <v/>
      </c>
      <c r="X2661" t="str">
        <f>IF($B2661="","",_xll.BDP($B2661,"INDUSTRY_GROUP"))</f>
        <v/>
      </c>
      <c r="Y2661" t="str">
        <f>IF($B2661="","",_xll.BDP($B2661,"INDUSTRY_SUBGROUP"))</f>
        <v/>
      </c>
      <c r="Z2661" t="str">
        <f>IF($B2661="","",_xll.BDP($B2661,"COUNTRY_FULL_NAME"))</f>
        <v/>
      </c>
    </row>
    <row r="2662" spans="15:26" x14ac:dyDescent="0.25">
      <c r="O2662"/>
      <c r="P2662"/>
      <c r="Q2662"/>
      <c r="W2662" t="str">
        <f>IF(B2662="","",_xll.BDP(B2662,"INDUSTRY_SECTOR"))</f>
        <v/>
      </c>
      <c r="X2662" t="str">
        <f>IF($B2662="","",_xll.BDP($B2662,"INDUSTRY_GROUP"))</f>
        <v/>
      </c>
      <c r="Y2662" t="str">
        <f>IF($B2662="","",_xll.BDP($B2662,"INDUSTRY_SUBGROUP"))</f>
        <v/>
      </c>
      <c r="Z2662" t="str">
        <f>IF($B2662="","",_xll.BDP($B2662,"COUNTRY_FULL_NAME"))</f>
        <v/>
      </c>
    </row>
    <row r="2663" spans="15:26" x14ac:dyDescent="0.25">
      <c r="O2663"/>
      <c r="P2663"/>
      <c r="Q2663"/>
      <c r="W2663" t="str">
        <f>IF(B2663="","",_xll.BDP(B2663,"INDUSTRY_SECTOR"))</f>
        <v/>
      </c>
      <c r="X2663" t="str">
        <f>IF($B2663="","",_xll.BDP($B2663,"INDUSTRY_GROUP"))</f>
        <v/>
      </c>
      <c r="Y2663" t="str">
        <f>IF($B2663="","",_xll.BDP($B2663,"INDUSTRY_SUBGROUP"))</f>
        <v/>
      </c>
      <c r="Z2663" t="str">
        <f>IF($B2663="","",_xll.BDP($B2663,"COUNTRY_FULL_NAME"))</f>
        <v/>
      </c>
    </row>
    <row r="2664" spans="15:26" x14ac:dyDescent="0.25">
      <c r="O2664"/>
      <c r="P2664"/>
      <c r="Q2664"/>
      <c r="W2664" t="str">
        <f>IF(B2664="","",_xll.BDP(B2664,"INDUSTRY_SECTOR"))</f>
        <v/>
      </c>
      <c r="X2664" t="str">
        <f>IF($B2664="","",_xll.BDP($B2664,"INDUSTRY_GROUP"))</f>
        <v/>
      </c>
      <c r="Y2664" t="str">
        <f>IF($B2664="","",_xll.BDP($B2664,"INDUSTRY_SUBGROUP"))</f>
        <v/>
      </c>
      <c r="Z2664" t="str">
        <f>IF($B2664="","",_xll.BDP($B2664,"COUNTRY_FULL_NAME"))</f>
        <v/>
      </c>
    </row>
    <row r="2665" spans="15:26" x14ac:dyDescent="0.25">
      <c r="O2665"/>
      <c r="P2665"/>
      <c r="Q2665"/>
      <c r="W2665" t="str">
        <f>IF(B2665="","",_xll.BDP(B2665,"INDUSTRY_SECTOR"))</f>
        <v/>
      </c>
      <c r="X2665" t="str">
        <f>IF($B2665="","",_xll.BDP($B2665,"INDUSTRY_GROUP"))</f>
        <v/>
      </c>
      <c r="Y2665" t="str">
        <f>IF($B2665="","",_xll.BDP($B2665,"INDUSTRY_SUBGROUP"))</f>
        <v/>
      </c>
      <c r="Z2665" t="str">
        <f>IF($B2665="","",_xll.BDP($B2665,"COUNTRY_FULL_NAME"))</f>
        <v/>
      </c>
    </row>
    <row r="2666" spans="15:26" x14ac:dyDescent="0.25">
      <c r="O2666"/>
      <c r="P2666"/>
      <c r="Q2666"/>
      <c r="W2666" t="str">
        <f>IF(B2666="","",_xll.BDP(B2666,"INDUSTRY_SECTOR"))</f>
        <v/>
      </c>
      <c r="X2666" t="str">
        <f>IF($B2666="","",_xll.BDP($B2666,"INDUSTRY_GROUP"))</f>
        <v/>
      </c>
      <c r="Y2666" t="str">
        <f>IF($B2666="","",_xll.BDP($B2666,"INDUSTRY_SUBGROUP"))</f>
        <v/>
      </c>
      <c r="Z2666" t="str">
        <f>IF($B2666="","",_xll.BDP($B2666,"COUNTRY_FULL_NAME"))</f>
        <v/>
      </c>
    </row>
    <row r="2667" spans="15:26" x14ac:dyDescent="0.25">
      <c r="O2667"/>
      <c r="P2667"/>
      <c r="Q2667"/>
      <c r="W2667" t="str">
        <f>IF(B2667="","",_xll.BDP(B2667,"INDUSTRY_SECTOR"))</f>
        <v/>
      </c>
      <c r="X2667" t="str">
        <f>IF($B2667="","",_xll.BDP($B2667,"INDUSTRY_GROUP"))</f>
        <v/>
      </c>
      <c r="Y2667" t="str">
        <f>IF($B2667="","",_xll.BDP($B2667,"INDUSTRY_SUBGROUP"))</f>
        <v/>
      </c>
      <c r="Z2667" t="str">
        <f>IF($B2667="","",_xll.BDP($B2667,"COUNTRY_FULL_NAME"))</f>
        <v/>
      </c>
    </row>
    <row r="2668" spans="15:26" x14ac:dyDescent="0.25">
      <c r="O2668"/>
      <c r="P2668"/>
      <c r="Q2668"/>
      <c r="W2668" t="str">
        <f>IF(B2668="","",_xll.BDP(B2668,"INDUSTRY_SECTOR"))</f>
        <v/>
      </c>
      <c r="X2668" t="str">
        <f>IF($B2668="","",_xll.BDP($B2668,"INDUSTRY_GROUP"))</f>
        <v/>
      </c>
      <c r="Y2668" t="str">
        <f>IF($B2668="","",_xll.BDP($B2668,"INDUSTRY_SUBGROUP"))</f>
        <v/>
      </c>
      <c r="Z2668" t="str">
        <f>IF($B2668="","",_xll.BDP($B2668,"COUNTRY_FULL_NAME"))</f>
        <v/>
      </c>
    </row>
    <row r="2669" spans="15:26" x14ac:dyDescent="0.25">
      <c r="O2669"/>
      <c r="P2669"/>
      <c r="Q2669"/>
      <c r="W2669" t="str">
        <f>IF(B2669="","",_xll.BDP(B2669,"INDUSTRY_SECTOR"))</f>
        <v/>
      </c>
      <c r="X2669" t="str">
        <f>IF($B2669="","",_xll.BDP($B2669,"INDUSTRY_GROUP"))</f>
        <v/>
      </c>
      <c r="Y2669" t="str">
        <f>IF($B2669="","",_xll.BDP($B2669,"INDUSTRY_SUBGROUP"))</f>
        <v/>
      </c>
      <c r="Z2669" t="str">
        <f>IF($B2669="","",_xll.BDP($B2669,"COUNTRY_FULL_NAME"))</f>
        <v/>
      </c>
    </row>
    <row r="2670" spans="15:26" x14ac:dyDescent="0.25">
      <c r="O2670"/>
      <c r="P2670"/>
      <c r="Q2670"/>
      <c r="W2670" t="str">
        <f>IF(B2670="","",_xll.BDP(B2670,"INDUSTRY_SECTOR"))</f>
        <v/>
      </c>
      <c r="X2670" t="str">
        <f>IF($B2670="","",_xll.BDP($B2670,"INDUSTRY_GROUP"))</f>
        <v/>
      </c>
      <c r="Y2670" t="str">
        <f>IF($B2670="","",_xll.BDP($B2670,"INDUSTRY_SUBGROUP"))</f>
        <v/>
      </c>
      <c r="Z2670" t="str">
        <f>IF($B2670="","",_xll.BDP($B2670,"COUNTRY_FULL_NAME"))</f>
        <v/>
      </c>
    </row>
    <row r="2671" spans="15:26" x14ac:dyDescent="0.25">
      <c r="O2671"/>
      <c r="P2671"/>
      <c r="Q2671"/>
      <c r="W2671" t="str">
        <f>IF(B2671="","",_xll.BDP(B2671,"INDUSTRY_SECTOR"))</f>
        <v/>
      </c>
      <c r="X2671" t="str">
        <f>IF($B2671="","",_xll.BDP($B2671,"INDUSTRY_GROUP"))</f>
        <v/>
      </c>
      <c r="Y2671" t="str">
        <f>IF($B2671="","",_xll.BDP($B2671,"INDUSTRY_SUBGROUP"))</f>
        <v/>
      </c>
      <c r="Z2671" t="str">
        <f>IF($B2671="","",_xll.BDP($B2671,"COUNTRY_FULL_NAME"))</f>
        <v/>
      </c>
    </row>
    <row r="2672" spans="15:26" x14ac:dyDescent="0.25">
      <c r="O2672"/>
      <c r="P2672"/>
      <c r="Q2672"/>
      <c r="W2672" t="str">
        <f>IF(B2672="","",_xll.BDP(B2672,"INDUSTRY_SECTOR"))</f>
        <v/>
      </c>
      <c r="X2672" t="str">
        <f>IF($B2672="","",_xll.BDP($B2672,"INDUSTRY_GROUP"))</f>
        <v/>
      </c>
      <c r="Y2672" t="str">
        <f>IF($B2672="","",_xll.BDP($B2672,"INDUSTRY_SUBGROUP"))</f>
        <v/>
      </c>
      <c r="Z2672" t="str">
        <f>IF($B2672="","",_xll.BDP($B2672,"COUNTRY_FULL_NAME"))</f>
        <v/>
      </c>
    </row>
    <row r="2673" spans="15:26" x14ac:dyDescent="0.25">
      <c r="O2673"/>
      <c r="P2673"/>
      <c r="Q2673"/>
      <c r="W2673" t="str">
        <f>IF(B2673="","",_xll.BDP(B2673,"INDUSTRY_SECTOR"))</f>
        <v/>
      </c>
      <c r="X2673" t="str">
        <f>IF($B2673="","",_xll.BDP($B2673,"INDUSTRY_GROUP"))</f>
        <v/>
      </c>
      <c r="Y2673" t="str">
        <f>IF($B2673="","",_xll.BDP($B2673,"INDUSTRY_SUBGROUP"))</f>
        <v/>
      </c>
      <c r="Z2673" t="str">
        <f>IF($B2673="","",_xll.BDP($B2673,"COUNTRY_FULL_NAME"))</f>
        <v/>
      </c>
    </row>
    <row r="2674" spans="15:26" x14ac:dyDescent="0.25">
      <c r="O2674"/>
      <c r="P2674"/>
      <c r="Q2674"/>
      <c r="W2674" t="str">
        <f>IF(B2674="","",_xll.BDP(B2674,"INDUSTRY_SECTOR"))</f>
        <v/>
      </c>
      <c r="X2674" t="str">
        <f>IF($B2674="","",_xll.BDP($B2674,"INDUSTRY_GROUP"))</f>
        <v/>
      </c>
      <c r="Y2674" t="str">
        <f>IF($B2674="","",_xll.BDP($B2674,"INDUSTRY_SUBGROUP"))</f>
        <v/>
      </c>
      <c r="Z2674" t="str">
        <f>IF($B2674="","",_xll.BDP($B2674,"COUNTRY_FULL_NAME"))</f>
        <v/>
      </c>
    </row>
    <row r="2675" spans="15:26" x14ac:dyDescent="0.25">
      <c r="O2675"/>
      <c r="P2675"/>
      <c r="Q2675"/>
      <c r="W2675" t="str">
        <f>IF(B2675="","",_xll.BDP(B2675,"INDUSTRY_SECTOR"))</f>
        <v/>
      </c>
      <c r="X2675" t="str">
        <f>IF($B2675="","",_xll.BDP($B2675,"INDUSTRY_GROUP"))</f>
        <v/>
      </c>
      <c r="Y2675" t="str">
        <f>IF($B2675="","",_xll.BDP($B2675,"INDUSTRY_SUBGROUP"))</f>
        <v/>
      </c>
      <c r="Z2675" t="str">
        <f>IF($B2675="","",_xll.BDP($B2675,"COUNTRY_FULL_NAME"))</f>
        <v/>
      </c>
    </row>
    <row r="2676" spans="15:26" x14ac:dyDescent="0.25">
      <c r="O2676"/>
      <c r="P2676"/>
      <c r="Q2676"/>
      <c r="W2676" t="str">
        <f>IF(B2676="","",_xll.BDP(B2676,"INDUSTRY_SECTOR"))</f>
        <v/>
      </c>
      <c r="X2676" t="str">
        <f>IF($B2676="","",_xll.BDP($B2676,"INDUSTRY_GROUP"))</f>
        <v/>
      </c>
      <c r="Y2676" t="str">
        <f>IF($B2676="","",_xll.BDP($B2676,"INDUSTRY_SUBGROUP"))</f>
        <v/>
      </c>
      <c r="Z2676" t="str">
        <f>IF($B2676="","",_xll.BDP($B2676,"COUNTRY_FULL_NAME"))</f>
        <v/>
      </c>
    </row>
    <row r="2677" spans="15:26" x14ac:dyDescent="0.25">
      <c r="O2677"/>
      <c r="P2677"/>
      <c r="Q2677"/>
      <c r="W2677" t="str">
        <f>IF(B2677="","",_xll.BDP(B2677,"INDUSTRY_SECTOR"))</f>
        <v/>
      </c>
      <c r="X2677" t="str">
        <f>IF($B2677="","",_xll.BDP($B2677,"INDUSTRY_GROUP"))</f>
        <v/>
      </c>
      <c r="Y2677" t="str">
        <f>IF($B2677="","",_xll.BDP($B2677,"INDUSTRY_SUBGROUP"))</f>
        <v/>
      </c>
      <c r="Z2677" t="str">
        <f>IF($B2677="","",_xll.BDP($B2677,"COUNTRY_FULL_NAME"))</f>
        <v/>
      </c>
    </row>
    <row r="2678" spans="15:26" x14ac:dyDescent="0.25">
      <c r="O2678"/>
      <c r="P2678"/>
      <c r="Q2678"/>
      <c r="W2678" t="str">
        <f>IF(B2678="","",_xll.BDP(B2678,"INDUSTRY_SECTOR"))</f>
        <v/>
      </c>
      <c r="X2678" t="str">
        <f>IF($B2678="","",_xll.BDP($B2678,"INDUSTRY_GROUP"))</f>
        <v/>
      </c>
      <c r="Y2678" t="str">
        <f>IF($B2678="","",_xll.BDP($B2678,"INDUSTRY_SUBGROUP"))</f>
        <v/>
      </c>
      <c r="Z2678" t="str">
        <f>IF($B2678="","",_xll.BDP($B2678,"COUNTRY_FULL_NAME"))</f>
        <v/>
      </c>
    </row>
    <row r="2679" spans="15:26" x14ac:dyDescent="0.25">
      <c r="O2679"/>
      <c r="P2679"/>
      <c r="Q2679"/>
      <c r="W2679" t="str">
        <f>IF(B2679="","",_xll.BDP(B2679,"INDUSTRY_SECTOR"))</f>
        <v/>
      </c>
      <c r="X2679" t="str">
        <f>IF($B2679="","",_xll.BDP($B2679,"INDUSTRY_GROUP"))</f>
        <v/>
      </c>
      <c r="Y2679" t="str">
        <f>IF($B2679="","",_xll.BDP($B2679,"INDUSTRY_SUBGROUP"))</f>
        <v/>
      </c>
      <c r="Z2679" t="str">
        <f>IF($B2679="","",_xll.BDP($B2679,"COUNTRY_FULL_NAME"))</f>
        <v/>
      </c>
    </row>
    <row r="2680" spans="15:26" x14ac:dyDescent="0.25">
      <c r="O2680"/>
      <c r="P2680"/>
      <c r="Q2680"/>
      <c r="W2680" t="str">
        <f>IF(B2680="","",_xll.BDP(B2680,"INDUSTRY_SECTOR"))</f>
        <v/>
      </c>
      <c r="X2680" t="str">
        <f>IF($B2680="","",_xll.BDP($B2680,"INDUSTRY_GROUP"))</f>
        <v/>
      </c>
      <c r="Y2680" t="str">
        <f>IF($B2680="","",_xll.BDP($B2680,"INDUSTRY_SUBGROUP"))</f>
        <v/>
      </c>
      <c r="Z2680" t="str">
        <f>IF($B2680="","",_xll.BDP($B2680,"COUNTRY_FULL_NAME"))</f>
        <v/>
      </c>
    </row>
    <row r="2681" spans="15:26" x14ac:dyDescent="0.25">
      <c r="O2681"/>
      <c r="P2681"/>
      <c r="Q2681"/>
      <c r="W2681" t="str">
        <f>IF(B2681="","",_xll.BDP(B2681,"INDUSTRY_SECTOR"))</f>
        <v/>
      </c>
      <c r="X2681" t="str">
        <f>IF($B2681="","",_xll.BDP($B2681,"INDUSTRY_GROUP"))</f>
        <v/>
      </c>
      <c r="Y2681" t="str">
        <f>IF($B2681="","",_xll.BDP($B2681,"INDUSTRY_SUBGROUP"))</f>
        <v/>
      </c>
      <c r="Z2681" t="str">
        <f>IF($B2681="","",_xll.BDP($B2681,"COUNTRY_FULL_NAME"))</f>
        <v/>
      </c>
    </row>
    <row r="2682" spans="15:26" x14ac:dyDescent="0.25">
      <c r="O2682"/>
      <c r="P2682"/>
      <c r="Q2682"/>
      <c r="W2682" t="str">
        <f>IF(B2682="","",_xll.BDP(B2682,"INDUSTRY_SECTOR"))</f>
        <v/>
      </c>
      <c r="X2682" t="str">
        <f>IF($B2682="","",_xll.BDP($B2682,"INDUSTRY_GROUP"))</f>
        <v/>
      </c>
      <c r="Y2682" t="str">
        <f>IF($B2682="","",_xll.BDP($B2682,"INDUSTRY_SUBGROUP"))</f>
        <v/>
      </c>
      <c r="Z2682" t="str">
        <f>IF($B2682="","",_xll.BDP($B2682,"COUNTRY_FULL_NAME"))</f>
        <v/>
      </c>
    </row>
    <row r="2683" spans="15:26" x14ac:dyDescent="0.25">
      <c r="O2683"/>
      <c r="P2683"/>
      <c r="Q2683"/>
      <c r="W2683" t="str">
        <f>IF(B2683="","",_xll.BDP(B2683,"INDUSTRY_SECTOR"))</f>
        <v/>
      </c>
      <c r="X2683" t="str">
        <f>IF($B2683="","",_xll.BDP($B2683,"INDUSTRY_GROUP"))</f>
        <v/>
      </c>
      <c r="Y2683" t="str">
        <f>IF($B2683="","",_xll.BDP($B2683,"INDUSTRY_SUBGROUP"))</f>
        <v/>
      </c>
      <c r="Z2683" t="str">
        <f>IF($B2683="","",_xll.BDP($B2683,"COUNTRY_FULL_NAME"))</f>
        <v/>
      </c>
    </row>
    <row r="2684" spans="15:26" x14ac:dyDescent="0.25">
      <c r="O2684"/>
      <c r="P2684"/>
      <c r="Q2684"/>
      <c r="W2684" t="str">
        <f>IF(B2684="","",_xll.BDP(B2684,"INDUSTRY_SECTOR"))</f>
        <v/>
      </c>
      <c r="X2684" t="str">
        <f>IF($B2684="","",_xll.BDP($B2684,"INDUSTRY_GROUP"))</f>
        <v/>
      </c>
      <c r="Y2684" t="str">
        <f>IF($B2684="","",_xll.BDP($B2684,"INDUSTRY_SUBGROUP"))</f>
        <v/>
      </c>
      <c r="Z2684" t="str">
        <f>IF($B2684="","",_xll.BDP($B2684,"COUNTRY_FULL_NAME"))</f>
        <v/>
      </c>
    </row>
    <row r="2685" spans="15:26" x14ac:dyDescent="0.25">
      <c r="O2685"/>
      <c r="P2685"/>
      <c r="Q2685"/>
      <c r="W2685" t="str">
        <f>IF(B2685="","",_xll.BDP(B2685,"INDUSTRY_SECTOR"))</f>
        <v/>
      </c>
      <c r="X2685" t="str">
        <f>IF($B2685="","",_xll.BDP($B2685,"INDUSTRY_GROUP"))</f>
        <v/>
      </c>
      <c r="Y2685" t="str">
        <f>IF($B2685="","",_xll.BDP($B2685,"INDUSTRY_SUBGROUP"))</f>
        <v/>
      </c>
      <c r="Z2685" t="str">
        <f>IF($B2685="","",_xll.BDP($B2685,"COUNTRY_FULL_NAME"))</f>
        <v/>
      </c>
    </row>
    <row r="2686" spans="15:26" x14ac:dyDescent="0.25">
      <c r="O2686"/>
      <c r="P2686"/>
      <c r="Q2686"/>
      <c r="W2686" t="str">
        <f>IF(B2686="","",_xll.BDP(B2686,"INDUSTRY_SECTOR"))</f>
        <v/>
      </c>
      <c r="X2686" t="str">
        <f>IF($B2686="","",_xll.BDP($B2686,"INDUSTRY_GROUP"))</f>
        <v/>
      </c>
      <c r="Y2686" t="str">
        <f>IF($B2686="","",_xll.BDP($B2686,"INDUSTRY_SUBGROUP"))</f>
        <v/>
      </c>
      <c r="Z2686" t="str">
        <f>IF($B2686="","",_xll.BDP($B2686,"COUNTRY_FULL_NAME"))</f>
        <v/>
      </c>
    </row>
    <row r="2687" spans="15:26" x14ac:dyDescent="0.25">
      <c r="O2687"/>
      <c r="P2687"/>
      <c r="Q2687"/>
      <c r="W2687" t="str">
        <f>IF(B2687="","",_xll.BDP(B2687,"INDUSTRY_SECTOR"))</f>
        <v/>
      </c>
      <c r="X2687" t="str">
        <f>IF($B2687="","",_xll.BDP($B2687,"INDUSTRY_GROUP"))</f>
        <v/>
      </c>
      <c r="Y2687" t="str">
        <f>IF($B2687="","",_xll.BDP($B2687,"INDUSTRY_SUBGROUP"))</f>
        <v/>
      </c>
      <c r="Z2687" t="str">
        <f>IF($B2687="","",_xll.BDP($B2687,"COUNTRY_FULL_NAME"))</f>
        <v/>
      </c>
    </row>
    <row r="2688" spans="15:26" x14ac:dyDescent="0.25">
      <c r="O2688"/>
      <c r="P2688"/>
      <c r="Q2688"/>
      <c r="W2688" t="str">
        <f>IF(B2688="","",_xll.BDP(B2688,"INDUSTRY_SECTOR"))</f>
        <v/>
      </c>
      <c r="X2688" t="str">
        <f>IF($B2688="","",_xll.BDP($B2688,"INDUSTRY_GROUP"))</f>
        <v/>
      </c>
      <c r="Y2688" t="str">
        <f>IF($B2688="","",_xll.BDP($B2688,"INDUSTRY_SUBGROUP"))</f>
        <v/>
      </c>
      <c r="Z2688" t="str">
        <f>IF($B2688="","",_xll.BDP($B2688,"COUNTRY_FULL_NAME"))</f>
        <v/>
      </c>
    </row>
    <row r="2689" spans="15:26" x14ac:dyDescent="0.25">
      <c r="O2689"/>
      <c r="P2689"/>
      <c r="Q2689"/>
      <c r="W2689" t="str">
        <f>IF(B2689="","",_xll.BDP(B2689,"INDUSTRY_SECTOR"))</f>
        <v/>
      </c>
      <c r="X2689" t="str">
        <f>IF($B2689="","",_xll.BDP($B2689,"INDUSTRY_GROUP"))</f>
        <v/>
      </c>
      <c r="Y2689" t="str">
        <f>IF($B2689="","",_xll.BDP($B2689,"INDUSTRY_SUBGROUP"))</f>
        <v/>
      </c>
      <c r="Z2689" t="str">
        <f>IF($B2689="","",_xll.BDP($B2689,"COUNTRY_FULL_NAME"))</f>
        <v/>
      </c>
    </row>
    <row r="2690" spans="15:26" x14ac:dyDescent="0.25">
      <c r="O2690"/>
      <c r="P2690"/>
      <c r="Q2690"/>
      <c r="W2690" t="str">
        <f>IF(B2690="","",_xll.BDP(B2690,"INDUSTRY_SECTOR"))</f>
        <v/>
      </c>
      <c r="X2690" t="str">
        <f>IF($B2690="","",_xll.BDP($B2690,"INDUSTRY_GROUP"))</f>
        <v/>
      </c>
      <c r="Y2690" t="str">
        <f>IF($B2690="","",_xll.BDP($B2690,"INDUSTRY_SUBGROUP"))</f>
        <v/>
      </c>
      <c r="Z2690" t="str">
        <f>IF($B2690="","",_xll.BDP($B2690,"COUNTRY_FULL_NAME"))</f>
        <v/>
      </c>
    </row>
    <row r="2691" spans="15:26" x14ac:dyDescent="0.25">
      <c r="O2691"/>
      <c r="P2691"/>
      <c r="Q2691"/>
      <c r="W2691" t="str">
        <f>IF(B2691="","",_xll.BDP(B2691,"INDUSTRY_SECTOR"))</f>
        <v/>
      </c>
      <c r="X2691" t="str">
        <f>IF($B2691="","",_xll.BDP($B2691,"INDUSTRY_GROUP"))</f>
        <v/>
      </c>
      <c r="Y2691" t="str">
        <f>IF($B2691="","",_xll.BDP($B2691,"INDUSTRY_SUBGROUP"))</f>
        <v/>
      </c>
      <c r="Z2691" t="str">
        <f>IF($B2691="","",_xll.BDP($B2691,"COUNTRY_FULL_NAME"))</f>
        <v/>
      </c>
    </row>
    <row r="2692" spans="15:26" x14ac:dyDescent="0.25">
      <c r="O2692"/>
      <c r="P2692"/>
      <c r="Q2692"/>
      <c r="W2692" t="str">
        <f>IF(B2692="","",_xll.BDP(B2692,"INDUSTRY_SECTOR"))</f>
        <v/>
      </c>
      <c r="X2692" t="str">
        <f>IF($B2692="","",_xll.BDP($B2692,"INDUSTRY_GROUP"))</f>
        <v/>
      </c>
      <c r="Y2692" t="str">
        <f>IF($B2692="","",_xll.BDP($B2692,"INDUSTRY_SUBGROUP"))</f>
        <v/>
      </c>
      <c r="Z2692" t="str">
        <f>IF($B2692="","",_xll.BDP($B2692,"COUNTRY_FULL_NAME"))</f>
        <v/>
      </c>
    </row>
    <row r="2693" spans="15:26" x14ac:dyDescent="0.25">
      <c r="O2693"/>
      <c r="P2693"/>
      <c r="Q2693"/>
      <c r="W2693" t="str">
        <f>IF(B2693="","",_xll.BDP(B2693,"INDUSTRY_SECTOR"))</f>
        <v/>
      </c>
      <c r="X2693" t="str">
        <f>IF($B2693="","",_xll.BDP($B2693,"INDUSTRY_GROUP"))</f>
        <v/>
      </c>
      <c r="Y2693" t="str">
        <f>IF($B2693="","",_xll.BDP($B2693,"INDUSTRY_SUBGROUP"))</f>
        <v/>
      </c>
      <c r="Z2693" t="str">
        <f>IF($B2693="","",_xll.BDP($B2693,"COUNTRY_FULL_NAME"))</f>
        <v/>
      </c>
    </row>
    <row r="2694" spans="15:26" x14ac:dyDescent="0.25">
      <c r="O2694"/>
      <c r="P2694"/>
      <c r="Q2694"/>
      <c r="W2694" t="str">
        <f>IF(B2694="","",_xll.BDP(B2694,"INDUSTRY_SECTOR"))</f>
        <v/>
      </c>
      <c r="X2694" t="str">
        <f>IF($B2694="","",_xll.BDP($B2694,"INDUSTRY_GROUP"))</f>
        <v/>
      </c>
      <c r="Y2694" t="str">
        <f>IF($B2694="","",_xll.BDP($B2694,"INDUSTRY_SUBGROUP"))</f>
        <v/>
      </c>
      <c r="Z2694" t="str">
        <f>IF($B2694="","",_xll.BDP($B2694,"COUNTRY_FULL_NAME"))</f>
        <v/>
      </c>
    </row>
    <row r="2695" spans="15:26" x14ac:dyDescent="0.25">
      <c r="O2695"/>
      <c r="P2695"/>
      <c r="Q2695"/>
      <c r="W2695" t="str">
        <f>IF(B2695="","",_xll.BDP(B2695,"INDUSTRY_SECTOR"))</f>
        <v/>
      </c>
      <c r="X2695" t="str">
        <f>IF($B2695="","",_xll.BDP($B2695,"INDUSTRY_GROUP"))</f>
        <v/>
      </c>
      <c r="Y2695" t="str">
        <f>IF($B2695="","",_xll.BDP($B2695,"INDUSTRY_SUBGROUP"))</f>
        <v/>
      </c>
      <c r="Z2695" t="str">
        <f>IF($B2695="","",_xll.BDP($B2695,"COUNTRY_FULL_NAME"))</f>
        <v/>
      </c>
    </row>
    <row r="2696" spans="15:26" x14ac:dyDescent="0.25">
      <c r="O2696"/>
      <c r="P2696"/>
      <c r="Q2696"/>
      <c r="W2696" t="str">
        <f>IF(B2696="","",_xll.BDP(B2696,"INDUSTRY_SECTOR"))</f>
        <v/>
      </c>
      <c r="X2696" t="str">
        <f>IF($B2696="","",_xll.BDP($B2696,"INDUSTRY_GROUP"))</f>
        <v/>
      </c>
      <c r="Y2696" t="str">
        <f>IF($B2696="","",_xll.BDP($B2696,"INDUSTRY_SUBGROUP"))</f>
        <v/>
      </c>
      <c r="Z2696" t="str">
        <f>IF($B2696="","",_xll.BDP($B2696,"COUNTRY_FULL_NAME"))</f>
        <v/>
      </c>
    </row>
    <row r="2697" spans="15:26" x14ac:dyDescent="0.25">
      <c r="O2697"/>
      <c r="P2697"/>
      <c r="Q2697"/>
      <c r="W2697" t="str">
        <f>IF(B2697="","",_xll.BDP(B2697,"INDUSTRY_SECTOR"))</f>
        <v/>
      </c>
      <c r="X2697" t="str">
        <f>IF($B2697="","",_xll.BDP($B2697,"INDUSTRY_GROUP"))</f>
        <v/>
      </c>
      <c r="Y2697" t="str">
        <f>IF($B2697="","",_xll.BDP($B2697,"INDUSTRY_SUBGROUP"))</f>
        <v/>
      </c>
      <c r="Z2697" t="str">
        <f>IF($B2697="","",_xll.BDP($B2697,"COUNTRY_FULL_NAME"))</f>
        <v/>
      </c>
    </row>
    <row r="2698" spans="15:26" x14ac:dyDescent="0.25">
      <c r="O2698"/>
      <c r="P2698"/>
      <c r="Q2698"/>
      <c r="W2698" t="str">
        <f>IF(B2698="","",_xll.BDP(B2698,"INDUSTRY_SECTOR"))</f>
        <v/>
      </c>
      <c r="X2698" t="str">
        <f>IF($B2698="","",_xll.BDP($B2698,"INDUSTRY_GROUP"))</f>
        <v/>
      </c>
      <c r="Y2698" t="str">
        <f>IF($B2698="","",_xll.BDP($B2698,"INDUSTRY_SUBGROUP"))</f>
        <v/>
      </c>
      <c r="Z2698" t="str">
        <f>IF($B2698="","",_xll.BDP($B2698,"COUNTRY_FULL_NAME"))</f>
        <v/>
      </c>
    </row>
    <row r="2699" spans="15:26" x14ac:dyDescent="0.25">
      <c r="O2699"/>
      <c r="P2699"/>
      <c r="Q2699"/>
      <c r="W2699" t="str">
        <f>IF(B2699="","",_xll.BDP(B2699,"INDUSTRY_SECTOR"))</f>
        <v/>
      </c>
      <c r="X2699" t="str">
        <f>IF($B2699="","",_xll.BDP($B2699,"INDUSTRY_GROUP"))</f>
        <v/>
      </c>
      <c r="Y2699" t="str">
        <f>IF($B2699="","",_xll.BDP($B2699,"INDUSTRY_SUBGROUP"))</f>
        <v/>
      </c>
      <c r="Z2699" t="str">
        <f>IF($B2699="","",_xll.BDP($B2699,"COUNTRY_FULL_NAME"))</f>
        <v/>
      </c>
    </row>
    <row r="2700" spans="15:26" x14ac:dyDescent="0.25">
      <c r="O2700"/>
      <c r="P2700"/>
      <c r="Q2700"/>
      <c r="W2700" t="str">
        <f>IF(B2700="","",_xll.BDP(B2700,"INDUSTRY_SECTOR"))</f>
        <v/>
      </c>
      <c r="X2700" t="str">
        <f>IF($B2700="","",_xll.BDP($B2700,"INDUSTRY_GROUP"))</f>
        <v/>
      </c>
      <c r="Y2700" t="str">
        <f>IF($B2700="","",_xll.BDP($B2700,"INDUSTRY_SUBGROUP"))</f>
        <v/>
      </c>
      <c r="Z2700" t="str">
        <f>IF($B2700="","",_xll.BDP($B2700,"COUNTRY_FULL_NAME"))</f>
        <v/>
      </c>
    </row>
    <row r="2701" spans="15:26" x14ac:dyDescent="0.25">
      <c r="O2701"/>
      <c r="P2701"/>
      <c r="Q2701"/>
      <c r="W2701" t="str">
        <f>IF(B2701="","",_xll.BDP(B2701,"INDUSTRY_SECTOR"))</f>
        <v/>
      </c>
      <c r="X2701" t="str">
        <f>IF($B2701="","",_xll.BDP($B2701,"INDUSTRY_GROUP"))</f>
        <v/>
      </c>
      <c r="Y2701" t="str">
        <f>IF($B2701="","",_xll.BDP($B2701,"INDUSTRY_SUBGROUP"))</f>
        <v/>
      </c>
      <c r="Z2701" t="str">
        <f>IF($B2701="","",_xll.BDP($B2701,"COUNTRY_FULL_NAME"))</f>
        <v/>
      </c>
    </row>
    <row r="2702" spans="15:26" x14ac:dyDescent="0.25">
      <c r="O2702"/>
      <c r="P2702"/>
      <c r="Q2702"/>
      <c r="W2702" t="str">
        <f>IF(B2702="","",_xll.BDP(B2702,"INDUSTRY_SECTOR"))</f>
        <v/>
      </c>
      <c r="X2702" t="str">
        <f>IF($B2702="","",_xll.BDP($B2702,"INDUSTRY_GROUP"))</f>
        <v/>
      </c>
      <c r="Y2702" t="str">
        <f>IF($B2702="","",_xll.BDP($B2702,"INDUSTRY_SUBGROUP"))</f>
        <v/>
      </c>
      <c r="Z2702" t="str">
        <f>IF($B2702="","",_xll.BDP($B2702,"COUNTRY_FULL_NAME"))</f>
        <v/>
      </c>
    </row>
    <row r="2703" spans="15:26" x14ac:dyDescent="0.25">
      <c r="O2703"/>
      <c r="P2703"/>
      <c r="Q2703"/>
      <c r="W2703" t="str">
        <f>IF(B2703="","",_xll.BDP(B2703,"INDUSTRY_SECTOR"))</f>
        <v/>
      </c>
      <c r="X2703" t="str">
        <f>IF($B2703="","",_xll.BDP($B2703,"INDUSTRY_GROUP"))</f>
        <v/>
      </c>
      <c r="Y2703" t="str">
        <f>IF($B2703="","",_xll.BDP($B2703,"INDUSTRY_SUBGROUP"))</f>
        <v/>
      </c>
      <c r="Z2703" t="str">
        <f>IF($B2703="","",_xll.BDP($B2703,"COUNTRY_FULL_NAME"))</f>
        <v/>
      </c>
    </row>
    <row r="2704" spans="15:26" x14ac:dyDescent="0.25">
      <c r="O2704"/>
      <c r="P2704"/>
      <c r="Q2704"/>
      <c r="W2704" t="str">
        <f>IF(B2704="","",_xll.BDP(B2704,"INDUSTRY_SECTOR"))</f>
        <v/>
      </c>
      <c r="X2704" t="str">
        <f>IF($B2704="","",_xll.BDP($B2704,"INDUSTRY_GROUP"))</f>
        <v/>
      </c>
      <c r="Y2704" t="str">
        <f>IF($B2704="","",_xll.BDP($B2704,"INDUSTRY_SUBGROUP"))</f>
        <v/>
      </c>
      <c r="Z2704" t="str">
        <f>IF($B2704="","",_xll.BDP($B2704,"COUNTRY_FULL_NAME"))</f>
        <v/>
      </c>
    </row>
    <row r="2705" spans="15:26" x14ac:dyDescent="0.25">
      <c r="O2705"/>
      <c r="P2705"/>
      <c r="Q2705"/>
      <c r="W2705" t="str">
        <f>IF(B2705="","",_xll.BDP(B2705,"INDUSTRY_SECTOR"))</f>
        <v/>
      </c>
      <c r="X2705" t="str">
        <f>IF($B2705="","",_xll.BDP($B2705,"INDUSTRY_GROUP"))</f>
        <v/>
      </c>
      <c r="Y2705" t="str">
        <f>IF($B2705="","",_xll.BDP($B2705,"INDUSTRY_SUBGROUP"))</f>
        <v/>
      </c>
      <c r="Z2705" t="str">
        <f>IF($B2705="","",_xll.BDP($B2705,"COUNTRY_FULL_NAME"))</f>
        <v/>
      </c>
    </row>
    <row r="2706" spans="15:26" x14ac:dyDescent="0.25">
      <c r="O2706"/>
      <c r="P2706"/>
      <c r="Q2706"/>
      <c r="W2706" t="str">
        <f>IF(B2706="","",_xll.BDP(B2706,"INDUSTRY_SECTOR"))</f>
        <v/>
      </c>
      <c r="X2706" t="str">
        <f>IF($B2706="","",_xll.BDP($B2706,"INDUSTRY_GROUP"))</f>
        <v/>
      </c>
      <c r="Y2706" t="str">
        <f>IF($B2706="","",_xll.BDP($B2706,"INDUSTRY_SUBGROUP"))</f>
        <v/>
      </c>
      <c r="Z2706" t="str">
        <f>IF($B2706="","",_xll.BDP($B2706,"COUNTRY_FULL_NAME"))</f>
        <v/>
      </c>
    </row>
    <row r="2707" spans="15:26" x14ac:dyDescent="0.25">
      <c r="O2707"/>
      <c r="P2707"/>
      <c r="Q2707"/>
      <c r="W2707" t="str">
        <f>IF(B2707="","",_xll.BDP(B2707,"INDUSTRY_SECTOR"))</f>
        <v/>
      </c>
      <c r="X2707" t="str">
        <f>IF($B2707="","",_xll.BDP($B2707,"INDUSTRY_GROUP"))</f>
        <v/>
      </c>
      <c r="Y2707" t="str">
        <f>IF($B2707="","",_xll.BDP($B2707,"INDUSTRY_SUBGROUP"))</f>
        <v/>
      </c>
      <c r="Z2707" t="str">
        <f>IF($B2707="","",_xll.BDP($B2707,"COUNTRY_FULL_NAME"))</f>
        <v/>
      </c>
    </row>
    <row r="2708" spans="15:26" x14ac:dyDescent="0.25">
      <c r="O2708"/>
      <c r="P2708"/>
      <c r="Q2708"/>
      <c r="W2708" t="str">
        <f>IF(B2708="","",_xll.BDP(B2708,"INDUSTRY_SECTOR"))</f>
        <v/>
      </c>
      <c r="X2708" t="str">
        <f>IF($B2708="","",_xll.BDP($B2708,"INDUSTRY_GROUP"))</f>
        <v/>
      </c>
      <c r="Y2708" t="str">
        <f>IF($B2708="","",_xll.BDP($B2708,"INDUSTRY_SUBGROUP"))</f>
        <v/>
      </c>
      <c r="Z2708" t="str">
        <f>IF($B2708="","",_xll.BDP($B2708,"COUNTRY_FULL_NAME"))</f>
        <v/>
      </c>
    </row>
    <row r="2709" spans="15:26" x14ac:dyDescent="0.25">
      <c r="O2709"/>
      <c r="P2709"/>
      <c r="Q2709"/>
      <c r="W2709" t="str">
        <f>IF(B2709="","",_xll.BDP(B2709,"INDUSTRY_SECTOR"))</f>
        <v/>
      </c>
      <c r="X2709" t="str">
        <f>IF($B2709="","",_xll.BDP($B2709,"INDUSTRY_GROUP"))</f>
        <v/>
      </c>
      <c r="Y2709" t="str">
        <f>IF($B2709="","",_xll.BDP($B2709,"INDUSTRY_SUBGROUP"))</f>
        <v/>
      </c>
      <c r="Z2709" t="str">
        <f>IF($B2709="","",_xll.BDP($B2709,"COUNTRY_FULL_NAME"))</f>
        <v/>
      </c>
    </row>
    <row r="2710" spans="15:26" x14ac:dyDescent="0.25">
      <c r="O2710"/>
      <c r="P2710"/>
      <c r="Q2710"/>
      <c r="W2710" t="str">
        <f>IF(B2710="","",_xll.BDP(B2710,"INDUSTRY_SECTOR"))</f>
        <v/>
      </c>
      <c r="X2710" t="str">
        <f>IF($B2710="","",_xll.BDP($B2710,"INDUSTRY_GROUP"))</f>
        <v/>
      </c>
      <c r="Y2710" t="str">
        <f>IF($B2710="","",_xll.BDP($B2710,"INDUSTRY_SUBGROUP"))</f>
        <v/>
      </c>
      <c r="Z2710" t="str">
        <f>IF($B2710="","",_xll.BDP($B2710,"COUNTRY_FULL_NAME"))</f>
        <v/>
      </c>
    </row>
    <row r="2711" spans="15:26" x14ac:dyDescent="0.25">
      <c r="O2711"/>
      <c r="P2711"/>
      <c r="Q2711"/>
      <c r="W2711" t="str">
        <f>IF(B2711="","",_xll.BDP(B2711,"INDUSTRY_SECTOR"))</f>
        <v/>
      </c>
      <c r="X2711" t="str">
        <f>IF($B2711="","",_xll.BDP($B2711,"INDUSTRY_GROUP"))</f>
        <v/>
      </c>
      <c r="Y2711" t="str">
        <f>IF($B2711="","",_xll.BDP($B2711,"INDUSTRY_SUBGROUP"))</f>
        <v/>
      </c>
      <c r="Z2711" t="str">
        <f>IF($B2711="","",_xll.BDP($B2711,"COUNTRY_FULL_NAME"))</f>
        <v/>
      </c>
    </row>
    <row r="2712" spans="15:26" x14ac:dyDescent="0.25">
      <c r="O2712"/>
      <c r="P2712"/>
      <c r="Q2712"/>
      <c r="W2712" t="str">
        <f>IF(B2712="","",_xll.BDP(B2712,"INDUSTRY_SECTOR"))</f>
        <v/>
      </c>
      <c r="X2712" t="str">
        <f>IF($B2712="","",_xll.BDP($B2712,"INDUSTRY_GROUP"))</f>
        <v/>
      </c>
      <c r="Y2712" t="str">
        <f>IF($B2712="","",_xll.BDP($B2712,"INDUSTRY_SUBGROUP"))</f>
        <v/>
      </c>
      <c r="Z2712" t="str">
        <f>IF($B2712="","",_xll.BDP($B2712,"COUNTRY_FULL_NAME"))</f>
        <v/>
      </c>
    </row>
    <row r="2713" spans="15:26" x14ac:dyDescent="0.25">
      <c r="O2713"/>
      <c r="P2713"/>
      <c r="Q2713"/>
      <c r="W2713" t="str">
        <f>IF(B2713="","",_xll.BDP(B2713,"INDUSTRY_SECTOR"))</f>
        <v/>
      </c>
      <c r="X2713" t="str">
        <f>IF($B2713="","",_xll.BDP($B2713,"INDUSTRY_GROUP"))</f>
        <v/>
      </c>
      <c r="Y2713" t="str">
        <f>IF($B2713="","",_xll.BDP($B2713,"INDUSTRY_SUBGROUP"))</f>
        <v/>
      </c>
      <c r="Z2713" t="str">
        <f>IF($B2713="","",_xll.BDP($B2713,"COUNTRY_FULL_NAME"))</f>
        <v/>
      </c>
    </row>
    <row r="2714" spans="15:26" x14ac:dyDescent="0.25">
      <c r="O2714"/>
      <c r="P2714"/>
      <c r="Q2714"/>
      <c r="W2714" t="str">
        <f>IF(B2714="","",_xll.BDP(B2714,"INDUSTRY_SECTOR"))</f>
        <v/>
      </c>
      <c r="X2714" t="str">
        <f>IF($B2714="","",_xll.BDP($B2714,"INDUSTRY_GROUP"))</f>
        <v/>
      </c>
      <c r="Y2714" t="str">
        <f>IF($B2714="","",_xll.BDP($B2714,"INDUSTRY_SUBGROUP"))</f>
        <v/>
      </c>
      <c r="Z2714" t="str">
        <f>IF($B2714="","",_xll.BDP($B2714,"COUNTRY_FULL_NAME"))</f>
        <v/>
      </c>
    </row>
    <row r="2715" spans="15:26" x14ac:dyDescent="0.25">
      <c r="O2715"/>
      <c r="P2715"/>
      <c r="Q2715"/>
      <c r="W2715" t="str">
        <f>IF(B2715="","",_xll.BDP(B2715,"INDUSTRY_SECTOR"))</f>
        <v/>
      </c>
      <c r="X2715" t="str">
        <f>IF($B2715="","",_xll.BDP($B2715,"INDUSTRY_GROUP"))</f>
        <v/>
      </c>
      <c r="Y2715" t="str">
        <f>IF($B2715="","",_xll.BDP($B2715,"INDUSTRY_SUBGROUP"))</f>
        <v/>
      </c>
      <c r="Z2715" t="str">
        <f>IF($B2715="","",_xll.BDP($B2715,"COUNTRY_FULL_NAME"))</f>
        <v/>
      </c>
    </row>
    <row r="2716" spans="15:26" x14ac:dyDescent="0.25">
      <c r="O2716"/>
      <c r="P2716"/>
      <c r="Q2716"/>
      <c r="W2716" t="str">
        <f>IF(B2716="","",_xll.BDP(B2716,"INDUSTRY_SECTOR"))</f>
        <v/>
      </c>
      <c r="X2716" t="str">
        <f>IF($B2716="","",_xll.BDP($B2716,"INDUSTRY_GROUP"))</f>
        <v/>
      </c>
      <c r="Y2716" t="str">
        <f>IF($B2716="","",_xll.BDP($B2716,"INDUSTRY_SUBGROUP"))</f>
        <v/>
      </c>
      <c r="Z2716" t="str">
        <f>IF($B2716="","",_xll.BDP($B2716,"COUNTRY_FULL_NAME"))</f>
        <v/>
      </c>
    </row>
    <row r="2717" spans="15:26" x14ac:dyDescent="0.25">
      <c r="O2717"/>
      <c r="P2717"/>
      <c r="Q2717"/>
      <c r="W2717" t="str">
        <f>IF(B2717="","",_xll.BDP(B2717,"INDUSTRY_SECTOR"))</f>
        <v/>
      </c>
      <c r="X2717" t="str">
        <f>IF($B2717="","",_xll.BDP($B2717,"INDUSTRY_GROUP"))</f>
        <v/>
      </c>
      <c r="Y2717" t="str">
        <f>IF($B2717="","",_xll.BDP($B2717,"INDUSTRY_SUBGROUP"))</f>
        <v/>
      </c>
      <c r="Z2717" t="str">
        <f>IF($B2717="","",_xll.BDP($B2717,"COUNTRY_FULL_NAME"))</f>
        <v/>
      </c>
    </row>
    <row r="2718" spans="15:26" x14ac:dyDescent="0.25">
      <c r="O2718"/>
      <c r="P2718"/>
      <c r="Q2718"/>
      <c r="W2718" t="str">
        <f>IF(B2718="","",_xll.BDP(B2718,"INDUSTRY_SECTOR"))</f>
        <v/>
      </c>
      <c r="X2718" t="str">
        <f>IF($B2718="","",_xll.BDP($B2718,"INDUSTRY_GROUP"))</f>
        <v/>
      </c>
      <c r="Y2718" t="str">
        <f>IF($B2718="","",_xll.BDP($B2718,"INDUSTRY_SUBGROUP"))</f>
        <v/>
      </c>
      <c r="Z2718" t="str">
        <f>IF($B2718="","",_xll.BDP($B2718,"COUNTRY_FULL_NAME"))</f>
        <v/>
      </c>
    </row>
    <row r="2719" spans="15:26" x14ac:dyDescent="0.25">
      <c r="O2719"/>
      <c r="P2719"/>
      <c r="Q2719"/>
      <c r="W2719" t="str">
        <f>IF(B2719="","",_xll.BDP(B2719,"INDUSTRY_SECTOR"))</f>
        <v/>
      </c>
      <c r="X2719" t="str">
        <f>IF($B2719="","",_xll.BDP($B2719,"INDUSTRY_GROUP"))</f>
        <v/>
      </c>
      <c r="Y2719" t="str">
        <f>IF($B2719="","",_xll.BDP($B2719,"INDUSTRY_SUBGROUP"))</f>
        <v/>
      </c>
      <c r="Z2719" t="str">
        <f>IF($B2719="","",_xll.BDP($B2719,"COUNTRY_FULL_NAME"))</f>
        <v/>
      </c>
    </row>
    <row r="2720" spans="15:26" x14ac:dyDescent="0.25">
      <c r="O2720"/>
      <c r="P2720"/>
      <c r="Q2720"/>
      <c r="W2720" t="str">
        <f>IF(B2720="","",_xll.BDP(B2720,"INDUSTRY_SECTOR"))</f>
        <v/>
      </c>
      <c r="X2720" t="str">
        <f>IF($B2720="","",_xll.BDP($B2720,"INDUSTRY_GROUP"))</f>
        <v/>
      </c>
      <c r="Y2720" t="str">
        <f>IF($B2720="","",_xll.BDP($B2720,"INDUSTRY_SUBGROUP"))</f>
        <v/>
      </c>
      <c r="Z2720" t="str">
        <f>IF($B2720="","",_xll.BDP($B2720,"COUNTRY_FULL_NAME"))</f>
        <v/>
      </c>
    </row>
    <row r="2721" spans="15:26" x14ac:dyDescent="0.25">
      <c r="O2721"/>
      <c r="P2721"/>
      <c r="Q2721"/>
      <c r="W2721" t="str">
        <f>IF(B2721="","",_xll.BDP(B2721,"INDUSTRY_SECTOR"))</f>
        <v/>
      </c>
      <c r="X2721" t="str">
        <f>IF($B2721="","",_xll.BDP($B2721,"INDUSTRY_GROUP"))</f>
        <v/>
      </c>
      <c r="Y2721" t="str">
        <f>IF($B2721="","",_xll.BDP($B2721,"INDUSTRY_SUBGROUP"))</f>
        <v/>
      </c>
      <c r="Z2721" t="str">
        <f>IF($B2721="","",_xll.BDP($B2721,"COUNTRY_FULL_NAME"))</f>
        <v/>
      </c>
    </row>
    <row r="2722" spans="15:26" x14ac:dyDescent="0.25">
      <c r="O2722"/>
      <c r="P2722"/>
      <c r="Q2722"/>
      <c r="W2722" t="str">
        <f>IF(B2722="","",_xll.BDP(B2722,"INDUSTRY_SECTOR"))</f>
        <v/>
      </c>
      <c r="X2722" t="str">
        <f>IF($B2722="","",_xll.BDP($B2722,"INDUSTRY_GROUP"))</f>
        <v/>
      </c>
      <c r="Y2722" t="str">
        <f>IF($B2722="","",_xll.BDP($B2722,"INDUSTRY_SUBGROUP"))</f>
        <v/>
      </c>
      <c r="Z2722" t="str">
        <f>IF($B2722="","",_xll.BDP($B2722,"COUNTRY_FULL_NAME"))</f>
        <v/>
      </c>
    </row>
    <row r="2723" spans="15:26" x14ac:dyDescent="0.25">
      <c r="O2723"/>
      <c r="P2723"/>
      <c r="Q2723"/>
      <c r="W2723" t="str">
        <f>IF(B2723="","",_xll.BDP(B2723,"INDUSTRY_SECTOR"))</f>
        <v/>
      </c>
      <c r="X2723" t="str">
        <f>IF($B2723="","",_xll.BDP($B2723,"INDUSTRY_GROUP"))</f>
        <v/>
      </c>
      <c r="Y2723" t="str">
        <f>IF($B2723="","",_xll.BDP($B2723,"INDUSTRY_SUBGROUP"))</f>
        <v/>
      </c>
      <c r="Z2723" t="str">
        <f>IF($B2723="","",_xll.BDP($B2723,"COUNTRY_FULL_NAME"))</f>
        <v/>
      </c>
    </row>
    <row r="2724" spans="15:26" x14ac:dyDescent="0.25">
      <c r="O2724"/>
      <c r="P2724"/>
      <c r="Q2724"/>
      <c r="W2724" t="str">
        <f>IF(B2724="","",_xll.BDP(B2724,"INDUSTRY_SECTOR"))</f>
        <v/>
      </c>
      <c r="X2724" t="str">
        <f>IF($B2724="","",_xll.BDP($B2724,"INDUSTRY_GROUP"))</f>
        <v/>
      </c>
      <c r="Y2724" t="str">
        <f>IF($B2724="","",_xll.BDP($B2724,"INDUSTRY_SUBGROUP"))</f>
        <v/>
      </c>
      <c r="Z2724" t="str">
        <f>IF($B2724="","",_xll.BDP($B2724,"COUNTRY_FULL_NAME"))</f>
        <v/>
      </c>
    </row>
    <row r="2725" spans="15:26" x14ac:dyDescent="0.25">
      <c r="O2725"/>
      <c r="P2725"/>
      <c r="Q2725"/>
      <c r="W2725" t="str">
        <f>IF(B2725="","",_xll.BDP(B2725,"INDUSTRY_SECTOR"))</f>
        <v/>
      </c>
      <c r="X2725" t="str">
        <f>IF($B2725="","",_xll.BDP($B2725,"INDUSTRY_GROUP"))</f>
        <v/>
      </c>
      <c r="Y2725" t="str">
        <f>IF($B2725="","",_xll.BDP($B2725,"INDUSTRY_SUBGROUP"))</f>
        <v/>
      </c>
      <c r="Z2725" t="str">
        <f>IF($B2725="","",_xll.BDP($B2725,"COUNTRY_FULL_NAME"))</f>
        <v/>
      </c>
    </row>
    <row r="2726" spans="15:26" x14ac:dyDescent="0.25">
      <c r="O2726"/>
      <c r="P2726"/>
      <c r="Q2726"/>
      <c r="W2726" t="str">
        <f>IF(B2726="","",_xll.BDP(B2726,"INDUSTRY_SECTOR"))</f>
        <v/>
      </c>
      <c r="X2726" t="str">
        <f>IF($B2726="","",_xll.BDP($B2726,"INDUSTRY_GROUP"))</f>
        <v/>
      </c>
      <c r="Y2726" t="str">
        <f>IF($B2726="","",_xll.BDP($B2726,"INDUSTRY_SUBGROUP"))</f>
        <v/>
      </c>
      <c r="Z2726" t="str">
        <f>IF($B2726="","",_xll.BDP($B2726,"COUNTRY_FULL_NAME"))</f>
        <v/>
      </c>
    </row>
    <row r="2727" spans="15:26" x14ac:dyDescent="0.25">
      <c r="O2727"/>
      <c r="P2727"/>
      <c r="Q2727"/>
      <c r="W2727" t="str">
        <f>IF(B2727="","",_xll.BDP(B2727,"INDUSTRY_SECTOR"))</f>
        <v/>
      </c>
      <c r="X2727" t="str">
        <f>IF($B2727="","",_xll.BDP($B2727,"INDUSTRY_GROUP"))</f>
        <v/>
      </c>
      <c r="Y2727" t="str">
        <f>IF($B2727="","",_xll.BDP($B2727,"INDUSTRY_SUBGROUP"))</f>
        <v/>
      </c>
      <c r="Z2727" t="str">
        <f>IF($B2727="","",_xll.BDP($B2727,"COUNTRY_FULL_NAME"))</f>
        <v/>
      </c>
    </row>
    <row r="2728" spans="15:26" x14ac:dyDescent="0.25">
      <c r="O2728"/>
      <c r="P2728"/>
      <c r="Q2728"/>
      <c r="W2728" t="str">
        <f>IF(B2728="","",_xll.BDP(B2728,"INDUSTRY_SECTOR"))</f>
        <v/>
      </c>
      <c r="X2728" t="str">
        <f>IF($B2728="","",_xll.BDP($B2728,"INDUSTRY_GROUP"))</f>
        <v/>
      </c>
      <c r="Y2728" t="str">
        <f>IF($B2728="","",_xll.BDP($B2728,"INDUSTRY_SUBGROUP"))</f>
        <v/>
      </c>
      <c r="Z2728" t="str">
        <f>IF($B2728="","",_xll.BDP($B2728,"COUNTRY_FULL_NAME"))</f>
        <v/>
      </c>
    </row>
    <row r="2729" spans="15:26" x14ac:dyDescent="0.25">
      <c r="O2729"/>
      <c r="P2729"/>
      <c r="Q2729"/>
      <c r="W2729" t="str">
        <f>IF(B2729="","",_xll.BDP(B2729,"INDUSTRY_SECTOR"))</f>
        <v/>
      </c>
      <c r="X2729" t="str">
        <f>IF($B2729="","",_xll.BDP($B2729,"INDUSTRY_GROUP"))</f>
        <v/>
      </c>
      <c r="Y2729" t="str">
        <f>IF($B2729="","",_xll.BDP($B2729,"INDUSTRY_SUBGROUP"))</f>
        <v/>
      </c>
      <c r="Z2729" t="str">
        <f>IF($B2729="","",_xll.BDP($B2729,"COUNTRY_FULL_NAME"))</f>
        <v/>
      </c>
    </row>
    <row r="2730" spans="15:26" x14ac:dyDescent="0.25">
      <c r="O2730"/>
      <c r="P2730"/>
      <c r="Q2730"/>
      <c r="W2730" t="str">
        <f>IF(B2730="","",_xll.BDP(B2730,"INDUSTRY_SECTOR"))</f>
        <v/>
      </c>
      <c r="X2730" t="str">
        <f>IF($B2730="","",_xll.BDP($B2730,"INDUSTRY_GROUP"))</f>
        <v/>
      </c>
      <c r="Y2730" t="str">
        <f>IF($B2730="","",_xll.BDP($B2730,"INDUSTRY_SUBGROUP"))</f>
        <v/>
      </c>
      <c r="Z2730" t="str">
        <f>IF($B2730="","",_xll.BDP($B2730,"COUNTRY_FULL_NAME"))</f>
        <v/>
      </c>
    </row>
    <row r="2731" spans="15:26" x14ac:dyDescent="0.25">
      <c r="O2731"/>
      <c r="P2731"/>
      <c r="Q2731"/>
      <c r="W2731" t="str">
        <f>IF(B2731="","",_xll.BDP(B2731,"INDUSTRY_SECTOR"))</f>
        <v/>
      </c>
      <c r="X2731" t="str">
        <f>IF($B2731="","",_xll.BDP($B2731,"INDUSTRY_GROUP"))</f>
        <v/>
      </c>
      <c r="Y2731" t="str">
        <f>IF($B2731="","",_xll.BDP($B2731,"INDUSTRY_SUBGROUP"))</f>
        <v/>
      </c>
      <c r="Z2731" t="str">
        <f>IF($B2731="","",_xll.BDP($B2731,"COUNTRY_FULL_NAME"))</f>
        <v/>
      </c>
    </row>
    <row r="2732" spans="15:26" x14ac:dyDescent="0.25">
      <c r="O2732"/>
      <c r="P2732"/>
      <c r="Q2732"/>
      <c r="W2732" t="str">
        <f>IF(B2732="","",_xll.BDP(B2732,"INDUSTRY_SECTOR"))</f>
        <v/>
      </c>
      <c r="X2732" t="str">
        <f>IF($B2732="","",_xll.BDP($B2732,"INDUSTRY_GROUP"))</f>
        <v/>
      </c>
      <c r="Y2732" t="str">
        <f>IF($B2732="","",_xll.BDP($B2732,"INDUSTRY_SUBGROUP"))</f>
        <v/>
      </c>
      <c r="Z2732" t="str">
        <f>IF($B2732="","",_xll.BDP($B2732,"COUNTRY_FULL_NAME"))</f>
        <v/>
      </c>
    </row>
    <row r="2733" spans="15:26" x14ac:dyDescent="0.25">
      <c r="O2733"/>
      <c r="P2733"/>
      <c r="Q2733"/>
      <c r="W2733" t="str">
        <f>IF(B2733="","",_xll.BDP(B2733,"INDUSTRY_SECTOR"))</f>
        <v/>
      </c>
      <c r="X2733" t="str">
        <f>IF($B2733="","",_xll.BDP($B2733,"INDUSTRY_GROUP"))</f>
        <v/>
      </c>
      <c r="Y2733" t="str">
        <f>IF($B2733="","",_xll.BDP($B2733,"INDUSTRY_SUBGROUP"))</f>
        <v/>
      </c>
      <c r="Z2733" t="str">
        <f>IF($B2733="","",_xll.BDP($B2733,"COUNTRY_FULL_NAME"))</f>
        <v/>
      </c>
    </row>
    <row r="2734" spans="15:26" x14ac:dyDescent="0.25">
      <c r="O2734"/>
      <c r="P2734"/>
      <c r="Q2734"/>
      <c r="W2734" t="str">
        <f>IF(B2734="","",_xll.BDP(B2734,"INDUSTRY_SECTOR"))</f>
        <v/>
      </c>
      <c r="X2734" t="str">
        <f>IF($B2734="","",_xll.BDP($B2734,"INDUSTRY_GROUP"))</f>
        <v/>
      </c>
      <c r="Y2734" t="str">
        <f>IF($B2734="","",_xll.BDP($B2734,"INDUSTRY_SUBGROUP"))</f>
        <v/>
      </c>
      <c r="Z2734" t="str">
        <f>IF($B2734="","",_xll.BDP($B2734,"COUNTRY_FULL_NAME"))</f>
        <v/>
      </c>
    </row>
    <row r="2735" spans="15:26" x14ac:dyDescent="0.25">
      <c r="O2735"/>
      <c r="P2735"/>
      <c r="Q2735"/>
      <c r="W2735" t="str">
        <f>IF(B2735="","",_xll.BDP(B2735,"INDUSTRY_SECTOR"))</f>
        <v/>
      </c>
      <c r="X2735" t="str">
        <f>IF($B2735="","",_xll.BDP($B2735,"INDUSTRY_GROUP"))</f>
        <v/>
      </c>
      <c r="Y2735" t="str">
        <f>IF($B2735="","",_xll.BDP($B2735,"INDUSTRY_SUBGROUP"))</f>
        <v/>
      </c>
      <c r="Z2735" t="str">
        <f>IF($B2735="","",_xll.BDP($B2735,"COUNTRY_FULL_NAME"))</f>
        <v/>
      </c>
    </row>
    <row r="2736" spans="15:26" x14ac:dyDescent="0.25">
      <c r="O2736"/>
      <c r="P2736"/>
      <c r="Q2736"/>
      <c r="W2736" t="str">
        <f>IF(B2736="","",_xll.BDP(B2736,"INDUSTRY_SECTOR"))</f>
        <v/>
      </c>
      <c r="X2736" t="str">
        <f>IF($B2736="","",_xll.BDP($B2736,"INDUSTRY_GROUP"))</f>
        <v/>
      </c>
      <c r="Y2736" t="str">
        <f>IF($B2736="","",_xll.BDP($B2736,"INDUSTRY_SUBGROUP"))</f>
        <v/>
      </c>
      <c r="Z2736" t="str">
        <f>IF($B2736="","",_xll.BDP($B2736,"COUNTRY_FULL_NAME"))</f>
        <v/>
      </c>
    </row>
    <row r="2737" spans="15:26" x14ac:dyDescent="0.25">
      <c r="O2737"/>
      <c r="P2737"/>
      <c r="Q2737"/>
      <c r="W2737" t="str">
        <f>IF(B2737="","",_xll.BDP(B2737,"INDUSTRY_SECTOR"))</f>
        <v/>
      </c>
      <c r="X2737" t="str">
        <f>IF($B2737="","",_xll.BDP($B2737,"INDUSTRY_GROUP"))</f>
        <v/>
      </c>
      <c r="Y2737" t="str">
        <f>IF($B2737="","",_xll.BDP($B2737,"INDUSTRY_SUBGROUP"))</f>
        <v/>
      </c>
      <c r="Z2737" t="str">
        <f>IF($B2737="","",_xll.BDP($B2737,"COUNTRY_FULL_NAME"))</f>
        <v/>
      </c>
    </row>
    <row r="2738" spans="15:26" x14ac:dyDescent="0.25">
      <c r="O2738"/>
      <c r="P2738"/>
      <c r="Q2738"/>
      <c r="W2738" t="str">
        <f>IF(B2738="","",_xll.BDP(B2738,"INDUSTRY_SECTOR"))</f>
        <v/>
      </c>
      <c r="X2738" t="str">
        <f>IF($B2738="","",_xll.BDP($B2738,"INDUSTRY_GROUP"))</f>
        <v/>
      </c>
      <c r="Y2738" t="str">
        <f>IF($B2738="","",_xll.BDP($B2738,"INDUSTRY_SUBGROUP"))</f>
        <v/>
      </c>
      <c r="Z2738" t="str">
        <f>IF($B2738="","",_xll.BDP($B2738,"COUNTRY_FULL_NAME"))</f>
        <v/>
      </c>
    </row>
    <row r="2739" spans="15:26" x14ac:dyDescent="0.25">
      <c r="O2739"/>
      <c r="P2739"/>
      <c r="Q2739"/>
      <c r="W2739" t="str">
        <f>IF(B2739="","",_xll.BDP(B2739,"INDUSTRY_SECTOR"))</f>
        <v/>
      </c>
      <c r="X2739" t="str">
        <f>IF($B2739="","",_xll.BDP($B2739,"INDUSTRY_GROUP"))</f>
        <v/>
      </c>
      <c r="Y2739" t="str">
        <f>IF($B2739="","",_xll.BDP($B2739,"INDUSTRY_SUBGROUP"))</f>
        <v/>
      </c>
      <c r="Z2739" t="str">
        <f>IF($B2739="","",_xll.BDP($B2739,"COUNTRY_FULL_NAME"))</f>
        <v/>
      </c>
    </row>
    <row r="2740" spans="15:26" x14ac:dyDescent="0.25">
      <c r="O2740"/>
      <c r="P2740"/>
      <c r="Q2740"/>
      <c r="W2740" t="str">
        <f>IF(B2740="","",_xll.BDP(B2740,"INDUSTRY_SECTOR"))</f>
        <v/>
      </c>
      <c r="X2740" t="str">
        <f>IF($B2740="","",_xll.BDP($B2740,"INDUSTRY_GROUP"))</f>
        <v/>
      </c>
      <c r="Y2740" t="str">
        <f>IF($B2740="","",_xll.BDP($B2740,"INDUSTRY_SUBGROUP"))</f>
        <v/>
      </c>
      <c r="Z2740" t="str">
        <f>IF($B2740="","",_xll.BDP($B2740,"COUNTRY_FULL_NAME"))</f>
        <v/>
      </c>
    </row>
    <row r="2741" spans="15:26" x14ac:dyDescent="0.25">
      <c r="O2741"/>
      <c r="P2741"/>
      <c r="Q2741"/>
      <c r="W2741" t="str">
        <f>IF(B2741="","",_xll.BDP(B2741,"INDUSTRY_SECTOR"))</f>
        <v/>
      </c>
      <c r="X2741" t="str">
        <f>IF($B2741="","",_xll.BDP($B2741,"INDUSTRY_GROUP"))</f>
        <v/>
      </c>
      <c r="Y2741" t="str">
        <f>IF($B2741="","",_xll.BDP($B2741,"INDUSTRY_SUBGROUP"))</f>
        <v/>
      </c>
      <c r="Z2741" t="str">
        <f>IF($B2741="","",_xll.BDP($B2741,"COUNTRY_FULL_NAME"))</f>
        <v/>
      </c>
    </row>
    <row r="2742" spans="15:26" x14ac:dyDescent="0.25">
      <c r="O2742"/>
      <c r="P2742"/>
      <c r="Q2742"/>
      <c r="W2742" t="str">
        <f>IF(B2742="","",_xll.BDP(B2742,"INDUSTRY_SECTOR"))</f>
        <v/>
      </c>
      <c r="X2742" t="str">
        <f>IF($B2742="","",_xll.BDP($B2742,"INDUSTRY_GROUP"))</f>
        <v/>
      </c>
      <c r="Y2742" t="str">
        <f>IF($B2742="","",_xll.BDP($B2742,"INDUSTRY_SUBGROUP"))</f>
        <v/>
      </c>
      <c r="Z2742" t="str">
        <f>IF($B2742="","",_xll.BDP($B2742,"COUNTRY_FULL_NAME"))</f>
        <v/>
      </c>
    </row>
    <row r="2743" spans="15:26" x14ac:dyDescent="0.25">
      <c r="O2743"/>
      <c r="P2743"/>
      <c r="Q2743"/>
      <c r="W2743" t="str">
        <f>IF(B2743="","",_xll.BDP(B2743,"INDUSTRY_SECTOR"))</f>
        <v/>
      </c>
      <c r="X2743" t="str">
        <f>IF($B2743="","",_xll.BDP($B2743,"INDUSTRY_GROUP"))</f>
        <v/>
      </c>
      <c r="Y2743" t="str">
        <f>IF($B2743="","",_xll.BDP($B2743,"INDUSTRY_SUBGROUP"))</f>
        <v/>
      </c>
      <c r="Z2743" t="str">
        <f>IF($B2743="","",_xll.BDP($B2743,"COUNTRY_FULL_NAME"))</f>
        <v/>
      </c>
    </row>
    <row r="2744" spans="15:26" x14ac:dyDescent="0.25">
      <c r="O2744"/>
      <c r="P2744"/>
      <c r="Q2744"/>
      <c r="W2744" t="str">
        <f>IF(B2744="","",_xll.BDP(B2744,"INDUSTRY_SECTOR"))</f>
        <v/>
      </c>
      <c r="X2744" t="str">
        <f>IF($B2744="","",_xll.BDP($B2744,"INDUSTRY_GROUP"))</f>
        <v/>
      </c>
      <c r="Y2744" t="str">
        <f>IF($B2744="","",_xll.BDP($B2744,"INDUSTRY_SUBGROUP"))</f>
        <v/>
      </c>
      <c r="Z2744" t="str">
        <f>IF($B2744="","",_xll.BDP($B2744,"COUNTRY_FULL_NAME"))</f>
        <v/>
      </c>
    </row>
    <row r="2745" spans="15:26" x14ac:dyDescent="0.25">
      <c r="O2745"/>
      <c r="P2745"/>
      <c r="Q2745"/>
      <c r="W2745" t="str">
        <f>IF(B2745="","",_xll.BDP(B2745,"INDUSTRY_SECTOR"))</f>
        <v/>
      </c>
      <c r="X2745" t="str">
        <f>IF($B2745="","",_xll.BDP($B2745,"INDUSTRY_GROUP"))</f>
        <v/>
      </c>
      <c r="Y2745" t="str">
        <f>IF($B2745="","",_xll.BDP($B2745,"INDUSTRY_SUBGROUP"))</f>
        <v/>
      </c>
      <c r="Z2745" t="str">
        <f>IF($B2745="","",_xll.BDP($B2745,"COUNTRY_FULL_NAME"))</f>
        <v/>
      </c>
    </row>
    <row r="2746" spans="15:26" x14ac:dyDescent="0.25">
      <c r="O2746"/>
      <c r="P2746"/>
      <c r="Q2746"/>
      <c r="W2746" t="str">
        <f>IF(B2746="","",_xll.BDP(B2746,"INDUSTRY_SECTOR"))</f>
        <v/>
      </c>
      <c r="X2746" t="str">
        <f>IF($B2746="","",_xll.BDP($B2746,"INDUSTRY_GROUP"))</f>
        <v/>
      </c>
      <c r="Y2746" t="str">
        <f>IF($B2746="","",_xll.BDP($B2746,"INDUSTRY_SUBGROUP"))</f>
        <v/>
      </c>
      <c r="Z2746" t="str">
        <f>IF($B2746="","",_xll.BDP($B2746,"COUNTRY_FULL_NAME"))</f>
        <v/>
      </c>
    </row>
    <row r="2747" spans="15:26" x14ac:dyDescent="0.25">
      <c r="O2747"/>
      <c r="P2747"/>
      <c r="Q2747"/>
      <c r="W2747" t="str">
        <f>IF(B2747="","",_xll.BDP(B2747,"INDUSTRY_SECTOR"))</f>
        <v/>
      </c>
      <c r="X2747" t="str">
        <f>IF($B2747="","",_xll.BDP($B2747,"INDUSTRY_GROUP"))</f>
        <v/>
      </c>
      <c r="Y2747" t="str">
        <f>IF($B2747="","",_xll.BDP($B2747,"INDUSTRY_SUBGROUP"))</f>
        <v/>
      </c>
      <c r="Z2747" t="str">
        <f>IF($B2747="","",_xll.BDP($B2747,"COUNTRY_FULL_NAME"))</f>
        <v/>
      </c>
    </row>
    <row r="2748" spans="15:26" x14ac:dyDescent="0.25">
      <c r="O2748"/>
      <c r="P2748"/>
      <c r="Q2748"/>
      <c r="W2748" t="str">
        <f>IF(B2748="","",_xll.BDP(B2748,"INDUSTRY_SECTOR"))</f>
        <v/>
      </c>
      <c r="X2748" t="str">
        <f>IF($B2748="","",_xll.BDP($B2748,"INDUSTRY_GROUP"))</f>
        <v/>
      </c>
      <c r="Y2748" t="str">
        <f>IF($B2748="","",_xll.BDP($B2748,"INDUSTRY_SUBGROUP"))</f>
        <v/>
      </c>
      <c r="Z2748" t="str">
        <f>IF($B2748="","",_xll.BDP($B2748,"COUNTRY_FULL_NAME"))</f>
        <v/>
      </c>
    </row>
    <row r="2749" spans="15:26" x14ac:dyDescent="0.25">
      <c r="O2749"/>
      <c r="P2749"/>
      <c r="Q2749"/>
      <c r="W2749" t="str">
        <f>IF(B2749="","",_xll.BDP(B2749,"INDUSTRY_SECTOR"))</f>
        <v/>
      </c>
      <c r="X2749" t="str">
        <f>IF($B2749="","",_xll.BDP($B2749,"INDUSTRY_GROUP"))</f>
        <v/>
      </c>
      <c r="Y2749" t="str">
        <f>IF($B2749="","",_xll.BDP($B2749,"INDUSTRY_SUBGROUP"))</f>
        <v/>
      </c>
      <c r="Z2749" t="str">
        <f>IF($B2749="","",_xll.BDP($B2749,"COUNTRY_FULL_NAME"))</f>
        <v/>
      </c>
    </row>
    <row r="2750" spans="15:26" x14ac:dyDescent="0.25">
      <c r="O2750"/>
      <c r="P2750"/>
      <c r="Q2750"/>
      <c r="W2750" t="str">
        <f>IF(B2750="","",_xll.BDP(B2750,"INDUSTRY_SECTOR"))</f>
        <v/>
      </c>
      <c r="X2750" t="str">
        <f>IF($B2750="","",_xll.BDP($B2750,"INDUSTRY_GROUP"))</f>
        <v/>
      </c>
      <c r="Y2750" t="str">
        <f>IF($B2750="","",_xll.BDP($B2750,"INDUSTRY_SUBGROUP"))</f>
        <v/>
      </c>
      <c r="Z2750" t="str">
        <f>IF($B2750="","",_xll.BDP($B2750,"COUNTRY_FULL_NAME"))</f>
        <v/>
      </c>
    </row>
    <row r="2751" spans="15:26" x14ac:dyDescent="0.25">
      <c r="O2751"/>
      <c r="P2751"/>
      <c r="Q2751"/>
      <c r="W2751" t="str">
        <f>IF(B2751="","",_xll.BDP(B2751,"INDUSTRY_SECTOR"))</f>
        <v/>
      </c>
      <c r="X2751" t="str">
        <f>IF($B2751="","",_xll.BDP($B2751,"INDUSTRY_GROUP"))</f>
        <v/>
      </c>
      <c r="Y2751" t="str">
        <f>IF($B2751="","",_xll.BDP($B2751,"INDUSTRY_SUBGROUP"))</f>
        <v/>
      </c>
      <c r="Z2751" t="str">
        <f>IF($B2751="","",_xll.BDP($B2751,"COUNTRY_FULL_NAME"))</f>
        <v/>
      </c>
    </row>
    <row r="2752" spans="15:26" x14ac:dyDescent="0.25">
      <c r="O2752"/>
      <c r="P2752"/>
      <c r="Q2752"/>
      <c r="W2752" t="str">
        <f>IF(B2752="","",_xll.BDP(B2752,"INDUSTRY_SECTOR"))</f>
        <v/>
      </c>
      <c r="X2752" t="str">
        <f>IF($B2752="","",_xll.BDP($B2752,"INDUSTRY_GROUP"))</f>
        <v/>
      </c>
      <c r="Y2752" t="str">
        <f>IF($B2752="","",_xll.BDP($B2752,"INDUSTRY_SUBGROUP"))</f>
        <v/>
      </c>
      <c r="Z2752" t="str">
        <f>IF($B2752="","",_xll.BDP($B2752,"COUNTRY_FULL_NAME"))</f>
        <v/>
      </c>
    </row>
    <row r="2753" spans="15:26" x14ac:dyDescent="0.25">
      <c r="O2753"/>
      <c r="P2753"/>
      <c r="Q2753"/>
      <c r="W2753" t="str">
        <f>IF(B2753="","",_xll.BDP(B2753,"INDUSTRY_SECTOR"))</f>
        <v/>
      </c>
      <c r="X2753" t="str">
        <f>IF($B2753="","",_xll.BDP($B2753,"INDUSTRY_GROUP"))</f>
        <v/>
      </c>
      <c r="Y2753" t="str">
        <f>IF($B2753="","",_xll.BDP($B2753,"INDUSTRY_SUBGROUP"))</f>
        <v/>
      </c>
      <c r="Z2753" t="str">
        <f>IF($B2753="","",_xll.BDP($B2753,"COUNTRY_FULL_NAME"))</f>
        <v/>
      </c>
    </row>
    <row r="2754" spans="15:26" x14ac:dyDescent="0.25">
      <c r="O2754"/>
      <c r="P2754"/>
      <c r="Q2754"/>
      <c r="W2754" t="str">
        <f>IF(B2754="","",_xll.BDP(B2754,"INDUSTRY_SECTOR"))</f>
        <v/>
      </c>
      <c r="X2754" t="str">
        <f>IF($B2754="","",_xll.BDP($B2754,"INDUSTRY_GROUP"))</f>
        <v/>
      </c>
      <c r="Y2754" t="str">
        <f>IF($B2754="","",_xll.BDP($B2754,"INDUSTRY_SUBGROUP"))</f>
        <v/>
      </c>
      <c r="Z2754" t="str">
        <f>IF($B2754="","",_xll.BDP($B2754,"COUNTRY_FULL_NAME"))</f>
        <v/>
      </c>
    </row>
    <row r="2755" spans="15:26" x14ac:dyDescent="0.25">
      <c r="O2755"/>
      <c r="P2755"/>
      <c r="Q2755"/>
      <c r="W2755" t="str">
        <f>IF(B2755="","",_xll.BDP(B2755,"INDUSTRY_SECTOR"))</f>
        <v/>
      </c>
      <c r="X2755" t="str">
        <f>IF($B2755="","",_xll.BDP($B2755,"INDUSTRY_GROUP"))</f>
        <v/>
      </c>
      <c r="Y2755" t="str">
        <f>IF($B2755="","",_xll.BDP($B2755,"INDUSTRY_SUBGROUP"))</f>
        <v/>
      </c>
      <c r="Z2755" t="str">
        <f>IF($B2755="","",_xll.BDP($B2755,"COUNTRY_FULL_NAME"))</f>
        <v/>
      </c>
    </row>
    <row r="2756" spans="15:26" x14ac:dyDescent="0.25">
      <c r="O2756"/>
      <c r="P2756"/>
      <c r="Q2756"/>
      <c r="W2756" t="str">
        <f>IF(B2756="","",_xll.BDP(B2756,"INDUSTRY_SECTOR"))</f>
        <v/>
      </c>
      <c r="X2756" t="str">
        <f>IF($B2756="","",_xll.BDP($B2756,"INDUSTRY_GROUP"))</f>
        <v/>
      </c>
      <c r="Y2756" t="str">
        <f>IF($B2756="","",_xll.BDP($B2756,"INDUSTRY_SUBGROUP"))</f>
        <v/>
      </c>
      <c r="Z2756" t="str">
        <f>IF($B2756="","",_xll.BDP($B2756,"COUNTRY_FULL_NAME"))</f>
        <v/>
      </c>
    </row>
    <row r="2757" spans="15:26" x14ac:dyDescent="0.25">
      <c r="O2757"/>
      <c r="P2757"/>
      <c r="Q2757"/>
      <c r="W2757" t="str">
        <f>IF(B2757="","",_xll.BDP(B2757,"INDUSTRY_SECTOR"))</f>
        <v/>
      </c>
      <c r="X2757" t="str">
        <f>IF($B2757="","",_xll.BDP($B2757,"INDUSTRY_GROUP"))</f>
        <v/>
      </c>
      <c r="Y2757" t="str">
        <f>IF($B2757="","",_xll.BDP($B2757,"INDUSTRY_SUBGROUP"))</f>
        <v/>
      </c>
      <c r="Z2757" t="str">
        <f>IF($B2757="","",_xll.BDP($B2757,"COUNTRY_FULL_NAME"))</f>
        <v/>
      </c>
    </row>
    <row r="2758" spans="15:26" x14ac:dyDescent="0.25">
      <c r="O2758"/>
      <c r="P2758"/>
      <c r="Q2758"/>
      <c r="W2758" t="str">
        <f>IF(B2758="","",_xll.BDP(B2758,"INDUSTRY_SECTOR"))</f>
        <v/>
      </c>
      <c r="X2758" t="str">
        <f>IF($B2758="","",_xll.BDP($B2758,"INDUSTRY_GROUP"))</f>
        <v/>
      </c>
      <c r="Y2758" t="str">
        <f>IF($B2758="","",_xll.BDP($B2758,"INDUSTRY_SUBGROUP"))</f>
        <v/>
      </c>
      <c r="Z2758" t="str">
        <f>IF($B2758="","",_xll.BDP($B2758,"COUNTRY_FULL_NAME"))</f>
        <v/>
      </c>
    </row>
    <row r="2759" spans="15:26" x14ac:dyDescent="0.25">
      <c r="O2759"/>
      <c r="P2759"/>
      <c r="Q2759"/>
      <c r="W2759" t="str">
        <f>IF(B2759="","",_xll.BDP(B2759,"INDUSTRY_SECTOR"))</f>
        <v/>
      </c>
      <c r="X2759" t="str">
        <f>IF($B2759="","",_xll.BDP($B2759,"INDUSTRY_GROUP"))</f>
        <v/>
      </c>
      <c r="Y2759" t="str">
        <f>IF($B2759="","",_xll.BDP($B2759,"INDUSTRY_SUBGROUP"))</f>
        <v/>
      </c>
      <c r="Z2759" t="str">
        <f>IF($B2759="","",_xll.BDP($B2759,"COUNTRY_FULL_NAME"))</f>
        <v/>
      </c>
    </row>
    <row r="2760" spans="15:26" x14ac:dyDescent="0.25">
      <c r="O2760"/>
      <c r="P2760"/>
      <c r="Q2760"/>
      <c r="W2760" t="str">
        <f>IF(B2760="","",_xll.BDP(B2760,"INDUSTRY_SECTOR"))</f>
        <v/>
      </c>
      <c r="X2760" t="str">
        <f>IF($B2760="","",_xll.BDP($B2760,"INDUSTRY_GROUP"))</f>
        <v/>
      </c>
      <c r="Y2760" t="str">
        <f>IF($B2760="","",_xll.BDP($B2760,"INDUSTRY_SUBGROUP"))</f>
        <v/>
      </c>
      <c r="Z2760" t="str">
        <f>IF($B2760="","",_xll.BDP($B2760,"COUNTRY_FULL_NAME"))</f>
        <v/>
      </c>
    </row>
    <row r="2761" spans="15:26" x14ac:dyDescent="0.25">
      <c r="O2761"/>
      <c r="P2761"/>
      <c r="Q2761"/>
      <c r="W2761" t="str">
        <f>IF(B2761="","",_xll.BDP(B2761,"INDUSTRY_SECTOR"))</f>
        <v/>
      </c>
      <c r="X2761" t="str">
        <f>IF($B2761="","",_xll.BDP($B2761,"INDUSTRY_GROUP"))</f>
        <v/>
      </c>
      <c r="Y2761" t="str">
        <f>IF($B2761="","",_xll.BDP($B2761,"INDUSTRY_SUBGROUP"))</f>
        <v/>
      </c>
      <c r="Z2761" t="str">
        <f>IF($B2761="","",_xll.BDP($B2761,"COUNTRY_FULL_NAME"))</f>
        <v/>
      </c>
    </row>
    <row r="2762" spans="15:26" x14ac:dyDescent="0.25">
      <c r="O2762"/>
      <c r="P2762"/>
      <c r="Q2762"/>
      <c r="W2762" t="str">
        <f>IF(B2762="","",_xll.BDP(B2762,"INDUSTRY_SECTOR"))</f>
        <v/>
      </c>
      <c r="X2762" t="str">
        <f>IF($B2762="","",_xll.BDP($B2762,"INDUSTRY_GROUP"))</f>
        <v/>
      </c>
      <c r="Y2762" t="str">
        <f>IF($B2762="","",_xll.BDP($B2762,"INDUSTRY_SUBGROUP"))</f>
        <v/>
      </c>
      <c r="Z2762" t="str">
        <f>IF($B2762="","",_xll.BDP($B2762,"COUNTRY_FULL_NAME"))</f>
        <v/>
      </c>
    </row>
    <row r="2763" spans="15:26" x14ac:dyDescent="0.25">
      <c r="O2763"/>
      <c r="P2763"/>
      <c r="Q2763"/>
      <c r="W2763" t="str">
        <f>IF(B2763="","",_xll.BDP(B2763,"INDUSTRY_SECTOR"))</f>
        <v/>
      </c>
      <c r="X2763" t="str">
        <f>IF($B2763="","",_xll.BDP($B2763,"INDUSTRY_GROUP"))</f>
        <v/>
      </c>
      <c r="Y2763" t="str">
        <f>IF($B2763="","",_xll.BDP($B2763,"INDUSTRY_SUBGROUP"))</f>
        <v/>
      </c>
      <c r="Z2763" t="str">
        <f>IF($B2763="","",_xll.BDP($B2763,"COUNTRY_FULL_NAME"))</f>
        <v/>
      </c>
    </row>
    <row r="2764" spans="15:26" x14ac:dyDescent="0.25">
      <c r="O2764"/>
      <c r="P2764"/>
      <c r="Q2764"/>
      <c r="W2764" t="str">
        <f>IF(B2764="","",_xll.BDP(B2764,"INDUSTRY_SECTOR"))</f>
        <v/>
      </c>
      <c r="X2764" t="str">
        <f>IF($B2764="","",_xll.BDP($B2764,"INDUSTRY_GROUP"))</f>
        <v/>
      </c>
      <c r="Y2764" t="str">
        <f>IF($B2764="","",_xll.BDP($B2764,"INDUSTRY_SUBGROUP"))</f>
        <v/>
      </c>
      <c r="Z2764" t="str">
        <f>IF($B2764="","",_xll.BDP($B2764,"COUNTRY_FULL_NAME"))</f>
        <v/>
      </c>
    </row>
    <row r="2765" spans="15:26" x14ac:dyDescent="0.25">
      <c r="O2765"/>
      <c r="P2765"/>
      <c r="Q2765"/>
      <c r="W2765" t="str">
        <f>IF(B2765="","",_xll.BDP(B2765,"INDUSTRY_SECTOR"))</f>
        <v/>
      </c>
      <c r="X2765" t="str">
        <f>IF($B2765="","",_xll.BDP($B2765,"INDUSTRY_GROUP"))</f>
        <v/>
      </c>
      <c r="Y2765" t="str">
        <f>IF($B2765="","",_xll.BDP($B2765,"INDUSTRY_SUBGROUP"))</f>
        <v/>
      </c>
      <c r="Z2765" t="str">
        <f>IF($B2765="","",_xll.BDP($B2765,"COUNTRY_FULL_NAME"))</f>
        <v/>
      </c>
    </row>
    <row r="2766" spans="15:26" x14ac:dyDescent="0.25">
      <c r="O2766"/>
      <c r="P2766"/>
      <c r="Q2766"/>
      <c r="W2766" t="str">
        <f>IF(B2766="","",_xll.BDP(B2766,"INDUSTRY_SECTOR"))</f>
        <v/>
      </c>
      <c r="X2766" t="str">
        <f>IF($B2766="","",_xll.BDP($B2766,"INDUSTRY_GROUP"))</f>
        <v/>
      </c>
      <c r="Y2766" t="str">
        <f>IF($B2766="","",_xll.BDP($B2766,"INDUSTRY_SUBGROUP"))</f>
        <v/>
      </c>
      <c r="Z2766" t="str">
        <f>IF($B2766="","",_xll.BDP($B2766,"COUNTRY_FULL_NAME"))</f>
        <v/>
      </c>
    </row>
    <row r="2767" spans="15:26" x14ac:dyDescent="0.25">
      <c r="O2767"/>
      <c r="P2767"/>
      <c r="Q2767"/>
      <c r="W2767" t="str">
        <f>IF(B2767="","",_xll.BDP(B2767,"INDUSTRY_SECTOR"))</f>
        <v/>
      </c>
      <c r="X2767" t="str">
        <f>IF($B2767="","",_xll.BDP($B2767,"INDUSTRY_GROUP"))</f>
        <v/>
      </c>
      <c r="Y2767" t="str">
        <f>IF($B2767="","",_xll.BDP($B2767,"INDUSTRY_SUBGROUP"))</f>
        <v/>
      </c>
      <c r="Z2767" t="str">
        <f>IF($B2767="","",_xll.BDP($B2767,"COUNTRY_FULL_NAME"))</f>
        <v/>
      </c>
    </row>
    <row r="2768" spans="15:26" x14ac:dyDescent="0.25">
      <c r="O2768"/>
      <c r="P2768"/>
      <c r="Q2768"/>
      <c r="W2768" t="str">
        <f>IF(B2768="","",_xll.BDP(B2768,"INDUSTRY_SECTOR"))</f>
        <v/>
      </c>
      <c r="X2768" t="str">
        <f>IF($B2768="","",_xll.BDP($B2768,"INDUSTRY_GROUP"))</f>
        <v/>
      </c>
      <c r="Y2768" t="str">
        <f>IF($B2768="","",_xll.BDP($B2768,"INDUSTRY_SUBGROUP"))</f>
        <v/>
      </c>
      <c r="Z2768" t="str">
        <f>IF($B2768="","",_xll.BDP($B2768,"COUNTRY_FULL_NAME"))</f>
        <v/>
      </c>
    </row>
    <row r="2769" spans="15:26" x14ac:dyDescent="0.25">
      <c r="O2769"/>
      <c r="P2769"/>
      <c r="Q2769"/>
      <c r="W2769" t="str">
        <f>IF(B2769="","",_xll.BDP(B2769,"INDUSTRY_SECTOR"))</f>
        <v/>
      </c>
      <c r="X2769" t="str">
        <f>IF($B2769="","",_xll.BDP($B2769,"INDUSTRY_GROUP"))</f>
        <v/>
      </c>
      <c r="Y2769" t="str">
        <f>IF($B2769="","",_xll.BDP($B2769,"INDUSTRY_SUBGROUP"))</f>
        <v/>
      </c>
      <c r="Z2769" t="str">
        <f>IF($B2769="","",_xll.BDP($B2769,"COUNTRY_FULL_NAME"))</f>
        <v/>
      </c>
    </row>
    <row r="2770" spans="15:26" x14ac:dyDescent="0.25">
      <c r="O2770"/>
      <c r="P2770"/>
      <c r="Q2770"/>
      <c r="W2770" t="str">
        <f>IF(B2770="","",_xll.BDP(B2770,"INDUSTRY_SECTOR"))</f>
        <v/>
      </c>
      <c r="X2770" t="str">
        <f>IF($B2770="","",_xll.BDP($B2770,"INDUSTRY_GROUP"))</f>
        <v/>
      </c>
      <c r="Y2770" t="str">
        <f>IF($B2770="","",_xll.BDP($B2770,"INDUSTRY_SUBGROUP"))</f>
        <v/>
      </c>
      <c r="Z2770" t="str">
        <f>IF($B2770="","",_xll.BDP($B2770,"COUNTRY_FULL_NAME"))</f>
        <v/>
      </c>
    </row>
    <row r="2771" spans="15:26" x14ac:dyDescent="0.25">
      <c r="O2771"/>
      <c r="P2771"/>
      <c r="Q2771"/>
      <c r="W2771" t="str">
        <f>IF(B2771="","",_xll.BDP(B2771,"INDUSTRY_SECTOR"))</f>
        <v/>
      </c>
      <c r="X2771" t="str">
        <f>IF($B2771="","",_xll.BDP($B2771,"INDUSTRY_GROUP"))</f>
        <v/>
      </c>
      <c r="Y2771" t="str">
        <f>IF($B2771="","",_xll.BDP($B2771,"INDUSTRY_SUBGROUP"))</f>
        <v/>
      </c>
      <c r="Z2771" t="str">
        <f>IF($B2771="","",_xll.BDP($B2771,"COUNTRY_FULL_NAME"))</f>
        <v/>
      </c>
    </row>
    <row r="2772" spans="15:26" x14ac:dyDescent="0.25">
      <c r="O2772"/>
      <c r="P2772"/>
      <c r="Q2772"/>
      <c r="W2772" t="str">
        <f>IF(B2772="","",_xll.BDP(B2772,"INDUSTRY_SECTOR"))</f>
        <v/>
      </c>
      <c r="X2772" t="str">
        <f>IF($B2772="","",_xll.BDP($B2772,"INDUSTRY_GROUP"))</f>
        <v/>
      </c>
      <c r="Y2772" t="str">
        <f>IF($B2772="","",_xll.BDP($B2772,"INDUSTRY_SUBGROUP"))</f>
        <v/>
      </c>
      <c r="Z2772" t="str">
        <f>IF($B2772="","",_xll.BDP($B2772,"COUNTRY_FULL_NAME"))</f>
        <v/>
      </c>
    </row>
    <row r="2773" spans="15:26" x14ac:dyDescent="0.25">
      <c r="O2773"/>
      <c r="P2773"/>
      <c r="Q2773"/>
      <c r="W2773" t="str">
        <f>IF(B2773="","",_xll.BDP(B2773,"INDUSTRY_SECTOR"))</f>
        <v/>
      </c>
      <c r="X2773" t="str">
        <f>IF($B2773="","",_xll.BDP($B2773,"INDUSTRY_GROUP"))</f>
        <v/>
      </c>
      <c r="Y2773" t="str">
        <f>IF($B2773="","",_xll.BDP($B2773,"INDUSTRY_SUBGROUP"))</f>
        <v/>
      </c>
      <c r="Z2773" t="str">
        <f>IF($B2773="","",_xll.BDP($B2773,"COUNTRY_FULL_NAME"))</f>
        <v/>
      </c>
    </row>
    <row r="2774" spans="15:26" x14ac:dyDescent="0.25">
      <c r="O2774"/>
      <c r="P2774"/>
      <c r="Q2774"/>
      <c r="W2774" t="str">
        <f>IF(B2774="","",_xll.BDP(B2774,"INDUSTRY_SECTOR"))</f>
        <v/>
      </c>
      <c r="X2774" t="str">
        <f>IF($B2774="","",_xll.BDP($B2774,"INDUSTRY_GROUP"))</f>
        <v/>
      </c>
      <c r="Y2774" t="str">
        <f>IF($B2774="","",_xll.BDP($B2774,"INDUSTRY_SUBGROUP"))</f>
        <v/>
      </c>
      <c r="Z2774" t="str">
        <f>IF($B2774="","",_xll.BDP($B2774,"COUNTRY_FULL_NAME"))</f>
        <v/>
      </c>
    </row>
    <row r="2775" spans="15:26" x14ac:dyDescent="0.25">
      <c r="O2775"/>
      <c r="P2775"/>
      <c r="Q2775"/>
      <c r="W2775" t="str">
        <f>IF(B2775="","",_xll.BDP(B2775,"INDUSTRY_SECTOR"))</f>
        <v/>
      </c>
      <c r="X2775" t="str">
        <f>IF($B2775="","",_xll.BDP($B2775,"INDUSTRY_GROUP"))</f>
        <v/>
      </c>
      <c r="Y2775" t="str">
        <f>IF($B2775="","",_xll.BDP($B2775,"INDUSTRY_SUBGROUP"))</f>
        <v/>
      </c>
      <c r="Z2775" t="str">
        <f>IF($B2775="","",_xll.BDP($B2775,"COUNTRY_FULL_NAME"))</f>
        <v/>
      </c>
    </row>
    <row r="2776" spans="15:26" x14ac:dyDescent="0.25">
      <c r="O2776"/>
      <c r="P2776"/>
      <c r="Q2776"/>
      <c r="W2776" t="str">
        <f>IF(B2776="","",_xll.BDP(B2776,"INDUSTRY_SECTOR"))</f>
        <v/>
      </c>
      <c r="X2776" t="str">
        <f>IF($B2776="","",_xll.BDP($B2776,"INDUSTRY_GROUP"))</f>
        <v/>
      </c>
      <c r="Y2776" t="str">
        <f>IF($B2776="","",_xll.BDP($B2776,"INDUSTRY_SUBGROUP"))</f>
        <v/>
      </c>
      <c r="Z2776" t="str">
        <f>IF($B2776="","",_xll.BDP($B2776,"COUNTRY_FULL_NAME"))</f>
        <v/>
      </c>
    </row>
    <row r="2777" spans="15:26" x14ac:dyDescent="0.25">
      <c r="O2777"/>
      <c r="P2777"/>
      <c r="Q2777"/>
      <c r="W2777" t="str">
        <f>IF(B2777="","",_xll.BDP(B2777,"INDUSTRY_SECTOR"))</f>
        <v/>
      </c>
      <c r="X2777" t="str">
        <f>IF($B2777="","",_xll.BDP($B2777,"INDUSTRY_GROUP"))</f>
        <v/>
      </c>
      <c r="Y2777" t="str">
        <f>IF($B2777="","",_xll.BDP($B2777,"INDUSTRY_SUBGROUP"))</f>
        <v/>
      </c>
      <c r="Z2777" t="str">
        <f>IF($B2777="","",_xll.BDP($B2777,"COUNTRY_FULL_NAME"))</f>
        <v/>
      </c>
    </row>
    <row r="2778" spans="15:26" x14ac:dyDescent="0.25">
      <c r="O2778"/>
      <c r="P2778"/>
      <c r="Q2778"/>
      <c r="W2778" t="str">
        <f>IF(B2778="","",_xll.BDP(B2778,"INDUSTRY_SECTOR"))</f>
        <v/>
      </c>
      <c r="X2778" t="str">
        <f>IF($B2778="","",_xll.BDP($B2778,"INDUSTRY_GROUP"))</f>
        <v/>
      </c>
      <c r="Y2778" t="str">
        <f>IF($B2778="","",_xll.BDP($B2778,"INDUSTRY_SUBGROUP"))</f>
        <v/>
      </c>
      <c r="Z2778" t="str">
        <f>IF($B2778="","",_xll.BDP($B2778,"COUNTRY_FULL_NAME"))</f>
        <v/>
      </c>
    </row>
    <row r="2779" spans="15:26" x14ac:dyDescent="0.25">
      <c r="O2779"/>
      <c r="P2779"/>
      <c r="Q2779"/>
      <c r="W2779" t="str">
        <f>IF(B2779="","",_xll.BDP(B2779,"INDUSTRY_SECTOR"))</f>
        <v/>
      </c>
      <c r="X2779" t="str">
        <f>IF($B2779="","",_xll.BDP($B2779,"INDUSTRY_GROUP"))</f>
        <v/>
      </c>
      <c r="Y2779" t="str">
        <f>IF($B2779="","",_xll.BDP($B2779,"INDUSTRY_SUBGROUP"))</f>
        <v/>
      </c>
      <c r="Z2779" t="str">
        <f>IF($B2779="","",_xll.BDP($B2779,"COUNTRY_FULL_NAME"))</f>
        <v/>
      </c>
    </row>
    <row r="2780" spans="15:26" x14ac:dyDescent="0.25">
      <c r="O2780"/>
      <c r="P2780"/>
      <c r="Q2780"/>
      <c r="W2780" t="str">
        <f>IF(B2780="","",_xll.BDP(B2780,"INDUSTRY_SECTOR"))</f>
        <v/>
      </c>
      <c r="X2780" t="str">
        <f>IF($B2780="","",_xll.BDP($B2780,"INDUSTRY_GROUP"))</f>
        <v/>
      </c>
      <c r="Y2780" t="str">
        <f>IF($B2780="","",_xll.BDP($B2780,"INDUSTRY_SUBGROUP"))</f>
        <v/>
      </c>
      <c r="Z2780" t="str">
        <f>IF($B2780="","",_xll.BDP($B2780,"COUNTRY_FULL_NAME"))</f>
        <v/>
      </c>
    </row>
    <row r="2781" spans="15:26" x14ac:dyDescent="0.25">
      <c r="O2781"/>
      <c r="P2781"/>
      <c r="Q2781"/>
      <c r="W2781" t="str">
        <f>IF(B2781="","",_xll.BDP(B2781,"INDUSTRY_SECTOR"))</f>
        <v/>
      </c>
      <c r="X2781" t="str">
        <f>IF($B2781="","",_xll.BDP($B2781,"INDUSTRY_GROUP"))</f>
        <v/>
      </c>
      <c r="Y2781" t="str">
        <f>IF($B2781="","",_xll.BDP($B2781,"INDUSTRY_SUBGROUP"))</f>
        <v/>
      </c>
      <c r="Z2781" t="str">
        <f>IF($B2781="","",_xll.BDP($B2781,"COUNTRY_FULL_NAME"))</f>
        <v/>
      </c>
    </row>
    <row r="2782" spans="15:26" x14ac:dyDescent="0.25">
      <c r="O2782"/>
      <c r="P2782"/>
      <c r="Q2782"/>
      <c r="W2782" t="str">
        <f>IF(B2782="","",_xll.BDP(B2782,"INDUSTRY_SECTOR"))</f>
        <v/>
      </c>
      <c r="X2782" t="str">
        <f>IF($B2782="","",_xll.BDP($B2782,"INDUSTRY_GROUP"))</f>
        <v/>
      </c>
      <c r="Y2782" t="str">
        <f>IF($B2782="","",_xll.BDP($B2782,"INDUSTRY_SUBGROUP"))</f>
        <v/>
      </c>
      <c r="Z2782" t="str">
        <f>IF($B2782="","",_xll.BDP($B2782,"COUNTRY_FULL_NAME"))</f>
        <v/>
      </c>
    </row>
    <row r="2783" spans="15:26" x14ac:dyDescent="0.25">
      <c r="O2783"/>
      <c r="P2783"/>
      <c r="Q2783"/>
      <c r="W2783" t="str">
        <f>IF(B2783="","",_xll.BDP(B2783,"INDUSTRY_SECTOR"))</f>
        <v/>
      </c>
      <c r="X2783" t="str">
        <f>IF($B2783="","",_xll.BDP($B2783,"INDUSTRY_GROUP"))</f>
        <v/>
      </c>
      <c r="Y2783" t="str">
        <f>IF($B2783="","",_xll.BDP($B2783,"INDUSTRY_SUBGROUP"))</f>
        <v/>
      </c>
      <c r="Z2783" t="str">
        <f>IF($B2783="","",_xll.BDP($B2783,"COUNTRY_FULL_NAME"))</f>
        <v/>
      </c>
    </row>
    <row r="2784" spans="15:26" x14ac:dyDescent="0.25">
      <c r="O2784"/>
      <c r="P2784"/>
      <c r="Q2784"/>
      <c r="W2784" t="str">
        <f>IF(B2784="","",_xll.BDP(B2784,"INDUSTRY_SECTOR"))</f>
        <v/>
      </c>
      <c r="X2784" t="str">
        <f>IF($B2784="","",_xll.BDP($B2784,"INDUSTRY_GROUP"))</f>
        <v/>
      </c>
      <c r="Y2784" t="str">
        <f>IF($B2784="","",_xll.BDP($B2784,"INDUSTRY_SUBGROUP"))</f>
        <v/>
      </c>
      <c r="Z2784" t="str">
        <f>IF($B2784="","",_xll.BDP($B2784,"COUNTRY_FULL_NAME"))</f>
        <v/>
      </c>
    </row>
    <row r="2785" spans="15:26" x14ac:dyDescent="0.25">
      <c r="O2785"/>
      <c r="P2785"/>
      <c r="Q2785"/>
      <c r="W2785" t="str">
        <f>IF(B2785="","",_xll.BDP(B2785,"INDUSTRY_SECTOR"))</f>
        <v/>
      </c>
      <c r="X2785" t="str">
        <f>IF($B2785="","",_xll.BDP($B2785,"INDUSTRY_GROUP"))</f>
        <v/>
      </c>
      <c r="Y2785" t="str">
        <f>IF($B2785="","",_xll.BDP($B2785,"INDUSTRY_SUBGROUP"))</f>
        <v/>
      </c>
      <c r="Z2785" t="str">
        <f>IF($B2785="","",_xll.BDP($B2785,"COUNTRY_FULL_NAME"))</f>
        <v/>
      </c>
    </row>
    <row r="2786" spans="15:26" x14ac:dyDescent="0.25">
      <c r="O2786"/>
      <c r="P2786"/>
      <c r="Q2786"/>
      <c r="W2786" t="str">
        <f>IF(B2786="","",_xll.BDP(B2786,"INDUSTRY_SECTOR"))</f>
        <v/>
      </c>
      <c r="X2786" t="str">
        <f>IF($B2786="","",_xll.BDP($B2786,"INDUSTRY_GROUP"))</f>
        <v/>
      </c>
      <c r="Y2786" t="str">
        <f>IF($B2786="","",_xll.BDP($B2786,"INDUSTRY_SUBGROUP"))</f>
        <v/>
      </c>
      <c r="Z2786" t="str">
        <f>IF($B2786="","",_xll.BDP($B2786,"COUNTRY_FULL_NAME"))</f>
        <v/>
      </c>
    </row>
    <row r="2787" spans="15:26" x14ac:dyDescent="0.25">
      <c r="O2787"/>
      <c r="P2787"/>
      <c r="Q2787"/>
      <c r="W2787" t="str">
        <f>IF(B2787="","",_xll.BDP(B2787,"INDUSTRY_SECTOR"))</f>
        <v/>
      </c>
      <c r="X2787" t="str">
        <f>IF($B2787="","",_xll.BDP($B2787,"INDUSTRY_GROUP"))</f>
        <v/>
      </c>
      <c r="Y2787" t="str">
        <f>IF($B2787="","",_xll.BDP($B2787,"INDUSTRY_SUBGROUP"))</f>
        <v/>
      </c>
      <c r="Z2787" t="str">
        <f>IF($B2787="","",_xll.BDP($B2787,"COUNTRY_FULL_NAME"))</f>
        <v/>
      </c>
    </row>
    <row r="2788" spans="15:26" x14ac:dyDescent="0.25">
      <c r="O2788"/>
      <c r="P2788"/>
      <c r="Q2788"/>
      <c r="W2788" t="str">
        <f>IF(B2788="","",_xll.BDP(B2788,"INDUSTRY_SECTOR"))</f>
        <v/>
      </c>
      <c r="X2788" t="str">
        <f>IF($B2788="","",_xll.BDP($B2788,"INDUSTRY_GROUP"))</f>
        <v/>
      </c>
      <c r="Y2788" t="str">
        <f>IF($B2788="","",_xll.BDP($B2788,"INDUSTRY_SUBGROUP"))</f>
        <v/>
      </c>
      <c r="Z2788" t="str">
        <f>IF($B2788="","",_xll.BDP($B2788,"COUNTRY_FULL_NAME"))</f>
        <v/>
      </c>
    </row>
    <row r="2789" spans="15:26" x14ac:dyDescent="0.25">
      <c r="O2789"/>
      <c r="P2789"/>
      <c r="Q2789"/>
      <c r="W2789" t="str">
        <f>IF(B2789="","",_xll.BDP(B2789,"INDUSTRY_SECTOR"))</f>
        <v/>
      </c>
      <c r="X2789" t="str">
        <f>IF($B2789="","",_xll.BDP($B2789,"INDUSTRY_GROUP"))</f>
        <v/>
      </c>
      <c r="Y2789" t="str">
        <f>IF($B2789="","",_xll.BDP($B2789,"INDUSTRY_SUBGROUP"))</f>
        <v/>
      </c>
      <c r="Z2789" t="str">
        <f>IF($B2789="","",_xll.BDP($B2789,"COUNTRY_FULL_NAME"))</f>
        <v/>
      </c>
    </row>
    <row r="2790" spans="15:26" x14ac:dyDescent="0.25">
      <c r="O2790"/>
      <c r="P2790"/>
      <c r="Q2790"/>
      <c r="W2790" t="str">
        <f>IF(B2790="","",_xll.BDP(B2790,"INDUSTRY_SECTOR"))</f>
        <v/>
      </c>
      <c r="X2790" t="str">
        <f>IF($B2790="","",_xll.BDP($B2790,"INDUSTRY_GROUP"))</f>
        <v/>
      </c>
      <c r="Y2790" t="str">
        <f>IF($B2790="","",_xll.BDP($B2790,"INDUSTRY_SUBGROUP"))</f>
        <v/>
      </c>
      <c r="Z2790" t="str">
        <f>IF($B2790="","",_xll.BDP($B2790,"COUNTRY_FULL_NAME"))</f>
        <v/>
      </c>
    </row>
    <row r="2791" spans="15:26" x14ac:dyDescent="0.25">
      <c r="O2791"/>
      <c r="P2791"/>
      <c r="Q2791"/>
      <c r="W2791" t="str">
        <f>IF(B2791="","",_xll.BDP(B2791,"INDUSTRY_SECTOR"))</f>
        <v/>
      </c>
      <c r="X2791" t="str">
        <f>IF($B2791="","",_xll.BDP($B2791,"INDUSTRY_GROUP"))</f>
        <v/>
      </c>
      <c r="Y2791" t="str">
        <f>IF($B2791="","",_xll.BDP($B2791,"INDUSTRY_SUBGROUP"))</f>
        <v/>
      </c>
      <c r="Z2791" t="str">
        <f>IF($B2791="","",_xll.BDP($B2791,"COUNTRY_FULL_NAME"))</f>
        <v/>
      </c>
    </row>
    <row r="2792" spans="15:26" x14ac:dyDescent="0.25">
      <c r="O2792"/>
      <c r="P2792"/>
      <c r="Q2792"/>
      <c r="W2792" t="str">
        <f>IF(B2792="","",_xll.BDP(B2792,"INDUSTRY_SECTOR"))</f>
        <v/>
      </c>
      <c r="X2792" t="str">
        <f>IF($B2792="","",_xll.BDP($B2792,"INDUSTRY_GROUP"))</f>
        <v/>
      </c>
      <c r="Y2792" t="str">
        <f>IF($B2792="","",_xll.BDP($B2792,"INDUSTRY_SUBGROUP"))</f>
        <v/>
      </c>
      <c r="Z2792" t="str">
        <f>IF($B2792="","",_xll.BDP($B2792,"COUNTRY_FULL_NAME"))</f>
        <v/>
      </c>
    </row>
    <row r="2793" spans="15:26" x14ac:dyDescent="0.25">
      <c r="O2793"/>
      <c r="P2793"/>
      <c r="Q2793"/>
      <c r="W2793" t="str">
        <f>IF(B2793="","",_xll.BDP(B2793,"INDUSTRY_SECTOR"))</f>
        <v/>
      </c>
      <c r="X2793" t="str">
        <f>IF($B2793="","",_xll.BDP($B2793,"INDUSTRY_GROUP"))</f>
        <v/>
      </c>
      <c r="Y2793" t="str">
        <f>IF($B2793="","",_xll.BDP($B2793,"INDUSTRY_SUBGROUP"))</f>
        <v/>
      </c>
      <c r="Z2793" t="str">
        <f>IF($B2793="","",_xll.BDP($B2793,"COUNTRY_FULL_NAME"))</f>
        <v/>
      </c>
    </row>
    <row r="2794" spans="15:26" x14ac:dyDescent="0.25">
      <c r="O2794"/>
      <c r="P2794"/>
      <c r="Q2794"/>
      <c r="W2794" t="str">
        <f>IF(B2794="","",_xll.BDP(B2794,"INDUSTRY_SECTOR"))</f>
        <v/>
      </c>
      <c r="X2794" t="str">
        <f>IF($B2794="","",_xll.BDP($B2794,"INDUSTRY_GROUP"))</f>
        <v/>
      </c>
      <c r="Y2794" t="str">
        <f>IF($B2794="","",_xll.BDP($B2794,"INDUSTRY_SUBGROUP"))</f>
        <v/>
      </c>
      <c r="Z2794" t="str">
        <f>IF($B2794="","",_xll.BDP($B2794,"COUNTRY_FULL_NAME"))</f>
        <v/>
      </c>
    </row>
    <row r="2795" spans="15:26" x14ac:dyDescent="0.25">
      <c r="O2795"/>
      <c r="P2795"/>
      <c r="Q2795"/>
      <c r="W2795" t="str">
        <f>IF(B2795="","",_xll.BDP(B2795,"INDUSTRY_SECTOR"))</f>
        <v/>
      </c>
      <c r="X2795" t="str">
        <f>IF($B2795="","",_xll.BDP($B2795,"INDUSTRY_GROUP"))</f>
        <v/>
      </c>
      <c r="Y2795" t="str">
        <f>IF($B2795="","",_xll.BDP($B2795,"INDUSTRY_SUBGROUP"))</f>
        <v/>
      </c>
      <c r="Z2795" t="str">
        <f>IF($B2795="","",_xll.BDP($B2795,"COUNTRY_FULL_NAME"))</f>
        <v/>
      </c>
    </row>
    <row r="2796" spans="15:26" x14ac:dyDescent="0.25">
      <c r="O2796"/>
      <c r="P2796"/>
      <c r="Q2796"/>
      <c r="W2796" t="str">
        <f>IF(B2796="","",_xll.BDP(B2796,"INDUSTRY_SECTOR"))</f>
        <v/>
      </c>
      <c r="X2796" t="str">
        <f>IF($B2796="","",_xll.BDP($B2796,"INDUSTRY_GROUP"))</f>
        <v/>
      </c>
      <c r="Y2796" t="str">
        <f>IF($B2796="","",_xll.BDP($B2796,"INDUSTRY_SUBGROUP"))</f>
        <v/>
      </c>
      <c r="Z2796" t="str">
        <f>IF($B2796="","",_xll.BDP($B2796,"COUNTRY_FULL_NAME"))</f>
        <v/>
      </c>
    </row>
    <row r="2797" spans="15:26" x14ac:dyDescent="0.25">
      <c r="O2797"/>
      <c r="P2797"/>
      <c r="Q2797"/>
      <c r="W2797" t="str">
        <f>IF(B2797="","",_xll.BDP(B2797,"INDUSTRY_SECTOR"))</f>
        <v/>
      </c>
      <c r="X2797" t="str">
        <f>IF($B2797="","",_xll.BDP($B2797,"INDUSTRY_GROUP"))</f>
        <v/>
      </c>
      <c r="Y2797" t="str">
        <f>IF($B2797="","",_xll.BDP($B2797,"INDUSTRY_SUBGROUP"))</f>
        <v/>
      </c>
      <c r="Z2797" t="str">
        <f>IF($B2797="","",_xll.BDP($B2797,"COUNTRY_FULL_NAME"))</f>
        <v/>
      </c>
    </row>
    <row r="2798" spans="15:26" x14ac:dyDescent="0.25">
      <c r="O2798"/>
      <c r="P2798"/>
      <c r="Q2798"/>
      <c r="W2798" t="str">
        <f>IF(B2798="","",_xll.BDP(B2798,"INDUSTRY_SECTOR"))</f>
        <v/>
      </c>
      <c r="X2798" t="str">
        <f>IF($B2798="","",_xll.BDP($B2798,"INDUSTRY_GROUP"))</f>
        <v/>
      </c>
      <c r="Y2798" t="str">
        <f>IF($B2798="","",_xll.BDP($B2798,"INDUSTRY_SUBGROUP"))</f>
        <v/>
      </c>
      <c r="Z2798" t="str">
        <f>IF($B2798="","",_xll.BDP($B2798,"COUNTRY_FULL_NAME"))</f>
        <v/>
      </c>
    </row>
    <row r="2799" spans="15:26" x14ac:dyDescent="0.25">
      <c r="O2799"/>
      <c r="P2799"/>
      <c r="Q2799"/>
      <c r="W2799" t="str">
        <f>IF(B2799="","",_xll.BDP(B2799,"INDUSTRY_SECTOR"))</f>
        <v/>
      </c>
      <c r="X2799" t="str">
        <f>IF($B2799="","",_xll.BDP($B2799,"INDUSTRY_GROUP"))</f>
        <v/>
      </c>
      <c r="Y2799" t="str">
        <f>IF($B2799="","",_xll.BDP($B2799,"INDUSTRY_SUBGROUP"))</f>
        <v/>
      </c>
      <c r="Z2799" t="str">
        <f>IF($B2799="","",_xll.BDP($B2799,"COUNTRY_FULL_NAME"))</f>
        <v/>
      </c>
    </row>
    <row r="2800" spans="15:26" x14ac:dyDescent="0.25">
      <c r="O2800"/>
      <c r="P2800"/>
      <c r="Q2800"/>
      <c r="W2800" t="str">
        <f>IF(B2800="","",_xll.BDP(B2800,"INDUSTRY_SECTOR"))</f>
        <v/>
      </c>
      <c r="X2800" t="str">
        <f>IF($B2800="","",_xll.BDP($B2800,"INDUSTRY_GROUP"))</f>
        <v/>
      </c>
      <c r="Y2800" t="str">
        <f>IF($B2800="","",_xll.BDP($B2800,"INDUSTRY_SUBGROUP"))</f>
        <v/>
      </c>
      <c r="Z2800" t="str">
        <f>IF($B2800="","",_xll.BDP($B2800,"COUNTRY_FULL_NAME"))</f>
        <v/>
      </c>
    </row>
    <row r="2801" spans="15:26" x14ac:dyDescent="0.25">
      <c r="O2801"/>
      <c r="P2801"/>
      <c r="Q2801"/>
      <c r="W2801" t="str">
        <f>IF(B2801="","",_xll.BDP(B2801,"INDUSTRY_SECTOR"))</f>
        <v/>
      </c>
      <c r="X2801" t="str">
        <f>IF($B2801="","",_xll.BDP($B2801,"INDUSTRY_GROUP"))</f>
        <v/>
      </c>
      <c r="Y2801" t="str">
        <f>IF($B2801="","",_xll.BDP($B2801,"INDUSTRY_SUBGROUP"))</f>
        <v/>
      </c>
      <c r="Z2801" t="str">
        <f>IF($B2801="","",_xll.BDP($B2801,"COUNTRY_FULL_NAME"))</f>
        <v/>
      </c>
    </row>
    <row r="2802" spans="15:26" x14ac:dyDescent="0.25">
      <c r="O2802"/>
      <c r="P2802"/>
      <c r="Q2802"/>
      <c r="W2802" t="str">
        <f>IF(B2802="","",_xll.BDP(B2802,"INDUSTRY_SECTOR"))</f>
        <v/>
      </c>
      <c r="X2802" t="str">
        <f>IF($B2802="","",_xll.BDP($B2802,"INDUSTRY_GROUP"))</f>
        <v/>
      </c>
      <c r="Y2802" t="str">
        <f>IF($B2802="","",_xll.BDP($B2802,"INDUSTRY_SUBGROUP"))</f>
        <v/>
      </c>
      <c r="Z2802" t="str">
        <f>IF($B2802="","",_xll.BDP($B2802,"COUNTRY_FULL_NAME"))</f>
        <v/>
      </c>
    </row>
    <row r="2803" spans="15:26" x14ac:dyDescent="0.25">
      <c r="O2803"/>
      <c r="P2803"/>
      <c r="Q2803"/>
      <c r="W2803" t="str">
        <f>IF(B2803="","",_xll.BDP(B2803,"INDUSTRY_SECTOR"))</f>
        <v/>
      </c>
      <c r="X2803" t="str">
        <f>IF($B2803="","",_xll.BDP($B2803,"INDUSTRY_GROUP"))</f>
        <v/>
      </c>
      <c r="Y2803" t="str">
        <f>IF($B2803="","",_xll.BDP($B2803,"INDUSTRY_SUBGROUP"))</f>
        <v/>
      </c>
      <c r="Z2803" t="str">
        <f>IF($B2803="","",_xll.BDP($B2803,"COUNTRY_FULL_NAME"))</f>
        <v/>
      </c>
    </row>
    <row r="2804" spans="15:26" x14ac:dyDescent="0.25">
      <c r="O2804"/>
      <c r="P2804"/>
      <c r="Q2804"/>
      <c r="W2804" t="str">
        <f>IF(B2804="","",_xll.BDP(B2804,"INDUSTRY_SECTOR"))</f>
        <v/>
      </c>
      <c r="X2804" t="str">
        <f>IF($B2804="","",_xll.BDP($B2804,"INDUSTRY_GROUP"))</f>
        <v/>
      </c>
      <c r="Y2804" t="str">
        <f>IF($B2804="","",_xll.BDP($B2804,"INDUSTRY_SUBGROUP"))</f>
        <v/>
      </c>
      <c r="Z2804" t="str">
        <f>IF($B2804="","",_xll.BDP($B2804,"COUNTRY_FULL_NAME"))</f>
        <v/>
      </c>
    </row>
    <row r="2805" spans="15:26" x14ac:dyDescent="0.25">
      <c r="O2805"/>
      <c r="P2805"/>
      <c r="Q2805"/>
      <c r="W2805" t="str">
        <f>IF(B2805="","",_xll.BDP(B2805,"INDUSTRY_SECTOR"))</f>
        <v/>
      </c>
      <c r="X2805" t="str">
        <f>IF($B2805="","",_xll.BDP($B2805,"INDUSTRY_GROUP"))</f>
        <v/>
      </c>
      <c r="Y2805" t="str">
        <f>IF($B2805="","",_xll.BDP($B2805,"INDUSTRY_SUBGROUP"))</f>
        <v/>
      </c>
      <c r="Z2805" t="str">
        <f>IF($B2805="","",_xll.BDP($B2805,"COUNTRY_FULL_NAME"))</f>
        <v/>
      </c>
    </row>
    <row r="2806" spans="15:26" x14ac:dyDescent="0.25">
      <c r="O2806"/>
      <c r="P2806"/>
      <c r="Q2806"/>
      <c r="W2806" t="str">
        <f>IF(B2806="","",_xll.BDP(B2806,"INDUSTRY_SECTOR"))</f>
        <v/>
      </c>
      <c r="X2806" t="str">
        <f>IF($B2806="","",_xll.BDP($B2806,"INDUSTRY_GROUP"))</f>
        <v/>
      </c>
      <c r="Y2806" t="str">
        <f>IF($B2806="","",_xll.BDP($B2806,"INDUSTRY_SUBGROUP"))</f>
        <v/>
      </c>
      <c r="Z2806" t="str">
        <f>IF($B2806="","",_xll.BDP($B2806,"COUNTRY_FULL_NAME"))</f>
        <v/>
      </c>
    </row>
    <row r="2807" spans="15:26" x14ac:dyDescent="0.25">
      <c r="O2807"/>
      <c r="P2807"/>
      <c r="Q2807"/>
      <c r="W2807" t="str">
        <f>IF(B2807="","",_xll.BDP(B2807,"INDUSTRY_SECTOR"))</f>
        <v/>
      </c>
      <c r="X2807" t="str">
        <f>IF($B2807="","",_xll.BDP($B2807,"INDUSTRY_GROUP"))</f>
        <v/>
      </c>
      <c r="Y2807" t="str">
        <f>IF($B2807="","",_xll.BDP($B2807,"INDUSTRY_SUBGROUP"))</f>
        <v/>
      </c>
      <c r="Z2807" t="str">
        <f>IF($B2807="","",_xll.BDP($B2807,"COUNTRY_FULL_NAME"))</f>
        <v/>
      </c>
    </row>
    <row r="2808" spans="15:26" x14ac:dyDescent="0.25">
      <c r="O2808"/>
      <c r="P2808"/>
      <c r="Q2808"/>
      <c r="W2808" t="str">
        <f>IF(B2808="","",_xll.BDP(B2808,"INDUSTRY_SECTOR"))</f>
        <v/>
      </c>
      <c r="X2808" t="str">
        <f>IF($B2808="","",_xll.BDP($B2808,"INDUSTRY_GROUP"))</f>
        <v/>
      </c>
      <c r="Y2808" t="str">
        <f>IF($B2808="","",_xll.BDP($B2808,"INDUSTRY_SUBGROUP"))</f>
        <v/>
      </c>
      <c r="Z2808" t="str">
        <f>IF($B2808="","",_xll.BDP($B2808,"COUNTRY_FULL_NAME"))</f>
        <v/>
      </c>
    </row>
    <row r="2809" spans="15:26" x14ac:dyDescent="0.25">
      <c r="O2809"/>
      <c r="P2809"/>
      <c r="Q2809"/>
      <c r="W2809" t="str">
        <f>IF(B2809="","",_xll.BDP(B2809,"INDUSTRY_SECTOR"))</f>
        <v/>
      </c>
      <c r="X2809" t="str">
        <f>IF($B2809="","",_xll.BDP($B2809,"INDUSTRY_GROUP"))</f>
        <v/>
      </c>
      <c r="Y2809" t="str">
        <f>IF($B2809="","",_xll.BDP($B2809,"INDUSTRY_SUBGROUP"))</f>
        <v/>
      </c>
      <c r="Z2809" t="str">
        <f>IF($B2809="","",_xll.BDP($B2809,"COUNTRY_FULL_NAME"))</f>
        <v/>
      </c>
    </row>
    <row r="2810" spans="15:26" x14ac:dyDescent="0.25">
      <c r="O2810"/>
      <c r="P2810"/>
      <c r="Q2810"/>
      <c r="W2810" t="str">
        <f>IF(B2810="","",_xll.BDP(B2810,"INDUSTRY_SECTOR"))</f>
        <v/>
      </c>
      <c r="X2810" t="str">
        <f>IF($B2810="","",_xll.BDP($B2810,"INDUSTRY_GROUP"))</f>
        <v/>
      </c>
      <c r="Y2810" t="str">
        <f>IF($B2810="","",_xll.BDP($B2810,"INDUSTRY_SUBGROUP"))</f>
        <v/>
      </c>
      <c r="Z2810" t="str">
        <f>IF($B2810="","",_xll.BDP($B2810,"COUNTRY_FULL_NAME"))</f>
        <v/>
      </c>
    </row>
    <row r="2811" spans="15:26" x14ac:dyDescent="0.25">
      <c r="O2811"/>
      <c r="P2811"/>
      <c r="Q2811"/>
      <c r="W2811" t="str">
        <f>IF(B2811="","",_xll.BDP(B2811,"INDUSTRY_SECTOR"))</f>
        <v/>
      </c>
      <c r="X2811" t="str">
        <f>IF($B2811="","",_xll.BDP($B2811,"INDUSTRY_GROUP"))</f>
        <v/>
      </c>
      <c r="Y2811" t="str">
        <f>IF($B2811="","",_xll.BDP($B2811,"INDUSTRY_SUBGROUP"))</f>
        <v/>
      </c>
      <c r="Z2811" t="str">
        <f>IF($B2811="","",_xll.BDP($B2811,"COUNTRY_FULL_NAME"))</f>
        <v/>
      </c>
    </row>
    <row r="2812" spans="15:26" x14ac:dyDescent="0.25">
      <c r="O2812"/>
      <c r="P2812"/>
      <c r="Q2812"/>
      <c r="W2812" t="str">
        <f>IF(B2812="","",_xll.BDP(B2812,"INDUSTRY_SECTOR"))</f>
        <v/>
      </c>
      <c r="X2812" t="str">
        <f>IF($B2812="","",_xll.BDP($B2812,"INDUSTRY_GROUP"))</f>
        <v/>
      </c>
      <c r="Y2812" t="str">
        <f>IF($B2812="","",_xll.BDP($B2812,"INDUSTRY_SUBGROUP"))</f>
        <v/>
      </c>
      <c r="Z2812" t="str">
        <f>IF($B2812="","",_xll.BDP($B2812,"COUNTRY_FULL_NAME"))</f>
        <v/>
      </c>
    </row>
    <row r="2813" spans="15:26" x14ac:dyDescent="0.25">
      <c r="O2813"/>
      <c r="P2813"/>
      <c r="Q2813"/>
      <c r="W2813" t="str">
        <f>IF(B2813="","",_xll.BDP(B2813,"INDUSTRY_SECTOR"))</f>
        <v/>
      </c>
      <c r="X2813" t="str">
        <f>IF($B2813="","",_xll.BDP($B2813,"INDUSTRY_GROUP"))</f>
        <v/>
      </c>
      <c r="Y2813" t="str">
        <f>IF($B2813="","",_xll.BDP($B2813,"INDUSTRY_SUBGROUP"))</f>
        <v/>
      </c>
      <c r="Z2813" t="str">
        <f>IF($B2813="","",_xll.BDP($B2813,"COUNTRY_FULL_NAME"))</f>
        <v/>
      </c>
    </row>
    <row r="2814" spans="15:26" x14ac:dyDescent="0.25">
      <c r="O2814"/>
      <c r="P2814"/>
      <c r="Q2814"/>
      <c r="W2814" t="str">
        <f>IF(B2814="","",_xll.BDP(B2814,"INDUSTRY_SECTOR"))</f>
        <v/>
      </c>
      <c r="X2814" t="str">
        <f>IF($B2814="","",_xll.BDP($B2814,"INDUSTRY_GROUP"))</f>
        <v/>
      </c>
      <c r="Y2814" t="str">
        <f>IF($B2814="","",_xll.BDP($B2814,"INDUSTRY_SUBGROUP"))</f>
        <v/>
      </c>
      <c r="Z2814" t="str">
        <f>IF($B2814="","",_xll.BDP($B2814,"COUNTRY_FULL_NAME"))</f>
        <v/>
      </c>
    </row>
    <row r="2815" spans="15:26" x14ac:dyDescent="0.25">
      <c r="O2815"/>
      <c r="P2815"/>
      <c r="Q2815"/>
      <c r="W2815" t="str">
        <f>IF(B2815="","",_xll.BDP(B2815,"INDUSTRY_SECTOR"))</f>
        <v/>
      </c>
      <c r="X2815" t="str">
        <f>IF($B2815="","",_xll.BDP($B2815,"INDUSTRY_GROUP"))</f>
        <v/>
      </c>
      <c r="Y2815" t="str">
        <f>IF($B2815="","",_xll.BDP($B2815,"INDUSTRY_SUBGROUP"))</f>
        <v/>
      </c>
      <c r="Z2815" t="str">
        <f>IF($B2815="","",_xll.BDP($B2815,"COUNTRY_FULL_NAME"))</f>
        <v/>
      </c>
    </row>
    <row r="2816" spans="15:26" x14ac:dyDescent="0.25">
      <c r="O2816"/>
      <c r="P2816"/>
      <c r="Q2816"/>
      <c r="W2816" t="str">
        <f>IF(B2816="","",_xll.BDP(B2816,"INDUSTRY_SECTOR"))</f>
        <v/>
      </c>
      <c r="X2816" t="str">
        <f>IF($B2816="","",_xll.BDP($B2816,"INDUSTRY_GROUP"))</f>
        <v/>
      </c>
      <c r="Y2816" t="str">
        <f>IF($B2816="","",_xll.BDP($B2816,"INDUSTRY_SUBGROUP"))</f>
        <v/>
      </c>
      <c r="Z2816" t="str">
        <f>IF($B2816="","",_xll.BDP($B2816,"COUNTRY_FULL_NAME"))</f>
        <v/>
      </c>
    </row>
    <row r="2817" spans="15:26" x14ac:dyDescent="0.25">
      <c r="O2817"/>
      <c r="P2817"/>
      <c r="Q2817"/>
      <c r="W2817" t="str">
        <f>IF(B2817="","",_xll.BDP(B2817,"INDUSTRY_SECTOR"))</f>
        <v/>
      </c>
      <c r="X2817" t="str">
        <f>IF($B2817="","",_xll.BDP($B2817,"INDUSTRY_GROUP"))</f>
        <v/>
      </c>
      <c r="Y2817" t="str">
        <f>IF($B2817="","",_xll.BDP($B2817,"INDUSTRY_SUBGROUP"))</f>
        <v/>
      </c>
      <c r="Z2817" t="str">
        <f>IF($B2817="","",_xll.BDP($B2817,"COUNTRY_FULL_NAME"))</f>
        <v/>
      </c>
    </row>
    <row r="2818" spans="15:26" x14ac:dyDescent="0.25">
      <c r="O2818"/>
      <c r="P2818"/>
      <c r="Q2818"/>
      <c r="W2818" t="str">
        <f>IF(B2818="","",_xll.BDP(B2818,"INDUSTRY_SECTOR"))</f>
        <v/>
      </c>
      <c r="X2818" t="str">
        <f>IF($B2818="","",_xll.BDP($B2818,"INDUSTRY_GROUP"))</f>
        <v/>
      </c>
      <c r="Y2818" t="str">
        <f>IF($B2818="","",_xll.BDP($B2818,"INDUSTRY_SUBGROUP"))</f>
        <v/>
      </c>
      <c r="Z2818" t="str">
        <f>IF($B2818="","",_xll.BDP($B2818,"COUNTRY_FULL_NAME"))</f>
        <v/>
      </c>
    </row>
    <row r="2819" spans="15:26" x14ac:dyDescent="0.25">
      <c r="O2819"/>
      <c r="P2819"/>
      <c r="Q2819"/>
      <c r="W2819" t="str">
        <f>IF(B2819="","",_xll.BDP(B2819,"INDUSTRY_SECTOR"))</f>
        <v/>
      </c>
      <c r="X2819" t="str">
        <f>IF($B2819="","",_xll.BDP($B2819,"INDUSTRY_GROUP"))</f>
        <v/>
      </c>
      <c r="Y2819" t="str">
        <f>IF($B2819="","",_xll.BDP($B2819,"INDUSTRY_SUBGROUP"))</f>
        <v/>
      </c>
      <c r="Z2819" t="str">
        <f>IF($B2819="","",_xll.BDP($B2819,"COUNTRY_FULL_NAME"))</f>
        <v/>
      </c>
    </row>
    <row r="2820" spans="15:26" x14ac:dyDescent="0.25">
      <c r="O2820"/>
      <c r="P2820"/>
      <c r="Q2820"/>
      <c r="W2820" t="str">
        <f>IF(B2820="","",_xll.BDP(B2820,"INDUSTRY_SECTOR"))</f>
        <v/>
      </c>
      <c r="X2820" t="str">
        <f>IF($B2820="","",_xll.BDP($B2820,"INDUSTRY_GROUP"))</f>
        <v/>
      </c>
      <c r="Y2820" t="str">
        <f>IF($B2820="","",_xll.BDP($B2820,"INDUSTRY_SUBGROUP"))</f>
        <v/>
      </c>
      <c r="Z2820" t="str">
        <f>IF($B2820="","",_xll.BDP($B2820,"COUNTRY_FULL_NAME"))</f>
        <v/>
      </c>
    </row>
    <row r="2821" spans="15:26" x14ac:dyDescent="0.25">
      <c r="O2821"/>
      <c r="P2821"/>
      <c r="Q2821"/>
      <c r="W2821" t="str">
        <f>IF(B2821="","",_xll.BDP(B2821,"INDUSTRY_SECTOR"))</f>
        <v/>
      </c>
      <c r="X2821" t="str">
        <f>IF($B2821="","",_xll.BDP($B2821,"INDUSTRY_GROUP"))</f>
        <v/>
      </c>
      <c r="Y2821" t="str">
        <f>IF($B2821="","",_xll.BDP($B2821,"INDUSTRY_SUBGROUP"))</f>
        <v/>
      </c>
      <c r="Z2821" t="str">
        <f>IF($B2821="","",_xll.BDP($B2821,"COUNTRY_FULL_NAME"))</f>
        <v/>
      </c>
    </row>
    <row r="2822" spans="15:26" x14ac:dyDescent="0.25">
      <c r="O2822"/>
      <c r="P2822"/>
      <c r="Q2822"/>
      <c r="W2822" t="str">
        <f>IF(B2822="","",_xll.BDP(B2822,"INDUSTRY_SECTOR"))</f>
        <v/>
      </c>
      <c r="X2822" t="str">
        <f>IF($B2822="","",_xll.BDP($B2822,"INDUSTRY_GROUP"))</f>
        <v/>
      </c>
      <c r="Y2822" t="str">
        <f>IF($B2822="","",_xll.BDP($B2822,"INDUSTRY_SUBGROUP"))</f>
        <v/>
      </c>
      <c r="Z2822" t="str">
        <f>IF($B2822="","",_xll.BDP($B2822,"COUNTRY_FULL_NAME"))</f>
        <v/>
      </c>
    </row>
    <row r="2823" spans="15:26" x14ac:dyDescent="0.25">
      <c r="O2823"/>
      <c r="P2823"/>
      <c r="Q2823"/>
      <c r="W2823" t="str">
        <f>IF(B2823="","",_xll.BDP(B2823,"INDUSTRY_SECTOR"))</f>
        <v/>
      </c>
      <c r="X2823" t="str">
        <f>IF($B2823="","",_xll.BDP($B2823,"INDUSTRY_GROUP"))</f>
        <v/>
      </c>
      <c r="Y2823" t="str">
        <f>IF($B2823="","",_xll.BDP($B2823,"INDUSTRY_SUBGROUP"))</f>
        <v/>
      </c>
      <c r="Z2823" t="str">
        <f>IF($B2823="","",_xll.BDP($B2823,"COUNTRY_FULL_NAME"))</f>
        <v/>
      </c>
    </row>
    <row r="2824" spans="15:26" x14ac:dyDescent="0.25">
      <c r="O2824"/>
      <c r="P2824"/>
      <c r="Q2824"/>
      <c r="W2824" t="str">
        <f>IF(B2824="","",_xll.BDP(B2824,"INDUSTRY_SECTOR"))</f>
        <v/>
      </c>
      <c r="X2824" t="str">
        <f>IF($B2824="","",_xll.BDP($B2824,"INDUSTRY_GROUP"))</f>
        <v/>
      </c>
      <c r="Y2824" t="str">
        <f>IF($B2824="","",_xll.BDP($B2824,"INDUSTRY_SUBGROUP"))</f>
        <v/>
      </c>
      <c r="Z2824" t="str">
        <f>IF($B2824="","",_xll.BDP($B2824,"COUNTRY_FULL_NAME"))</f>
        <v/>
      </c>
    </row>
    <row r="2825" spans="15:26" x14ac:dyDescent="0.25">
      <c r="O2825"/>
      <c r="P2825"/>
      <c r="Q2825"/>
      <c r="W2825" t="str">
        <f>IF(B2825="","",_xll.BDP(B2825,"INDUSTRY_SECTOR"))</f>
        <v/>
      </c>
      <c r="X2825" t="str">
        <f>IF($B2825="","",_xll.BDP($B2825,"INDUSTRY_GROUP"))</f>
        <v/>
      </c>
      <c r="Y2825" t="str">
        <f>IF($B2825="","",_xll.BDP($B2825,"INDUSTRY_SUBGROUP"))</f>
        <v/>
      </c>
      <c r="Z2825" t="str">
        <f>IF($B2825="","",_xll.BDP($B2825,"COUNTRY_FULL_NAME"))</f>
        <v/>
      </c>
    </row>
    <row r="2826" spans="15:26" x14ac:dyDescent="0.25">
      <c r="O2826"/>
      <c r="P2826"/>
      <c r="Q2826"/>
      <c r="W2826" t="str">
        <f>IF(B2826="","",_xll.BDP(B2826,"INDUSTRY_SECTOR"))</f>
        <v/>
      </c>
      <c r="X2826" t="str">
        <f>IF($B2826="","",_xll.BDP($B2826,"INDUSTRY_GROUP"))</f>
        <v/>
      </c>
      <c r="Y2826" t="str">
        <f>IF($B2826="","",_xll.BDP($B2826,"INDUSTRY_SUBGROUP"))</f>
        <v/>
      </c>
      <c r="Z2826" t="str">
        <f>IF($B2826="","",_xll.BDP($B2826,"COUNTRY_FULL_NAME"))</f>
        <v/>
      </c>
    </row>
    <row r="2827" spans="15:26" x14ac:dyDescent="0.25">
      <c r="O2827"/>
      <c r="P2827"/>
      <c r="Q2827"/>
      <c r="W2827" t="str">
        <f>IF(B2827="","",_xll.BDP(B2827,"INDUSTRY_SECTOR"))</f>
        <v/>
      </c>
      <c r="X2827" t="str">
        <f>IF($B2827="","",_xll.BDP($B2827,"INDUSTRY_GROUP"))</f>
        <v/>
      </c>
      <c r="Y2827" t="str">
        <f>IF($B2827="","",_xll.BDP($B2827,"INDUSTRY_SUBGROUP"))</f>
        <v/>
      </c>
      <c r="Z2827" t="str">
        <f>IF($B2827="","",_xll.BDP($B2827,"COUNTRY_FULL_NAME"))</f>
        <v/>
      </c>
    </row>
    <row r="2828" spans="15:26" x14ac:dyDescent="0.25">
      <c r="O2828"/>
      <c r="P2828"/>
      <c r="Q2828"/>
      <c r="W2828" t="str">
        <f>IF(B2828="","",_xll.BDP(B2828,"INDUSTRY_SECTOR"))</f>
        <v/>
      </c>
      <c r="X2828" t="str">
        <f>IF($B2828="","",_xll.BDP($B2828,"INDUSTRY_GROUP"))</f>
        <v/>
      </c>
      <c r="Y2828" t="str">
        <f>IF($B2828="","",_xll.BDP($B2828,"INDUSTRY_SUBGROUP"))</f>
        <v/>
      </c>
      <c r="Z2828" t="str">
        <f>IF($B2828="","",_xll.BDP($B2828,"COUNTRY_FULL_NAME"))</f>
        <v/>
      </c>
    </row>
    <row r="2829" spans="15:26" x14ac:dyDescent="0.25">
      <c r="W2829" t="str">
        <f>IF(B2829="","",_xll.BDP(B2829,"INDUSTRY_SECTOR"))</f>
        <v/>
      </c>
      <c r="X2829" t="str">
        <f>IF($B2829="","",_xll.BDP($B2829,"INDUSTRY_GROUP"))</f>
        <v/>
      </c>
      <c r="Y2829" t="str">
        <f>IF($B2829="","",_xll.BDP($B2829,"INDUSTRY_SUBGROUP"))</f>
        <v/>
      </c>
      <c r="Z2829" t="str">
        <f>IF($B2829="","",_xll.BDP($B2829,"COUNTRY_FULL_NAME"))</f>
        <v/>
      </c>
    </row>
    <row r="2830" spans="15:26" x14ac:dyDescent="0.25">
      <c r="W2830" t="str">
        <f>IF(B2830="","",_xll.BDP(B2830,"INDUSTRY_SECTOR"))</f>
        <v/>
      </c>
      <c r="X2830" t="str">
        <f>IF($B2830="","",_xll.BDP($B2830,"INDUSTRY_GROUP"))</f>
        <v/>
      </c>
      <c r="Y2830" t="str">
        <f>IF($B2830="","",_xll.BDP($B2830,"INDUSTRY_SUBGROUP"))</f>
        <v/>
      </c>
      <c r="Z2830" t="str">
        <f>IF($B2830="","",_xll.BDP($B2830,"COUNTRY_FULL_NAME"))</f>
        <v/>
      </c>
    </row>
    <row r="2831" spans="15:26" x14ac:dyDescent="0.25">
      <c r="W2831" t="str">
        <f>IF(B2831="","",_xll.BDP(B2831,"INDUSTRY_SECTOR"))</f>
        <v/>
      </c>
      <c r="X2831" t="str">
        <f>IF($B2831="","",_xll.BDP($B2831,"INDUSTRY_GROUP"))</f>
        <v/>
      </c>
      <c r="Y2831" t="str">
        <f>IF($B2831="","",_xll.BDP($B2831,"INDUSTRY_SUBGROUP"))</f>
        <v/>
      </c>
      <c r="Z2831" t="str">
        <f>IF($B2831="","",_xll.BDP($B2831,"COUNTRY_FULL_NAME"))</f>
        <v/>
      </c>
    </row>
    <row r="2832" spans="15:26" x14ac:dyDescent="0.25">
      <c r="W2832" t="str">
        <f>IF(B2832="","",_xll.BDP(B2832,"INDUSTRY_SECTOR"))</f>
        <v/>
      </c>
      <c r="X2832" t="str">
        <f>IF($B2832="","",_xll.BDP($B2832,"INDUSTRY_GROUP"))</f>
        <v/>
      </c>
      <c r="Y2832" t="str">
        <f>IF($B2832="","",_xll.BDP($B2832,"INDUSTRY_SUBGROUP"))</f>
        <v/>
      </c>
      <c r="Z2832" t="str">
        <f>IF($B2832="","",_xll.BDP($B2832,"COUNTRY_FULL_NAME"))</f>
        <v/>
      </c>
    </row>
    <row r="2833" spans="23:26" x14ac:dyDescent="0.25">
      <c r="W2833" t="str">
        <f>IF(B2833="","",_xll.BDP(B2833,"INDUSTRY_SECTOR"))</f>
        <v/>
      </c>
      <c r="X2833" t="str">
        <f>IF($B2833="","",_xll.BDP($B2833,"INDUSTRY_GROUP"))</f>
        <v/>
      </c>
      <c r="Y2833" t="str">
        <f>IF($B2833="","",_xll.BDP($B2833,"INDUSTRY_SUBGROUP"))</f>
        <v/>
      </c>
      <c r="Z2833" t="str">
        <f>IF($B2833="","",_xll.BDP($B2833,"COUNTRY_FULL_NAME"))</f>
        <v/>
      </c>
    </row>
    <row r="2834" spans="23:26" x14ac:dyDescent="0.25">
      <c r="W2834" t="str">
        <f>IF(B2834="","",_xll.BDP(B2834,"INDUSTRY_SECTOR"))</f>
        <v/>
      </c>
      <c r="X2834" t="str">
        <f>IF($B2834="","",_xll.BDP($B2834,"INDUSTRY_GROUP"))</f>
        <v/>
      </c>
      <c r="Y2834" t="str">
        <f>IF($B2834="","",_xll.BDP($B2834,"INDUSTRY_SUBGROUP"))</f>
        <v/>
      </c>
      <c r="Z2834" t="str">
        <f>IF($B2834="","",_xll.BDP($B2834,"COUNTRY_FULL_NAME"))</f>
        <v/>
      </c>
    </row>
    <row r="2835" spans="23:26" x14ac:dyDescent="0.25">
      <c r="W2835" t="str">
        <f>IF(B2835="","",_xll.BDP(B2835,"INDUSTRY_SECTOR"))</f>
        <v/>
      </c>
      <c r="X2835" t="str">
        <f>IF($B2835="","",_xll.BDP($B2835,"INDUSTRY_GROUP"))</f>
        <v/>
      </c>
      <c r="Y2835" t="str">
        <f>IF($B2835="","",_xll.BDP($B2835,"INDUSTRY_SUBGROUP"))</f>
        <v/>
      </c>
      <c r="Z2835" t="str">
        <f>IF($B2835="","",_xll.BDP($B2835,"COUNTRY_FULL_NAME"))</f>
        <v/>
      </c>
    </row>
    <row r="2836" spans="23:26" x14ac:dyDescent="0.25">
      <c r="W2836" t="str">
        <f>IF(B2836="","",_xll.BDP(B2836,"INDUSTRY_SECTOR"))</f>
        <v/>
      </c>
      <c r="X2836" t="str">
        <f>IF($B2836="","",_xll.BDP($B2836,"INDUSTRY_GROUP"))</f>
        <v/>
      </c>
      <c r="Y2836" t="str">
        <f>IF($B2836="","",_xll.BDP($B2836,"INDUSTRY_SUBGROUP"))</f>
        <v/>
      </c>
      <c r="Z2836" t="str">
        <f>IF($B2836="","",_xll.BDP($B2836,"COUNTRY_FULL_NAME"))</f>
        <v/>
      </c>
    </row>
    <row r="2837" spans="23:26" x14ac:dyDescent="0.25">
      <c r="W2837" t="str">
        <f>IF(B2837="","",_xll.BDP(B2837,"INDUSTRY_SECTOR"))</f>
        <v/>
      </c>
      <c r="X2837" t="str">
        <f>IF($B2837="","",_xll.BDP($B2837,"INDUSTRY_GROUP"))</f>
        <v/>
      </c>
      <c r="Y2837" t="str">
        <f>IF($B2837="","",_xll.BDP($B2837,"INDUSTRY_SUBGROUP"))</f>
        <v/>
      </c>
      <c r="Z2837" t="str">
        <f>IF($B2837="","",_xll.BDP($B2837,"COUNTRY_FULL_NAME"))</f>
        <v/>
      </c>
    </row>
    <row r="2838" spans="23:26" x14ac:dyDescent="0.25">
      <c r="W2838" t="str">
        <f>IF(B2838="","",_xll.BDP(B2838,"INDUSTRY_SECTOR"))</f>
        <v/>
      </c>
      <c r="X2838" t="str">
        <f>IF($B2838="","",_xll.BDP($B2838,"INDUSTRY_GROUP"))</f>
        <v/>
      </c>
      <c r="Y2838" t="str">
        <f>IF($B2838="","",_xll.BDP($B2838,"INDUSTRY_SUBGROUP"))</f>
        <v/>
      </c>
      <c r="Z2838" t="str">
        <f>IF($B2838="","",_xll.BDP($B2838,"COUNTRY_FULL_NAME"))</f>
        <v/>
      </c>
    </row>
    <row r="2839" spans="23:26" x14ac:dyDescent="0.25">
      <c r="W2839" t="str">
        <f>IF(B2839="","",_xll.BDP(B2839,"INDUSTRY_SECTOR"))</f>
        <v/>
      </c>
      <c r="X2839" t="str">
        <f>IF($B2839="","",_xll.BDP($B2839,"INDUSTRY_GROUP"))</f>
        <v/>
      </c>
      <c r="Y2839" t="str">
        <f>IF($B2839="","",_xll.BDP($B2839,"INDUSTRY_SUBGROUP"))</f>
        <v/>
      </c>
      <c r="Z2839" t="str">
        <f>IF($B2839="","",_xll.BDP($B2839,"COUNTRY_FULL_NAME"))</f>
        <v/>
      </c>
    </row>
    <row r="2840" spans="23:26" x14ac:dyDescent="0.25">
      <c r="W2840" t="str">
        <f>IF(B2840="","",_xll.BDP(B2840,"INDUSTRY_SECTOR"))</f>
        <v/>
      </c>
      <c r="X2840" t="str">
        <f>IF($B2840="","",_xll.BDP($B2840,"INDUSTRY_GROUP"))</f>
        <v/>
      </c>
      <c r="Y2840" t="str">
        <f>IF($B2840="","",_xll.BDP($B2840,"INDUSTRY_SUBGROUP"))</f>
        <v/>
      </c>
      <c r="Z2840" t="str">
        <f>IF($B2840="","",_xll.BDP($B2840,"COUNTRY_FULL_NAME"))</f>
        <v/>
      </c>
    </row>
    <row r="2841" spans="23:26" x14ac:dyDescent="0.25">
      <c r="W2841" t="str">
        <f>IF(B2841="","",_xll.BDP(B2841,"INDUSTRY_SECTOR"))</f>
        <v/>
      </c>
      <c r="X2841" t="str">
        <f>IF($B2841="","",_xll.BDP($B2841,"INDUSTRY_GROUP"))</f>
        <v/>
      </c>
      <c r="Y2841" t="str">
        <f>IF($B2841="","",_xll.BDP($B2841,"INDUSTRY_SUBGROUP"))</f>
        <v/>
      </c>
      <c r="Z2841" t="str">
        <f>IF($B2841="","",_xll.BDP($B2841,"COUNTRY_FULL_NAME"))</f>
        <v/>
      </c>
    </row>
    <row r="2842" spans="23:26" x14ac:dyDescent="0.25">
      <c r="W2842" t="str">
        <f>IF(B2842="","",_xll.BDP(B2842,"INDUSTRY_SECTOR"))</f>
        <v/>
      </c>
      <c r="X2842" t="str">
        <f>IF($B2842="","",_xll.BDP($B2842,"INDUSTRY_GROUP"))</f>
        <v/>
      </c>
      <c r="Y2842" t="str">
        <f>IF($B2842="","",_xll.BDP($B2842,"INDUSTRY_SUBGROUP"))</f>
        <v/>
      </c>
      <c r="Z2842" t="str">
        <f>IF($B2842="","",_xll.BDP($B2842,"COUNTRY_FULL_NAME"))</f>
        <v/>
      </c>
    </row>
    <row r="2843" spans="23:26" x14ac:dyDescent="0.25">
      <c r="W2843" t="str">
        <f>IF(B2843="","",_xll.BDP(B2843,"INDUSTRY_SECTOR"))</f>
        <v/>
      </c>
      <c r="X2843" t="str">
        <f>IF($B2843="","",_xll.BDP($B2843,"INDUSTRY_GROUP"))</f>
        <v/>
      </c>
      <c r="Y2843" t="str">
        <f>IF($B2843="","",_xll.BDP($B2843,"INDUSTRY_SUBGROUP"))</f>
        <v/>
      </c>
      <c r="Z2843" t="str">
        <f>IF($B2843="","",_xll.BDP($B2843,"COUNTRY_FULL_NAME"))</f>
        <v/>
      </c>
    </row>
    <row r="2844" spans="23:26" x14ac:dyDescent="0.25">
      <c r="W2844" t="str">
        <f>IF(B2844="","",_xll.BDP(B2844,"INDUSTRY_SECTOR"))</f>
        <v/>
      </c>
      <c r="X2844" t="str">
        <f>IF($B2844="","",_xll.BDP($B2844,"INDUSTRY_GROUP"))</f>
        <v/>
      </c>
      <c r="Y2844" t="str">
        <f>IF($B2844="","",_xll.BDP($B2844,"INDUSTRY_SUBGROUP"))</f>
        <v/>
      </c>
      <c r="Z2844" t="str">
        <f>IF($B2844="","",_xll.BDP($B2844,"COUNTRY_FULL_NAME"))</f>
        <v/>
      </c>
    </row>
    <row r="2845" spans="23:26" x14ac:dyDescent="0.25">
      <c r="W2845" t="str">
        <f>IF(B2845="","",_xll.BDP(B2845,"INDUSTRY_SECTOR"))</f>
        <v/>
      </c>
      <c r="X2845" t="str">
        <f>IF($B2845="","",_xll.BDP($B2845,"INDUSTRY_GROUP"))</f>
        <v/>
      </c>
      <c r="Y2845" t="str">
        <f>IF($B2845="","",_xll.BDP($B2845,"INDUSTRY_SUBGROUP"))</f>
        <v/>
      </c>
      <c r="Z2845" t="str">
        <f>IF($B2845="","",_xll.BDP($B2845,"COUNTRY_FULL_NAME"))</f>
        <v/>
      </c>
    </row>
    <row r="2846" spans="23:26" x14ac:dyDescent="0.25">
      <c r="W2846" t="str">
        <f>IF(B2846="","",_xll.BDP(B2846,"INDUSTRY_SECTOR"))</f>
        <v/>
      </c>
      <c r="X2846" t="str">
        <f>IF($B2846="","",_xll.BDP($B2846,"INDUSTRY_GROUP"))</f>
        <v/>
      </c>
      <c r="Y2846" t="str">
        <f>IF($B2846="","",_xll.BDP($B2846,"INDUSTRY_SUBGROUP"))</f>
        <v/>
      </c>
      <c r="Z2846" t="str">
        <f>IF($B2846="","",_xll.BDP($B2846,"COUNTRY_FULL_NAME"))</f>
        <v/>
      </c>
    </row>
    <row r="2847" spans="23:26" x14ac:dyDescent="0.25">
      <c r="W2847" t="str">
        <f>IF(B2847="","",_xll.BDP(B2847,"INDUSTRY_SECTOR"))</f>
        <v/>
      </c>
      <c r="X2847" t="str">
        <f>IF($B2847="","",_xll.BDP($B2847,"INDUSTRY_GROUP"))</f>
        <v/>
      </c>
      <c r="Y2847" t="str">
        <f>IF($B2847="","",_xll.BDP($B2847,"INDUSTRY_SUBGROUP"))</f>
        <v/>
      </c>
      <c r="Z2847" t="str">
        <f>IF($B2847="","",_xll.BDP($B2847,"COUNTRY_FULL_NAME"))</f>
        <v/>
      </c>
    </row>
    <row r="2848" spans="23:26" x14ac:dyDescent="0.25">
      <c r="W2848" t="str">
        <f>IF(B2848="","",_xll.BDP(B2848,"INDUSTRY_SECTOR"))</f>
        <v/>
      </c>
      <c r="X2848" t="str">
        <f>IF($B2848="","",_xll.BDP($B2848,"INDUSTRY_GROUP"))</f>
        <v/>
      </c>
      <c r="Y2848" t="str">
        <f>IF($B2848="","",_xll.BDP($B2848,"INDUSTRY_SUBGROUP"))</f>
        <v/>
      </c>
      <c r="Z2848" t="str">
        <f>IF($B2848="","",_xll.BDP($B2848,"COUNTRY_FULL_NAME"))</f>
        <v/>
      </c>
    </row>
    <row r="2849" spans="23:26" x14ac:dyDescent="0.25">
      <c r="W2849" t="str">
        <f>IF(B2849="","",_xll.BDP(B2849,"INDUSTRY_SECTOR"))</f>
        <v/>
      </c>
      <c r="X2849" t="str">
        <f>IF($B2849="","",_xll.BDP($B2849,"INDUSTRY_GROUP"))</f>
        <v/>
      </c>
      <c r="Y2849" t="str">
        <f>IF($B2849="","",_xll.BDP($B2849,"INDUSTRY_SUBGROUP"))</f>
        <v/>
      </c>
      <c r="Z2849" t="str">
        <f>IF($B2849="","",_xll.BDP($B2849,"COUNTRY_FULL_NAME"))</f>
        <v/>
      </c>
    </row>
    <row r="2850" spans="23:26" x14ac:dyDescent="0.25">
      <c r="W2850" t="str">
        <f>IF(B2850="","",_xll.BDP(B2850,"INDUSTRY_SECTOR"))</f>
        <v/>
      </c>
      <c r="X2850" t="str">
        <f>IF($B2850="","",_xll.BDP($B2850,"INDUSTRY_GROUP"))</f>
        <v/>
      </c>
      <c r="Y2850" t="str">
        <f>IF($B2850="","",_xll.BDP($B2850,"INDUSTRY_SUBGROUP"))</f>
        <v/>
      </c>
      <c r="Z2850" t="str">
        <f>IF($B2850="","",_xll.BDP($B2850,"COUNTRY_FULL_NAME"))</f>
        <v/>
      </c>
    </row>
    <row r="2851" spans="23:26" x14ac:dyDescent="0.25">
      <c r="W2851" t="str">
        <f>IF(B2851="","",_xll.BDP(B2851,"INDUSTRY_SECTOR"))</f>
        <v/>
      </c>
      <c r="X2851" t="str">
        <f>IF($B2851="","",_xll.BDP($B2851,"INDUSTRY_GROUP"))</f>
        <v/>
      </c>
      <c r="Y2851" t="str">
        <f>IF($B2851="","",_xll.BDP($B2851,"INDUSTRY_SUBGROUP"))</f>
        <v/>
      </c>
      <c r="Z2851" t="str">
        <f>IF($B2851="","",_xll.BDP($B2851,"COUNTRY_FULL_NAME"))</f>
        <v/>
      </c>
    </row>
    <row r="2852" spans="23:26" x14ac:dyDescent="0.25">
      <c r="W2852" t="str">
        <f>IF(B2852="","",_xll.BDP(B2852,"INDUSTRY_SECTOR"))</f>
        <v/>
      </c>
      <c r="X2852" t="str">
        <f>IF($B2852="","",_xll.BDP($B2852,"INDUSTRY_GROUP"))</f>
        <v/>
      </c>
      <c r="Y2852" t="str">
        <f>IF($B2852="","",_xll.BDP($B2852,"INDUSTRY_SUBGROUP"))</f>
        <v/>
      </c>
      <c r="Z2852" t="str">
        <f>IF($B2852="","",_xll.BDP($B2852,"COUNTRY_FULL_NAME"))</f>
        <v/>
      </c>
    </row>
    <row r="2853" spans="23:26" x14ac:dyDescent="0.25">
      <c r="W2853" t="str">
        <f>IF(B2853="","",_xll.BDP(B2853,"INDUSTRY_SECTOR"))</f>
        <v/>
      </c>
      <c r="X2853" t="str">
        <f>IF($B2853="","",_xll.BDP($B2853,"INDUSTRY_GROUP"))</f>
        <v/>
      </c>
      <c r="Y2853" t="str">
        <f>IF($B2853="","",_xll.BDP($B2853,"INDUSTRY_SUBGROUP"))</f>
        <v/>
      </c>
      <c r="Z2853" t="str">
        <f>IF($B2853="","",_xll.BDP($B2853,"COUNTRY_FULL_NAME"))</f>
        <v/>
      </c>
    </row>
    <row r="2854" spans="23:26" x14ac:dyDescent="0.25">
      <c r="W2854" t="str">
        <f>IF(B2854="","",_xll.BDP(B2854,"INDUSTRY_SECTOR"))</f>
        <v/>
      </c>
      <c r="X2854" t="str">
        <f>IF($B2854="","",_xll.BDP($B2854,"INDUSTRY_GROUP"))</f>
        <v/>
      </c>
      <c r="Y2854" t="str">
        <f>IF($B2854="","",_xll.BDP($B2854,"INDUSTRY_SUBGROUP"))</f>
        <v/>
      </c>
      <c r="Z2854" t="str">
        <f>IF($B2854="","",_xll.BDP($B2854,"COUNTRY_FULL_NAME"))</f>
        <v/>
      </c>
    </row>
    <row r="2855" spans="23:26" x14ac:dyDescent="0.25">
      <c r="W2855" t="str">
        <f>IF(B2855="","",_xll.BDP(B2855,"INDUSTRY_SECTOR"))</f>
        <v/>
      </c>
      <c r="X2855" t="str">
        <f>IF($B2855="","",_xll.BDP($B2855,"INDUSTRY_GROUP"))</f>
        <v/>
      </c>
      <c r="Y2855" t="str">
        <f>IF($B2855="","",_xll.BDP($B2855,"INDUSTRY_SUBGROUP"))</f>
        <v/>
      </c>
      <c r="Z2855" t="str">
        <f>IF($B2855="","",_xll.BDP($B2855,"COUNTRY_FULL_NAME"))</f>
        <v/>
      </c>
    </row>
    <row r="2856" spans="23:26" x14ac:dyDescent="0.25">
      <c r="W2856" t="str">
        <f>IF(B2856="","",_xll.BDP(B2856,"INDUSTRY_SECTOR"))</f>
        <v/>
      </c>
      <c r="X2856" t="str">
        <f>IF($B2856="","",_xll.BDP($B2856,"INDUSTRY_GROUP"))</f>
        <v/>
      </c>
      <c r="Y2856" t="str">
        <f>IF($B2856="","",_xll.BDP($B2856,"INDUSTRY_SUBGROUP"))</f>
        <v/>
      </c>
      <c r="Z2856" t="str">
        <f>IF($B2856="","",_xll.BDP($B2856,"COUNTRY_FULL_NAME"))</f>
        <v/>
      </c>
    </row>
    <row r="2857" spans="23:26" x14ac:dyDescent="0.25">
      <c r="W2857" t="str">
        <f>IF(B2857="","",_xll.BDP(B2857,"INDUSTRY_SECTOR"))</f>
        <v/>
      </c>
      <c r="X2857" t="str">
        <f>IF($B2857="","",_xll.BDP($B2857,"INDUSTRY_GROUP"))</f>
        <v/>
      </c>
      <c r="Y2857" t="str">
        <f>IF($B2857="","",_xll.BDP($B2857,"INDUSTRY_SUBGROUP"))</f>
        <v/>
      </c>
      <c r="Z2857" t="str">
        <f>IF($B2857="","",_xll.BDP($B2857,"COUNTRY_FULL_NAME"))</f>
        <v/>
      </c>
    </row>
    <row r="2858" spans="23:26" x14ac:dyDescent="0.25">
      <c r="W2858" t="str">
        <f>IF(B2858="","",_xll.BDP(B2858,"INDUSTRY_SECTOR"))</f>
        <v/>
      </c>
      <c r="X2858" t="str">
        <f>IF($B2858="","",_xll.BDP($B2858,"INDUSTRY_GROUP"))</f>
        <v/>
      </c>
      <c r="Y2858" t="str">
        <f>IF($B2858="","",_xll.BDP($B2858,"INDUSTRY_SUBGROUP"))</f>
        <v/>
      </c>
      <c r="Z2858" t="str">
        <f>IF($B2858="","",_xll.BDP($B2858,"COUNTRY_FULL_NAME"))</f>
        <v/>
      </c>
    </row>
    <row r="2859" spans="23:26" x14ac:dyDescent="0.25">
      <c r="W2859" t="str">
        <f>IF(B2859="","",_xll.BDP(B2859,"INDUSTRY_SECTOR"))</f>
        <v/>
      </c>
      <c r="X2859" t="str">
        <f>IF($B2859="","",_xll.BDP($B2859,"INDUSTRY_GROUP"))</f>
        <v/>
      </c>
      <c r="Y2859" t="str">
        <f>IF($B2859="","",_xll.BDP($B2859,"INDUSTRY_SUBGROUP"))</f>
        <v/>
      </c>
      <c r="Z2859" t="str">
        <f>IF($B2859="","",_xll.BDP($B2859,"COUNTRY_FULL_NAME"))</f>
        <v/>
      </c>
    </row>
    <row r="2860" spans="23:26" x14ac:dyDescent="0.25">
      <c r="W2860" t="str">
        <f>IF(B2860="","",_xll.BDP(B2860,"INDUSTRY_SECTOR"))</f>
        <v/>
      </c>
      <c r="X2860" t="str">
        <f>IF($B2860="","",_xll.BDP($B2860,"INDUSTRY_GROUP"))</f>
        <v/>
      </c>
      <c r="Y2860" t="str">
        <f>IF($B2860="","",_xll.BDP($B2860,"INDUSTRY_SUBGROUP"))</f>
        <v/>
      </c>
      <c r="Z2860" t="str">
        <f>IF($B2860="","",_xll.BDP($B2860,"COUNTRY_FULL_NAME"))</f>
        <v/>
      </c>
    </row>
    <row r="2861" spans="23:26" x14ac:dyDescent="0.25">
      <c r="W2861" t="str">
        <f>IF(B2861="","",_xll.BDP(B2861,"INDUSTRY_SECTOR"))</f>
        <v/>
      </c>
      <c r="X2861" t="str">
        <f>IF($B2861="","",_xll.BDP($B2861,"INDUSTRY_GROUP"))</f>
        <v/>
      </c>
      <c r="Y2861" t="str">
        <f>IF($B2861="","",_xll.BDP($B2861,"INDUSTRY_SUBGROUP"))</f>
        <v/>
      </c>
      <c r="Z2861" t="str">
        <f>IF($B2861="","",_xll.BDP($B2861,"COUNTRY_FULL_NAME"))</f>
        <v/>
      </c>
    </row>
    <row r="2862" spans="23:26" x14ac:dyDescent="0.25">
      <c r="W2862" t="str">
        <f>IF(B2862="","",_xll.BDP(B2862,"INDUSTRY_SECTOR"))</f>
        <v/>
      </c>
      <c r="X2862" t="str">
        <f>IF($B2862="","",_xll.BDP($B2862,"INDUSTRY_GROUP"))</f>
        <v/>
      </c>
      <c r="Y2862" t="str">
        <f>IF($B2862="","",_xll.BDP($B2862,"INDUSTRY_SUBGROUP"))</f>
        <v/>
      </c>
      <c r="Z2862" t="str">
        <f>IF($B2862="","",_xll.BDP($B2862,"COUNTRY_FULL_NAME"))</f>
        <v/>
      </c>
    </row>
    <row r="2863" spans="23:26" x14ac:dyDescent="0.25">
      <c r="W2863" t="str">
        <f>IF(B2863="","",_xll.BDP(B2863,"INDUSTRY_SECTOR"))</f>
        <v/>
      </c>
      <c r="X2863" t="str">
        <f>IF($B2863="","",_xll.BDP($B2863,"INDUSTRY_GROUP"))</f>
        <v/>
      </c>
      <c r="Y2863" t="str">
        <f>IF($B2863="","",_xll.BDP($B2863,"INDUSTRY_SUBGROUP"))</f>
        <v/>
      </c>
      <c r="Z2863" t="str">
        <f>IF($B2863="","",_xll.BDP($B2863,"COUNTRY_FULL_NAME"))</f>
        <v/>
      </c>
    </row>
    <row r="2864" spans="23:26" x14ac:dyDescent="0.25">
      <c r="W2864" t="str">
        <f>IF(B2864="","",_xll.BDP(B2864,"INDUSTRY_SECTOR"))</f>
        <v/>
      </c>
      <c r="X2864" t="str">
        <f>IF($B2864="","",_xll.BDP($B2864,"INDUSTRY_GROUP"))</f>
        <v/>
      </c>
      <c r="Y2864" t="str">
        <f>IF($B2864="","",_xll.BDP($B2864,"INDUSTRY_SUBGROUP"))</f>
        <v/>
      </c>
      <c r="Z2864" t="str">
        <f>IF($B2864="","",_xll.BDP($B2864,"COUNTRY_FULL_NAME"))</f>
        <v/>
      </c>
    </row>
    <row r="2865" spans="23:26" x14ac:dyDescent="0.25">
      <c r="W2865" t="str">
        <f>IF(B2865="","",_xll.BDP(B2865,"INDUSTRY_SECTOR"))</f>
        <v/>
      </c>
      <c r="X2865" t="str">
        <f>IF($B2865="","",_xll.BDP($B2865,"INDUSTRY_GROUP"))</f>
        <v/>
      </c>
      <c r="Y2865" t="str">
        <f>IF($B2865="","",_xll.BDP($B2865,"INDUSTRY_SUBGROUP"))</f>
        <v/>
      </c>
      <c r="Z2865" t="str">
        <f>IF($B2865="","",_xll.BDP($B2865,"COUNTRY_FULL_NAME"))</f>
        <v/>
      </c>
    </row>
    <row r="2866" spans="23:26" x14ac:dyDescent="0.25">
      <c r="W2866" t="str">
        <f>IF(B2866="","",_xll.BDP(B2866,"INDUSTRY_SECTOR"))</f>
        <v/>
      </c>
      <c r="X2866" t="str">
        <f>IF($B2866="","",_xll.BDP($B2866,"INDUSTRY_GROUP"))</f>
        <v/>
      </c>
      <c r="Y2866" t="str">
        <f>IF($B2866="","",_xll.BDP($B2866,"INDUSTRY_SUBGROUP"))</f>
        <v/>
      </c>
      <c r="Z2866" t="str">
        <f>IF($B2866="","",_xll.BDP($B2866,"COUNTRY_FULL_NAME"))</f>
        <v/>
      </c>
    </row>
    <row r="2867" spans="23:26" x14ac:dyDescent="0.25">
      <c r="W2867" t="str">
        <f>IF(B2867="","",_xll.BDP(B2867,"INDUSTRY_SECTOR"))</f>
        <v/>
      </c>
      <c r="X2867" t="str">
        <f>IF($B2867="","",_xll.BDP($B2867,"INDUSTRY_GROUP"))</f>
        <v/>
      </c>
      <c r="Y2867" t="str">
        <f>IF($B2867="","",_xll.BDP($B2867,"INDUSTRY_SUBGROUP"))</f>
        <v/>
      </c>
      <c r="Z2867" t="str">
        <f>IF($B2867="","",_xll.BDP($B2867,"COUNTRY_FULL_NAME"))</f>
        <v/>
      </c>
    </row>
    <row r="2868" spans="23:26" x14ac:dyDescent="0.25">
      <c r="W2868" t="str">
        <f>IF(B2868="","",_xll.BDP(B2868,"INDUSTRY_SECTOR"))</f>
        <v/>
      </c>
      <c r="X2868" t="str">
        <f>IF($B2868="","",_xll.BDP($B2868,"INDUSTRY_GROUP"))</f>
        <v/>
      </c>
      <c r="Y2868" t="str">
        <f>IF($B2868="","",_xll.BDP($B2868,"INDUSTRY_SUBGROUP"))</f>
        <v/>
      </c>
      <c r="Z2868" t="str">
        <f>IF($B2868="","",_xll.BDP($B2868,"COUNTRY_FULL_NAME"))</f>
        <v/>
      </c>
    </row>
    <row r="2869" spans="23:26" x14ac:dyDescent="0.25">
      <c r="W2869" t="str">
        <f>IF(B2869="","",_xll.BDP(B2869,"INDUSTRY_SECTOR"))</f>
        <v/>
      </c>
      <c r="X2869" t="str">
        <f>IF($B2869="","",_xll.BDP($B2869,"INDUSTRY_GROUP"))</f>
        <v/>
      </c>
      <c r="Y2869" t="str">
        <f>IF($B2869="","",_xll.BDP($B2869,"INDUSTRY_SUBGROUP"))</f>
        <v/>
      </c>
      <c r="Z2869" t="str">
        <f>IF($B2869="","",_xll.BDP($B2869,"COUNTRY_FULL_NAME"))</f>
        <v/>
      </c>
    </row>
    <row r="2870" spans="23:26" x14ac:dyDescent="0.25">
      <c r="W2870" t="str">
        <f>IF(B2870="","",_xll.BDP(B2870,"INDUSTRY_SECTOR"))</f>
        <v/>
      </c>
      <c r="X2870" t="str">
        <f>IF($B2870="","",_xll.BDP($B2870,"INDUSTRY_GROUP"))</f>
        <v/>
      </c>
      <c r="Y2870" t="str">
        <f>IF($B2870="","",_xll.BDP($B2870,"INDUSTRY_SUBGROUP"))</f>
        <v/>
      </c>
      <c r="Z2870" t="str">
        <f>IF($B2870="","",_xll.BDP($B2870,"COUNTRY_FULL_NAME"))</f>
        <v/>
      </c>
    </row>
    <row r="2871" spans="23:26" x14ac:dyDescent="0.25">
      <c r="W2871" t="str">
        <f>IF(B2871="","",_xll.BDP(B2871,"INDUSTRY_SECTOR"))</f>
        <v/>
      </c>
      <c r="X2871" t="str">
        <f>IF($B2871="","",_xll.BDP($B2871,"INDUSTRY_GROUP"))</f>
        <v/>
      </c>
      <c r="Y2871" t="str">
        <f>IF($B2871="","",_xll.BDP($B2871,"INDUSTRY_SUBGROUP"))</f>
        <v/>
      </c>
      <c r="Z2871" t="str">
        <f>IF($B2871="","",_xll.BDP($B2871,"COUNTRY_FULL_NAME"))</f>
        <v/>
      </c>
    </row>
    <row r="2872" spans="23:26" x14ac:dyDescent="0.25">
      <c r="W2872" t="str">
        <f>IF(B2872="","",_xll.BDP(B2872,"INDUSTRY_SECTOR"))</f>
        <v/>
      </c>
      <c r="X2872" t="str">
        <f>IF($B2872="","",_xll.BDP($B2872,"INDUSTRY_GROUP"))</f>
        <v/>
      </c>
      <c r="Y2872" t="str">
        <f>IF($B2872="","",_xll.BDP($B2872,"INDUSTRY_SUBGROUP"))</f>
        <v/>
      </c>
      <c r="Z2872" t="str">
        <f>IF($B2872="","",_xll.BDP($B2872,"COUNTRY_FULL_NAME"))</f>
        <v/>
      </c>
    </row>
    <row r="2873" spans="23:26" x14ac:dyDescent="0.25">
      <c r="W2873" t="str">
        <f>IF(B2873="","",_xll.BDP(B2873,"INDUSTRY_SECTOR"))</f>
        <v/>
      </c>
      <c r="X2873" t="str">
        <f>IF($B2873="","",_xll.BDP($B2873,"INDUSTRY_GROUP"))</f>
        <v/>
      </c>
      <c r="Y2873" t="str">
        <f>IF($B2873="","",_xll.BDP($B2873,"INDUSTRY_SUBGROUP"))</f>
        <v/>
      </c>
      <c r="Z2873" t="str">
        <f>IF($B2873="","",_xll.BDP($B2873,"COUNTRY_FULL_NAME"))</f>
        <v/>
      </c>
    </row>
    <row r="2874" spans="23:26" x14ac:dyDescent="0.25">
      <c r="W2874" t="str">
        <f>IF(B2874="","",_xll.BDP(B2874,"INDUSTRY_SECTOR"))</f>
        <v/>
      </c>
      <c r="X2874" t="str">
        <f>IF($B2874="","",_xll.BDP($B2874,"INDUSTRY_GROUP"))</f>
        <v/>
      </c>
      <c r="Y2874" t="str">
        <f>IF($B2874="","",_xll.BDP($B2874,"INDUSTRY_SUBGROUP"))</f>
        <v/>
      </c>
      <c r="Z2874" t="str">
        <f>IF($B2874="","",_xll.BDP($B2874,"COUNTRY_FULL_NAME"))</f>
        <v/>
      </c>
    </row>
    <row r="2875" spans="23:26" x14ac:dyDescent="0.25">
      <c r="W2875" t="str">
        <f>IF(B2875="","",_xll.BDP(B2875,"INDUSTRY_SECTOR"))</f>
        <v/>
      </c>
      <c r="X2875" t="str">
        <f>IF($B2875="","",_xll.BDP($B2875,"INDUSTRY_GROUP"))</f>
        <v/>
      </c>
      <c r="Y2875" t="str">
        <f>IF($B2875="","",_xll.BDP($B2875,"INDUSTRY_SUBGROUP"))</f>
        <v/>
      </c>
      <c r="Z2875" t="str">
        <f>IF($B2875="","",_xll.BDP($B2875,"COUNTRY_FULL_NAME"))</f>
        <v/>
      </c>
    </row>
    <row r="2876" spans="23:26" x14ac:dyDescent="0.25">
      <c r="W2876" t="str">
        <f>IF(B2876="","",_xll.BDP(B2876,"INDUSTRY_SECTOR"))</f>
        <v/>
      </c>
      <c r="X2876" t="str">
        <f>IF($B2876="","",_xll.BDP($B2876,"INDUSTRY_GROUP"))</f>
        <v/>
      </c>
      <c r="Y2876" t="str">
        <f>IF($B2876="","",_xll.BDP($B2876,"INDUSTRY_SUBGROUP"))</f>
        <v/>
      </c>
      <c r="Z2876" t="str">
        <f>IF($B2876="","",_xll.BDP($B2876,"COUNTRY_FULL_NAME"))</f>
        <v/>
      </c>
    </row>
    <row r="2877" spans="23:26" x14ac:dyDescent="0.25">
      <c r="W2877" t="str">
        <f>IF(B2877="","",_xll.BDP(B2877,"INDUSTRY_SECTOR"))</f>
        <v/>
      </c>
      <c r="X2877" t="str">
        <f>IF($B2877="","",_xll.BDP($B2877,"INDUSTRY_GROUP"))</f>
        <v/>
      </c>
      <c r="Y2877" t="str">
        <f>IF($B2877="","",_xll.BDP($B2877,"INDUSTRY_SUBGROUP"))</f>
        <v/>
      </c>
      <c r="Z2877" t="str">
        <f>IF($B2877="","",_xll.BDP($B2877,"COUNTRY_FULL_NAME"))</f>
        <v/>
      </c>
    </row>
    <row r="2878" spans="23:26" x14ac:dyDescent="0.25">
      <c r="W2878" t="str">
        <f>IF(B2878="","",_xll.BDP(B2878,"INDUSTRY_SECTOR"))</f>
        <v/>
      </c>
      <c r="X2878" t="str">
        <f>IF($B2878="","",_xll.BDP($B2878,"INDUSTRY_GROUP"))</f>
        <v/>
      </c>
      <c r="Y2878" t="str">
        <f>IF($B2878="","",_xll.BDP($B2878,"INDUSTRY_SUBGROUP"))</f>
        <v/>
      </c>
      <c r="Z2878" t="str">
        <f>IF($B2878="","",_xll.BDP($B2878,"COUNTRY_FULL_NAME"))</f>
        <v/>
      </c>
    </row>
    <row r="2879" spans="23:26" x14ac:dyDescent="0.25">
      <c r="W2879" t="str">
        <f>IF(B2879="","",_xll.BDP(B2879,"INDUSTRY_SECTOR"))</f>
        <v/>
      </c>
      <c r="X2879" t="str">
        <f>IF($B2879="","",_xll.BDP($B2879,"INDUSTRY_GROUP"))</f>
        <v/>
      </c>
      <c r="Y2879" t="str">
        <f>IF($B2879="","",_xll.BDP($B2879,"INDUSTRY_SUBGROUP"))</f>
        <v/>
      </c>
      <c r="Z2879" t="str">
        <f>IF($B2879="","",_xll.BDP($B2879,"COUNTRY_FULL_NAME"))</f>
        <v/>
      </c>
    </row>
    <row r="2880" spans="23:26" x14ac:dyDescent="0.25">
      <c r="W2880" t="str">
        <f>IF(B2880="","",_xll.BDP(B2880,"INDUSTRY_SECTOR"))</f>
        <v/>
      </c>
      <c r="X2880" t="str">
        <f>IF($B2880="","",_xll.BDP($B2880,"INDUSTRY_GROUP"))</f>
        <v/>
      </c>
      <c r="Y2880" t="str">
        <f>IF($B2880="","",_xll.BDP($B2880,"INDUSTRY_SUBGROUP"))</f>
        <v/>
      </c>
      <c r="Z2880" t="str">
        <f>IF($B2880="","",_xll.BDP($B2880,"COUNTRY_FULL_NAME"))</f>
        <v/>
      </c>
    </row>
    <row r="2881" spans="23:26" x14ac:dyDescent="0.25">
      <c r="W2881" t="str">
        <f>IF(B2881="","",_xll.BDP(B2881,"INDUSTRY_SECTOR"))</f>
        <v/>
      </c>
      <c r="X2881" t="str">
        <f>IF($B2881="","",_xll.BDP($B2881,"INDUSTRY_GROUP"))</f>
        <v/>
      </c>
      <c r="Y2881" t="str">
        <f>IF($B2881="","",_xll.BDP($B2881,"INDUSTRY_SUBGROUP"))</f>
        <v/>
      </c>
      <c r="Z2881" t="str">
        <f>IF($B2881="","",_xll.BDP($B2881,"COUNTRY_FULL_NAME"))</f>
        <v/>
      </c>
    </row>
    <row r="2882" spans="23:26" x14ac:dyDescent="0.25">
      <c r="W2882" t="str">
        <f>IF(B2882="","",_xll.BDP(B2882,"INDUSTRY_SECTOR"))</f>
        <v/>
      </c>
      <c r="X2882" t="str">
        <f>IF($B2882="","",_xll.BDP($B2882,"INDUSTRY_GROUP"))</f>
        <v/>
      </c>
      <c r="Y2882" t="str">
        <f>IF($B2882="","",_xll.BDP($B2882,"INDUSTRY_SUBGROUP"))</f>
        <v/>
      </c>
      <c r="Z2882" t="str">
        <f>IF($B2882="","",_xll.BDP($B2882,"COUNTRY_FULL_NAME"))</f>
        <v/>
      </c>
    </row>
    <row r="2883" spans="23:26" x14ac:dyDescent="0.25">
      <c r="W2883" t="str">
        <f>IF(B2883="","",_xll.BDP(B2883,"INDUSTRY_SECTOR"))</f>
        <v/>
      </c>
      <c r="X2883" t="str">
        <f>IF($B2883="","",_xll.BDP($B2883,"INDUSTRY_GROUP"))</f>
        <v/>
      </c>
      <c r="Y2883" t="str">
        <f>IF($B2883="","",_xll.BDP($B2883,"INDUSTRY_SUBGROUP"))</f>
        <v/>
      </c>
      <c r="Z2883" t="str">
        <f>IF($B2883="","",_xll.BDP($B2883,"COUNTRY_FULL_NAME"))</f>
        <v/>
      </c>
    </row>
    <row r="2884" spans="23:26" x14ac:dyDescent="0.25">
      <c r="W2884" t="str">
        <f>IF(B2884="","",_xll.BDP(B2884,"INDUSTRY_SECTOR"))</f>
        <v/>
      </c>
      <c r="X2884" t="str">
        <f>IF($B2884="","",_xll.BDP($B2884,"INDUSTRY_GROUP"))</f>
        <v/>
      </c>
      <c r="Y2884" t="str">
        <f>IF($B2884="","",_xll.BDP($B2884,"INDUSTRY_SUBGROUP"))</f>
        <v/>
      </c>
      <c r="Z2884" t="str">
        <f>IF($B2884="","",_xll.BDP($B2884,"COUNTRY_FULL_NAME"))</f>
        <v/>
      </c>
    </row>
    <row r="2885" spans="23:26" x14ac:dyDescent="0.25">
      <c r="W2885" t="str">
        <f>IF(B2885="","",_xll.BDP(B2885,"INDUSTRY_SECTOR"))</f>
        <v/>
      </c>
      <c r="X2885" t="str">
        <f>IF($B2885="","",_xll.BDP($B2885,"INDUSTRY_GROUP"))</f>
        <v/>
      </c>
      <c r="Y2885" t="str">
        <f>IF($B2885="","",_xll.BDP($B2885,"INDUSTRY_SUBGROUP"))</f>
        <v/>
      </c>
      <c r="Z2885" t="str">
        <f>IF($B2885="","",_xll.BDP($B2885,"COUNTRY_FULL_NAME"))</f>
        <v/>
      </c>
    </row>
    <row r="2886" spans="23:26" x14ac:dyDescent="0.25">
      <c r="W2886" t="str">
        <f>IF(B2886="","",_xll.BDP(B2886,"INDUSTRY_SECTOR"))</f>
        <v/>
      </c>
      <c r="X2886" t="str">
        <f>IF($B2886="","",_xll.BDP($B2886,"INDUSTRY_GROUP"))</f>
        <v/>
      </c>
      <c r="Y2886" t="str">
        <f>IF($B2886="","",_xll.BDP($B2886,"INDUSTRY_SUBGROUP"))</f>
        <v/>
      </c>
      <c r="Z2886" t="str">
        <f>IF($B2886="","",_xll.BDP($B2886,"COUNTRY_FULL_NAME"))</f>
        <v/>
      </c>
    </row>
    <row r="2887" spans="23:26" x14ac:dyDescent="0.25">
      <c r="W2887" t="str">
        <f>IF(B2887="","",_xll.BDP(B2887,"INDUSTRY_SECTOR"))</f>
        <v/>
      </c>
      <c r="X2887" t="str">
        <f>IF($B2887="","",_xll.BDP($B2887,"INDUSTRY_GROUP"))</f>
        <v/>
      </c>
      <c r="Y2887" t="str">
        <f>IF($B2887="","",_xll.BDP($B2887,"INDUSTRY_SUBGROUP"))</f>
        <v/>
      </c>
      <c r="Z2887" t="str">
        <f>IF($B2887="","",_xll.BDP($B2887,"COUNTRY_FULL_NAME"))</f>
        <v/>
      </c>
    </row>
    <row r="2888" spans="23:26" x14ac:dyDescent="0.25">
      <c r="W2888" t="str">
        <f>IF(B2888="","",_xll.BDP(B2888,"INDUSTRY_SECTOR"))</f>
        <v/>
      </c>
      <c r="X2888" t="str">
        <f>IF($B2888="","",_xll.BDP($B2888,"INDUSTRY_GROUP"))</f>
        <v/>
      </c>
      <c r="Y2888" t="str">
        <f>IF($B2888="","",_xll.BDP($B2888,"INDUSTRY_SUBGROUP"))</f>
        <v/>
      </c>
      <c r="Z2888" t="str">
        <f>IF($B2888="","",_xll.BDP($B2888,"COUNTRY_FULL_NAME"))</f>
        <v/>
      </c>
    </row>
    <row r="2889" spans="23:26" x14ac:dyDescent="0.25">
      <c r="W2889" t="str">
        <f>IF(B2889="","",_xll.BDP(B2889,"INDUSTRY_SECTOR"))</f>
        <v/>
      </c>
      <c r="X2889" t="str">
        <f>IF($B2889="","",_xll.BDP($B2889,"INDUSTRY_GROUP"))</f>
        <v/>
      </c>
      <c r="Y2889" t="str">
        <f>IF($B2889="","",_xll.BDP($B2889,"INDUSTRY_SUBGROUP"))</f>
        <v/>
      </c>
      <c r="Z2889" t="str">
        <f>IF($B2889="","",_xll.BDP($B2889,"COUNTRY_FULL_NAME"))</f>
        <v/>
      </c>
    </row>
    <row r="2890" spans="23:26" x14ac:dyDescent="0.25">
      <c r="W2890" t="str">
        <f>IF(B2890="","",_xll.BDP(B2890,"INDUSTRY_SECTOR"))</f>
        <v/>
      </c>
      <c r="X2890" t="str">
        <f>IF($B2890="","",_xll.BDP($B2890,"INDUSTRY_GROUP"))</f>
        <v/>
      </c>
      <c r="Y2890" t="str">
        <f>IF($B2890="","",_xll.BDP($B2890,"INDUSTRY_SUBGROUP"))</f>
        <v/>
      </c>
      <c r="Z2890" t="str">
        <f>IF($B2890="","",_xll.BDP($B2890,"COUNTRY_FULL_NAME"))</f>
        <v/>
      </c>
    </row>
    <row r="2891" spans="23:26" x14ac:dyDescent="0.25">
      <c r="W2891" t="str">
        <f>IF(B2891="","",_xll.BDP(B2891,"INDUSTRY_SECTOR"))</f>
        <v/>
      </c>
      <c r="X2891" t="str">
        <f>IF($B2891="","",_xll.BDP($B2891,"INDUSTRY_GROUP"))</f>
        <v/>
      </c>
      <c r="Y2891" t="str">
        <f>IF($B2891="","",_xll.BDP($B2891,"INDUSTRY_SUBGROUP"))</f>
        <v/>
      </c>
      <c r="Z2891" t="str">
        <f>IF($B2891="","",_xll.BDP($B2891,"COUNTRY_FULL_NAME"))</f>
        <v/>
      </c>
    </row>
    <row r="2892" spans="23:26" x14ac:dyDescent="0.25">
      <c r="W2892" t="str">
        <f>IF(B2892="","",_xll.BDP(B2892,"INDUSTRY_SECTOR"))</f>
        <v/>
      </c>
      <c r="X2892" t="str">
        <f>IF($B2892="","",_xll.BDP($B2892,"INDUSTRY_GROUP"))</f>
        <v/>
      </c>
      <c r="Y2892" t="str">
        <f>IF($B2892="","",_xll.BDP($B2892,"INDUSTRY_SUBGROUP"))</f>
        <v/>
      </c>
      <c r="Z2892" t="str">
        <f>IF($B2892="","",_xll.BDP($B2892,"COUNTRY_FULL_NAME"))</f>
        <v/>
      </c>
    </row>
    <row r="2893" spans="23:26" x14ac:dyDescent="0.25">
      <c r="W2893" t="str">
        <f>IF(B2893="","",_xll.BDP(B2893,"INDUSTRY_SECTOR"))</f>
        <v/>
      </c>
      <c r="X2893" t="str">
        <f>IF($B2893="","",_xll.BDP($B2893,"INDUSTRY_GROUP"))</f>
        <v/>
      </c>
      <c r="Y2893" t="str">
        <f>IF($B2893="","",_xll.BDP($B2893,"INDUSTRY_SUBGROUP"))</f>
        <v/>
      </c>
      <c r="Z2893" t="str">
        <f>IF($B2893="","",_xll.BDP($B2893,"COUNTRY_FULL_NAME"))</f>
        <v/>
      </c>
    </row>
    <row r="2894" spans="23:26" x14ac:dyDescent="0.25">
      <c r="W2894" t="str">
        <f>IF(B2894="","",_xll.BDP(B2894,"INDUSTRY_SECTOR"))</f>
        <v/>
      </c>
      <c r="X2894" t="str">
        <f>IF($B2894="","",_xll.BDP($B2894,"INDUSTRY_GROUP"))</f>
        <v/>
      </c>
      <c r="Y2894" t="str">
        <f>IF($B2894="","",_xll.BDP($B2894,"INDUSTRY_SUBGROUP"))</f>
        <v/>
      </c>
      <c r="Z2894" t="str">
        <f>IF($B2894="","",_xll.BDP($B2894,"COUNTRY_FULL_NAME"))</f>
        <v/>
      </c>
    </row>
    <row r="2895" spans="23:26" x14ac:dyDescent="0.25">
      <c r="W2895" t="str">
        <f>IF(B2895="","",_xll.BDP(B2895,"INDUSTRY_SECTOR"))</f>
        <v/>
      </c>
      <c r="X2895" t="str">
        <f>IF($B2895="","",_xll.BDP($B2895,"INDUSTRY_GROUP"))</f>
        <v/>
      </c>
      <c r="Y2895" t="str">
        <f>IF($B2895="","",_xll.BDP($B2895,"INDUSTRY_SUBGROUP"))</f>
        <v/>
      </c>
      <c r="Z2895" t="str">
        <f>IF($B2895="","",_xll.BDP($B2895,"COUNTRY_FULL_NAME"))</f>
        <v/>
      </c>
    </row>
    <row r="2896" spans="23:26" x14ac:dyDescent="0.25">
      <c r="W2896" t="str">
        <f>IF(B2896="","",_xll.BDP(B2896,"INDUSTRY_SECTOR"))</f>
        <v/>
      </c>
      <c r="X2896" t="str">
        <f>IF($B2896="","",_xll.BDP($B2896,"INDUSTRY_GROUP"))</f>
        <v/>
      </c>
      <c r="Y2896" t="str">
        <f>IF($B2896="","",_xll.BDP($B2896,"INDUSTRY_SUBGROUP"))</f>
        <v/>
      </c>
      <c r="Z2896" t="str">
        <f>IF($B2896="","",_xll.BDP($B2896,"COUNTRY_FULL_NAME"))</f>
        <v/>
      </c>
    </row>
    <row r="2897" spans="23:26" x14ac:dyDescent="0.25">
      <c r="W2897" t="str">
        <f>IF(B2897="","",_xll.BDP(B2897,"INDUSTRY_SECTOR"))</f>
        <v/>
      </c>
      <c r="X2897" t="str">
        <f>IF($B2897="","",_xll.BDP($B2897,"INDUSTRY_GROUP"))</f>
        <v/>
      </c>
      <c r="Y2897" t="str">
        <f>IF($B2897="","",_xll.BDP($B2897,"INDUSTRY_SUBGROUP"))</f>
        <v/>
      </c>
      <c r="Z2897" t="str">
        <f>IF($B2897="","",_xll.BDP($B2897,"COUNTRY_FULL_NAME"))</f>
        <v/>
      </c>
    </row>
    <row r="2898" spans="23:26" x14ac:dyDescent="0.25">
      <c r="W2898" t="str">
        <f>IF(B2898="","",_xll.BDP(B2898,"INDUSTRY_SECTOR"))</f>
        <v/>
      </c>
      <c r="X2898" t="str">
        <f>IF($B2898="","",_xll.BDP($B2898,"INDUSTRY_GROUP"))</f>
        <v/>
      </c>
      <c r="Y2898" t="str">
        <f>IF($B2898="","",_xll.BDP($B2898,"INDUSTRY_SUBGROUP"))</f>
        <v/>
      </c>
      <c r="Z2898" t="str">
        <f>IF($B2898="","",_xll.BDP($B2898,"COUNTRY_FULL_NAME"))</f>
        <v/>
      </c>
    </row>
    <row r="2899" spans="23:26" x14ac:dyDescent="0.25">
      <c r="W2899" t="str">
        <f>IF(B2899="","",_xll.BDP(B2899,"INDUSTRY_SECTOR"))</f>
        <v/>
      </c>
      <c r="X2899" t="str">
        <f>IF($B2899="","",_xll.BDP($B2899,"INDUSTRY_GROUP"))</f>
        <v/>
      </c>
      <c r="Y2899" t="str">
        <f>IF($B2899="","",_xll.BDP($B2899,"INDUSTRY_SUBGROUP"))</f>
        <v/>
      </c>
      <c r="Z2899" t="str">
        <f>IF($B2899="","",_xll.BDP($B2899,"COUNTRY_FULL_NAME"))</f>
        <v/>
      </c>
    </row>
    <row r="2900" spans="23:26" x14ac:dyDescent="0.25">
      <c r="W2900" t="str">
        <f>IF(B2900="","",_xll.BDP(B2900,"INDUSTRY_SECTOR"))</f>
        <v/>
      </c>
      <c r="X2900" t="str">
        <f>IF($B2900="","",_xll.BDP($B2900,"INDUSTRY_GROUP"))</f>
        <v/>
      </c>
      <c r="Y2900" t="str">
        <f>IF($B2900="","",_xll.BDP($B2900,"INDUSTRY_SUBGROUP"))</f>
        <v/>
      </c>
      <c r="Z2900" t="str">
        <f>IF($B2900="","",_xll.BDP($B2900,"COUNTRY_FULL_NAME"))</f>
        <v/>
      </c>
    </row>
    <row r="2901" spans="23:26" x14ac:dyDescent="0.25">
      <c r="W2901" t="str">
        <f>IF(B2901="","",_xll.BDP(B2901,"INDUSTRY_SECTOR"))</f>
        <v/>
      </c>
      <c r="X2901" t="str">
        <f>IF($B2901="","",_xll.BDP($B2901,"INDUSTRY_GROUP"))</f>
        <v/>
      </c>
      <c r="Y2901" t="str">
        <f>IF($B2901="","",_xll.BDP($B2901,"INDUSTRY_SUBGROUP"))</f>
        <v/>
      </c>
      <c r="Z2901" t="str">
        <f>IF($B2901="","",_xll.BDP($B2901,"COUNTRY_FULL_NAME"))</f>
        <v/>
      </c>
    </row>
    <row r="2902" spans="23:26" x14ac:dyDescent="0.25">
      <c r="W2902" t="str">
        <f>IF(B2902="","",_xll.BDP(B2902,"INDUSTRY_SECTOR"))</f>
        <v/>
      </c>
      <c r="X2902" t="str">
        <f>IF($B2902="","",_xll.BDP($B2902,"INDUSTRY_GROUP"))</f>
        <v/>
      </c>
      <c r="Y2902" t="str">
        <f>IF($B2902="","",_xll.BDP($B2902,"INDUSTRY_SUBGROUP"))</f>
        <v/>
      </c>
      <c r="Z2902" t="str">
        <f>IF($B2902="","",_xll.BDP($B2902,"COUNTRY_FULL_NAME"))</f>
        <v/>
      </c>
    </row>
    <row r="2903" spans="23:26" x14ac:dyDescent="0.25">
      <c r="W2903" t="str">
        <f>IF(B2903="","",_xll.BDP(B2903,"INDUSTRY_SECTOR"))</f>
        <v/>
      </c>
      <c r="X2903" t="str">
        <f>IF($B2903="","",_xll.BDP($B2903,"INDUSTRY_GROUP"))</f>
        <v/>
      </c>
      <c r="Y2903" t="str">
        <f>IF($B2903="","",_xll.BDP($B2903,"INDUSTRY_SUBGROUP"))</f>
        <v/>
      </c>
      <c r="Z2903" t="str">
        <f>IF($B2903="","",_xll.BDP($B2903,"COUNTRY_FULL_NAME"))</f>
        <v/>
      </c>
    </row>
    <row r="2904" spans="23:26" x14ac:dyDescent="0.25">
      <c r="W2904" t="str">
        <f>IF(B2904="","",_xll.BDP(B2904,"INDUSTRY_SECTOR"))</f>
        <v/>
      </c>
      <c r="X2904" t="str">
        <f>IF($B2904="","",_xll.BDP($B2904,"INDUSTRY_GROUP"))</f>
        <v/>
      </c>
      <c r="Y2904" t="str">
        <f>IF($B2904="","",_xll.BDP($B2904,"INDUSTRY_SUBGROUP"))</f>
        <v/>
      </c>
      <c r="Z2904" t="str">
        <f>IF($B2904="","",_xll.BDP($B2904,"COUNTRY_FULL_NAME"))</f>
        <v/>
      </c>
    </row>
    <row r="2905" spans="23:26" x14ac:dyDescent="0.25">
      <c r="W2905" t="str">
        <f>IF(B2905="","",_xll.BDP(B2905,"INDUSTRY_SECTOR"))</f>
        <v/>
      </c>
      <c r="X2905" t="str">
        <f>IF($B2905="","",_xll.BDP($B2905,"INDUSTRY_GROUP"))</f>
        <v/>
      </c>
      <c r="Y2905" t="str">
        <f>IF($B2905="","",_xll.BDP($B2905,"INDUSTRY_SUBGROUP"))</f>
        <v/>
      </c>
      <c r="Z2905" t="str">
        <f>IF($B2905="","",_xll.BDP($B2905,"COUNTRY_FULL_NAME"))</f>
        <v/>
      </c>
    </row>
    <row r="2906" spans="23:26" x14ac:dyDescent="0.25">
      <c r="W2906" t="str">
        <f>IF(B2906="","",_xll.BDP(B2906,"INDUSTRY_SECTOR"))</f>
        <v/>
      </c>
      <c r="X2906" t="str">
        <f>IF($B2906="","",_xll.BDP($B2906,"INDUSTRY_GROUP"))</f>
        <v/>
      </c>
      <c r="Y2906" t="str">
        <f>IF($B2906="","",_xll.BDP($B2906,"INDUSTRY_SUBGROUP"))</f>
        <v/>
      </c>
      <c r="Z2906" t="str">
        <f>IF($B2906="","",_xll.BDP($B2906,"COUNTRY_FULL_NAME"))</f>
        <v/>
      </c>
    </row>
    <row r="2907" spans="23:26" x14ac:dyDescent="0.25">
      <c r="W2907" t="str">
        <f>IF(B2907="","",_xll.BDP(B2907,"INDUSTRY_SECTOR"))</f>
        <v/>
      </c>
      <c r="X2907" t="str">
        <f>IF($B2907="","",_xll.BDP($B2907,"INDUSTRY_GROUP"))</f>
        <v/>
      </c>
      <c r="Y2907" t="str">
        <f>IF($B2907="","",_xll.BDP($B2907,"INDUSTRY_SUBGROUP"))</f>
        <v/>
      </c>
      <c r="Z2907" t="str">
        <f>IF($B2907="","",_xll.BDP($B2907,"COUNTRY_FULL_NAME"))</f>
        <v/>
      </c>
    </row>
    <row r="2908" spans="23:26" x14ac:dyDescent="0.25">
      <c r="W2908" t="str">
        <f>IF(B2908="","",_xll.BDP(B2908,"INDUSTRY_SECTOR"))</f>
        <v/>
      </c>
      <c r="X2908" t="str">
        <f>IF($B2908="","",_xll.BDP($B2908,"INDUSTRY_GROUP"))</f>
        <v/>
      </c>
      <c r="Y2908" t="str">
        <f>IF($B2908="","",_xll.BDP($B2908,"INDUSTRY_SUBGROUP"))</f>
        <v/>
      </c>
      <c r="Z2908" t="str">
        <f>IF($B2908="","",_xll.BDP($B2908,"COUNTRY_FULL_NAME"))</f>
        <v/>
      </c>
    </row>
    <row r="2909" spans="23:26" x14ac:dyDescent="0.25">
      <c r="W2909" t="str">
        <f>IF(B2909="","",_xll.BDP(B2909,"INDUSTRY_SECTOR"))</f>
        <v/>
      </c>
      <c r="X2909" t="str">
        <f>IF($B2909="","",_xll.BDP($B2909,"INDUSTRY_GROUP"))</f>
        <v/>
      </c>
      <c r="Y2909" t="str">
        <f>IF($B2909="","",_xll.BDP($B2909,"INDUSTRY_SUBGROUP"))</f>
        <v/>
      </c>
      <c r="Z2909" t="str">
        <f>IF($B2909="","",_xll.BDP($B2909,"COUNTRY_FULL_NAME"))</f>
        <v/>
      </c>
    </row>
    <row r="2910" spans="23:26" x14ac:dyDescent="0.25">
      <c r="W2910" t="str">
        <f>IF(B2910="","",_xll.BDP(B2910,"INDUSTRY_SECTOR"))</f>
        <v/>
      </c>
      <c r="X2910" t="str">
        <f>IF($B2910="","",_xll.BDP($B2910,"INDUSTRY_GROUP"))</f>
        <v/>
      </c>
      <c r="Y2910" t="str">
        <f>IF($B2910="","",_xll.BDP($B2910,"INDUSTRY_SUBGROUP"))</f>
        <v/>
      </c>
      <c r="Z2910" t="str">
        <f>IF($B2910="","",_xll.BDP($B2910,"COUNTRY_FULL_NAME"))</f>
        <v/>
      </c>
    </row>
    <row r="2911" spans="23:26" x14ac:dyDescent="0.25">
      <c r="W2911" t="str">
        <f>IF(B2911="","",_xll.BDP(B2911,"INDUSTRY_SECTOR"))</f>
        <v/>
      </c>
      <c r="X2911" t="str">
        <f>IF($B2911="","",_xll.BDP($B2911,"INDUSTRY_GROUP"))</f>
        <v/>
      </c>
      <c r="Y2911" t="str">
        <f>IF($B2911="","",_xll.BDP($B2911,"INDUSTRY_SUBGROUP"))</f>
        <v/>
      </c>
      <c r="Z2911" t="str">
        <f>IF($B2911="","",_xll.BDP($B2911,"COUNTRY_FULL_NAME"))</f>
        <v/>
      </c>
    </row>
    <row r="2912" spans="23:26" x14ac:dyDescent="0.25">
      <c r="W2912" t="str">
        <f>IF(B2912="","",_xll.BDP(B2912,"INDUSTRY_SECTOR"))</f>
        <v/>
      </c>
      <c r="X2912" t="str">
        <f>IF($B2912="","",_xll.BDP($B2912,"INDUSTRY_GROUP"))</f>
        <v/>
      </c>
      <c r="Y2912" t="str">
        <f>IF($B2912="","",_xll.BDP($B2912,"INDUSTRY_SUBGROUP"))</f>
        <v/>
      </c>
      <c r="Z2912" t="str">
        <f>IF($B2912="","",_xll.BDP($B2912,"COUNTRY_FULL_NAME"))</f>
        <v/>
      </c>
    </row>
    <row r="2913" spans="23:26" x14ac:dyDescent="0.25">
      <c r="W2913" t="str">
        <f>IF(B2913="","",_xll.BDP(B2913,"INDUSTRY_SECTOR"))</f>
        <v/>
      </c>
      <c r="X2913" t="str">
        <f>IF($B2913="","",_xll.BDP($B2913,"INDUSTRY_GROUP"))</f>
        <v/>
      </c>
      <c r="Y2913" t="str">
        <f>IF($B2913="","",_xll.BDP($B2913,"INDUSTRY_SUBGROUP"))</f>
        <v/>
      </c>
      <c r="Z2913" t="str">
        <f>IF($B2913="","",_xll.BDP($B2913,"COUNTRY_FULL_NAME"))</f>
        <v/>
      </c>
    </row>
    <row r="2914" spans="23:26" x14ac:dyDescent="0.25">
      <c r="W2914" t="str">
        <f>IF(B2914="","",_xll.BDP(B2914,"INDUSTRY_SECTOR"))</f>
        <v/>
      </c>
      <c r="X2914" t="str">
        <f>IF($B2914="","",_xll.BDP($B2914,"INDUSTRY_GROUP"))</f>
        <v/>
      </c>
      <c r="Y2914" t="str">
        <f>IF($B2914="","",_xll.BDP($B2914,"INDUSTRY_SUBGROUP"))</f>
        <v/>
      </c>
      <c r="Z2914" t="str">
        <f>IF($B2914="","",_xll.BDP($B2914,"COUNTRY_FULL_NAME"))</f>
        <v/>
      </c>
    </row>
    <row r="2915" spans="23:26" x14ac:dyDescent="0.25">
      <c r="W2915" t="str">
        <f>IF(B2915="","",_xll.BDP(B2915,"INDUSTRY_SECTOR"))</f>
        <v/>
      </c>
      <c r="X2915" t="str">
        <f>IF($B2915="","",_xll.BDP($B2915,"INDUSTRY_GROUP"))</f>
        <v/>
      </c>
      <c r="Y2915" t="str">
        <f>IF($B2915="","",_xll.BDP($B2915,"INDUSTRY_SUBGROUP"))</f>
        <v/>
      </c>
      <c r="Z2915" t="str">
        <f>IF($B2915="","",_xll.BDP($B2915,"COUNTRY_FULL_NAME"))</f>
        <v/>
      </c>
    </row>
    <row r="2916" spans="23:26" x14ac:dyDescent="0.25">
      <c r="W2916" t="str">
        <f>IF(B2916="","",_xll.BDP(B2916,"INDUSTRY_SECTOR"))</f>
        <v/>
      </c>
      <c r="X2916" t="str">
        <f>IF($B2916="","",_xll.BDP($B2916,"INDUSTRY_GROUP"))</f>
        <v/>
      </c>
      <c r="Y2916" t="str">
        <f>IF($B2916="","",_xll.BDP($B2916,"INDUSTRY_SUBGROUP"))</f>
        <v/>
      </c>
      <c r="Z2916" t="str">
        <f>IF($B2916="","",_xll.BDP($B2916,"COUNTRY_FULL_NAME"))</f>
        <v/>
      </c>
    </row>
    <row r="2917" spans="23:26" x14ac:dyDescent="0.25">
      <c r="W2917" t="str">
        <f>IF(B2917="","",_xll.BDP(B2917,"INDUSTRY_SECTOR"))</f>
        <v/>
      </c>
      <c r="X2917" t="str">
        <f>IF($B2917="","",_xll.BDP($B2917,"INDUSTRY_GROUP"))</f>
        <v/>
      </c>
      <c r="Y2917" t="str">
        <f>IF($B2917="","",_xll.BDP($B2917,"INDUSTRY_SUBGROUP"))</f>
        <v/>
      </c>
      <c r="Z2917" t="str">
        <f>IF($B2917="","",_xll.BDP($B2917,"COUNTRY_FULL_NAME"))</f>
        <v/>
      </c>
    </row>
    <row r="2918" spans="23:26" x14ac:dyDescent="0.25">
      <c r="W2918" t="str">
        <f>IF(B2918="","",_xll.BDP(B2918,"INDUSTRY_SECTOR"))</f>
        <v/>
      </c>
      <c r="X2918" t="str">
        <f>IF($B2918="","",_xll.BDP($B2918,"INDUSTRY_GROUP"))</f>
        <v/>
      </c>
      <c r="Y2918" t="str">
        <f>IF($B2918="","",_xll.BDP($B2918,"INDUSTRY_SUBGROUP"))</f>
        <v/>
      </c>
      <c r="Z2918" t="str">
        <f>IF($B2918="","",_xll.BDP($B2918,"COUNTRY_FULL_NAME"))</f>
        <v/>
      </c>
    </row>
    <row r="2919" spans="23:26" x14ac:dyDescent="0.25">
      <c r="W2919" t="str">
        <f>IF(B2919="","",_xll.BDP(B2919,"INDUSTRY_SECTOR"))</f>
        <v/>
      </c>
      <c r="X2919" t="str">
        <f>IF($B2919="","",_xll.BDP($B2919,"INDUSTRY_GROUP"))</f>
        <v/>
      </c>
      <c r="Y2919" t="str">
        <f>IF($B2919="","",_xll.BDP($B2919,"INDUSTRY_SUBGROUP"))</f>
        <v/>
      </c>
      <c r="Z2919" t="str">
        <f>IF($B2919="","",_xll.BDP($B2919,"COUNTRY_FULL_NAME"))</f>
        <v/>
      </c>
    </row>
    <row r="2920" spans="23:26" x14ac:dyDescent="0.25">
      <c r="W2920" t="str">
        <f>IF(B2920="","",_xll.BDP(B2920,"INDUSTRY_SECTOR"))</f>
        <v/>
      </c>
      <c r="X2920" t="str">
        <f>IF($B2920="","",_xll.BDP($B2920,"INDUSTRY_GROUP"))</f>
        <v/>
      </c>
      <c r="Y2920" t="str">
        <f>IF($B2920="","",_xll.BDP($B2920,"INDUSTRY_SUBGROUP"))</f>
        <v/>
      </c>
      <c r="Z2920" t="str">
        <f>IF($B2920="","",_xll.BDP($B2920,"COUNTRY_FULL_NAME"))</f>
        <v/>
      </c>
    </row>
    <row r="2921" spans="23:26" x14ac:dyDescent="0.25">
      <c r="W2921" t="str">
        <f>IF(B2921="","",_xll.BDP(B2921,"INDUSTRY_SECTOR"))</f>
        <v/>
      </c>
      <c r="X2921" t="str">
        <f>IF($B2921="","",_xll.BDP($B2921,"INDUSTRY_GROUP"))</f>
        <v/>
      </c>
      <c r="Y2921" t="str">
        <f>IF($B2921="","",_xll.BDP($B2921,"INDUSTRY_SUBGROUP"))</f>
        <v/>
      </c>
      <c r="Z2921" t="str">
        <f>IF($B2921="","",_xll.BDP($B2921,"COUNTRY_FULL_NAME"))</f>
        <v/>
      </c>
    </row>
    <row r="2922" spans="23:26" x14ac:dyDescent="0.25">
      <c r="W2922" t="str">
        <f>IF(B2922="","",_xll.BDP(B2922,"INDUSTRY_SECTOR"))</f>
        <v/>
      </c>
      <c r="X2922" t="str">
        <f>IF($B2922="","",_xll.BDP($B2922,"INDUSTRY_GROUP"))</f>
        <v/>
      </c>
      <c r="Y2922" t="str">
        <f>IF($B2922="","",_xll.BDP($B2922,"INDUSTRY_SUBGROUP"))</f>
        <v/>
      </c>
      <c r="Z2922" t="str">
        <f>IF($B2922="","",_xll.BDP($B2922,"COUNTRY_FULL_NAME"))</f>
        <v/>
      </c>
    </row>
    <row r="2923" spans="23:26" x14ac:dyDescent="0.25">
      <c r="W2923" t="str">
        <f>IF(B2923="","",_xll.BDP(B2923,"INDUSTRY_SECTOR"))</f>
        <v/>
      </c>
      <c r="X2923" t="str">
        <f>IF($B2923="","",_xll.BDP($B2923,"INDUSTRY_GROUP"))</f>
        <v/>
      </c>
      <c r="Y2923" t="str">
        <f>IF($B2923="","",_xll.BDP($B2923,"INDUSTRY_SUBGROUP"))</f>
        <v/>
      </c>
      <c r="Z2923" t="str">
        <f>IF($B2923="","",_xll.BDP($B2923,"COUNTRY_FULL_NAME"))</f>
        <v/>
      </c>
    </row>
    <row r="2924" spans="23:26" x14ac:dyDescent="0.25">
      <c r="W2924" t="str">
        <f>IF(B2924="","",_xll.BDP(B2924,"INDUSTRY_SECTOR"))</f>
        <v/>
      </c>
      <c r="X2924" t="str">
        <f>IF($B2924="","",_xll.BDP($B2924,"INDUSTRY_GROUP"))</f>
        <v/>
      </c>
      <c r="Y2924" t="str">
        <f>IF($B2924="","",_xll.BDP($B2924,"INDUSTRY_SUBGROUP"))</f>
        <v/>
      </c>
      <c r="Z2924" t="str">
        <f>IF($B2924="","",_xll.BDP($B2924,"COUNTRY_FULL_NAME"))</f>
        <v/>
      </c>
    </row>
    <row r="2925" spans="23:26" x14ac:dyDescent="0.25">
      <c r="W2925" t="str">
        <f>IF(B2925="","",_xll.BDP(B2925,"INDUSTRY_SECTOR"))</f>
        <v/>
      </c>
      <c r="X2925" t="str">
        <f>IF($B2925="","",_xll.BDP($B2925,"INDUSTRY_GROUP"))</f>
        <v/>
      </c>
      <c r="Y2925" t="str">
        <f>IF($B2925="","",_xll.BDP($B2925,"INDUSTRY_SUBGROUP"))</f>
        <v/>
      </c>
      <c r="Z2925" t="str">
        <f>IF($B2925="","",_xll.BDP($B2925,"COUNTRY_FULL_NAME"))</f>
        <v/>
      </c>
    </row>
    <row r="2926" spans="23:26" x14ac:dyDescent="0.25">
      <c r="W2926" t="str">
        <f>IF(B2926="","",_xll.BDP(B2926,"INDUSTRY_SECTOR"))</f>
        <v/>
      </c>
      <c r="X2926" t="str">
        <f>IF($B2926="","",_xll.BDP($B2926,"INDUSTRY_GROUP"))</f>
        <v/>
      </c>
      <c r="Y2926" t="str">
        <f>IF($B2926="","",_xll.BDP($B2926,"INDUSTRY_SUBGROUP"))</f>
        <v/>
      </c>
      <c r="Z2926" t="str">
        <f>IF($B2926="","",_xll.BDP($B2926,"COUNTRY_FULL_NAME"))</f>
        <v/>
      </c>
    </row>
    <row r="2927" spans="23:26" x14ac:dyDescent="0.25">
      <c r="W2927" t="str">
        <f>IF(B2927="","",_xll.BDP(B2927,"INDUSTRY_SECTOR"))</f>
        <v/>
      </c>
      <c r="X2927" t="str">
        <f>IF($B2927="","",_xll.BDP($B2927,"INDUSTRY_GROUP"))</f>
        <v/>
      </c>
      <c r="Y2927" t="str">
        <f>IF($B2927="","",_xll.BDP($B2927,"INDUSTRY_SUBGROUP"))</f>
        <v/>
      </c>
      <c r="Z2927" t="str">
        <f>IF($B2927="","",_xll.BDP($B2927,"COUNTRY_FULL_NAME"))</f>
        <v/>
      </c>
    </row>
    <row r="2928" spans="23:26" x14ac:dyDescent="0.25">
      <c r="W2928" t="str">
        <f>IF(B2928="","",_xll.BDP(B2928,"INDUSTRY_SECTOR"))</f>
        <v/>
      </c>
      <c r="X2928" t="str">
        <f>IF($B2928="","",_xll.BDP($B2928,"INDUSTRY_GROUP"))</f>
        <v/>
      </c>
      <c r="Y2928" t="str">
        <f>IF($B2928="","",_xll.BDP($B2928,"INDUSTRY_SUBGROUP"))</f>
        <v/>
      </c>
      <c r="Z2928" t="str">
        <f>IF($B2928="","",_xll.BDP($B2928,"COUNTRY_FULL_NAME"))</f>
        <v/>
      </c>
    </row>
    <row r="2929" spans="23:26" x14ac:dyDescent="0.25">
      <c r="W2929" t="str">
        <f>IF(B2929="","",_xll.BDP(B2929,"INDUSTRY_SECTOR"))</f>
        <v/>
      </c>
      <c r="X2929" t="str">
        <f>IF($B2929="","",_xll.BDP($B2929,"INDUSTRY_GROUP"))</f>
        <v/>
      </c>
      <c r="Y2929" t="str">
        <f>IF($B2929="","",_xll.BDP($B2929,"INDUSTRY_SUBGROUP"))</f>
        <v/>
      </c>
      <c r="Z2929" t="str">
        <f>IF($B2929="","",_xll.BDP($B2929,"COUNTRY_FULL_NAME"))</f>
        <v/>
      </c>
    </row>
    <row r="2930" spans="23:26" x14ac:dyDescent="0.25">
      <c r="W2930" t="str">
        <f>IF(B2930="","",_xll.BDP(B2930,"INDUSTRY_SECTOR"))</f>
        <v/>
      </c>
      <c r="X2930" t="str">
        <f>IF($B2930="","",_xll.BDP($B2930,"INDUSTRY_GROUP"))</f>
        <v/>
      </c>
      <c r="Y2930" t="str">
        <f>IF($B2930="","",_xll.BDP($B2930,"INDUSTRY_SUBGROUP"))</f>
        <v/>
      </c>
      <c r="Z2930" t="str">
        <f>IF($B2930="","",_xll.BDP($B2930,"COUNTRY_FULL_NAME"))</f>
        <v/>
      </c>
    </row>
    <row r="2931" spans="23:26" x14ac:dyDescent="0.25">
      <c r="W2931" t="str">
        <f>IF(B2931="","",_xll.BDP(B2931,"INDUSTRY_SECTOR"))</f>
        <v/>
      </c>
      <c r="X2931" t="str">
        <f>IF($B2931="","",_xll.BDP($B2931,"INDUSTRY_GROUP"))</f>
        <v/>
      </c>
      <c r="Y2931" t="str">
        <f>IF($B2931="","",_xll.BDP($B2931,"INDUSTRY_SUBGROUP"))</f>
        <v/>
      </c>
      <c r="Z2931" t="str">
        <f>IF($B2931="","",_xll.BDP($B2931,"COUNTRY_FULL_NAME"))</f>
        <v/>
      </c>
    </row>
    <row r="2932" spans="23:26" x14ac:dyDescent="0.25">
      <c r="W2932" t="str">
        <f>IF(B2932="","",_xll.BDP(B2932,"INDUSTRY_SECTOR"))</f>
        <v/>
      </c>
      <c r="X2932" t="str">
        <f>IF($B2932="","",_xll.BDP($B2932,"INDUSTRY_GROUP"))</f>
        <v/>
      </c>
      <c r="Y2932" t="str">
        <f>IF($B2932="","",_xll.BDP($B2932,"INDUSTRY_SUBGROUP"))</f>
        <v/>
      </c>
      <c r="Z2932" t="str">
        <f>IF($B2932="","",_xll.BDP($B2932,"COUNTRY_FULL_NAME"))</f>
        <v/>
      </c>
    </row>
    <row r="2933" spans="23:26" x14ac:dyDescent="0.25">
      <c r="W2933" t="str">
        <f>IF(B2933="","",_xll.BDP(B2933,"INDUSTRY_SECTOR"))</f>
        <v/>
      </c>
      <c r="X2933" t="str">
        <f>IF($B2933="","",_xll.BDP($B2933,"INDUSTRY_GROUP"))</f>
        <v/>
      </c>
      <c r="Y2933" t="str">
        <f>IF($B2933="","",_xll.BDP($B2933,"INDUSTRY_SUBGROUP"))</f>
        <v/>
      </c>
      <c r="Z2933" t="str">
        <f>IF($B2933="","",_xll.BDP($B2933,"COUNTRY_FULL_NAME"))</f>
        <v/>
      </c>
    </row>
    <row r="2934" spans="23:26" x14ac:dyDescent="0.25">
      <c r="W2934" t="str">
        <f>IF(B2934="","",_xll.BDP(B2934,"INDUSTRY_SECTOR"))</f>
        <v/>
      </c>
      <c r="X2934" t="str">
        <f>IF($B2934="","",_xll.BDP($B2934,"INDUSTRY_GROUP"))</f>
        <v/>
      </c>
      <c r="Y2934" t="str">
        <f>IF($B2934="","",_xll.BDP($B2934,"INDUSTRY_SUBGROUP"))</f>
        <v/>
      </c>
      <c r="Z2934" t="str">
        <f>IF($B2934="","",_xll.BDP($B2934,"COUNTRY_FULL_NAME"))</f>
        <v/>
      </c>
    </row>
    <row r="2935" spans="23:26" x14ac:dyDescent="0.25">
      <c r="W2935" t="str">
        <f>IF(B2935="","",_xll.BDP(B2935,"INDUSTRY_SECTOR"))</f>
        <v/>
      </c>
      <c r="X2935" t="str">
        <f>IF($B2935="","",_xll.BDP($B2935,"INDUSTRY_GROUP"))</f>
        <v/>
      </c>
      <c r="Y2935" t="str">
        <f>IF($B2935="","",_xll.BDP($B2935,"INDUSTRY_SUBGROUP"))</f>
        <v/>
      </c>
      <c r="Z2935" t="str">
        <f>IF($B2935="","",_xll.BDP($B2935,"COUNTRY_FULL_NAME"))</f>
        <v/>
      </c>
    </row>
    <row r="2936" spans="23:26" x14ac:dyDescent="0.25">
      <c r="W2936" t="str">
        <f>IF(B2936="","",_xll.BDP(B2936,"INDUSTRY_SECTOR"))</f>
        <v/>
      </c>
      <c r="X2936" t="str">
        <f>IF($B2936="","",_xll.BDP($B2936,"INDUSTRY_GROUP"))</f>
        <v/>
      </c>
      <c r="Y2936" t="str">
        <f>IF($B2936="","",_xll.BDP($B2936,"INDUSTRY_SUBGROUP"))</f>
        <v/>
      </c>
      <c r="Z2936" t="str">
        <f>IF($B2936="","",_xll.BDP($B2936,"COUNTRY_FULL_NAME"))</f>
        <v/>
      </c>
    </row>
    <row r="2937" spans="23:26" x14ac:dyDescent="0.25">
      <c r="W2937" t="str">
        <f>IF(B2937="","",_xll.BDP(B2937,"INDUSTRY_SECTOR"))</f>
        <v/>
      </c>
      <c r="X2937" t="str">
        <f>IF($B2937="","",_xll.BDP($B2937,"INDUSTRY_GROUP"))</f>
        <v/>
      </c>
      <c r="Y2937" t="str">
        <f>IF($B2937="","",_xll.BDP($B2937,"INDUSTRY_SUBGROUP"))</f>
        <v/>
      </c>
      <c r="Z2937" t="str">
        <f>IF($B2937="","",_xll.BDP($B2937,"COUNTRY_FULL_NAME"))</f>
        <v/>
      </c>
    </row>
    <row r="2938" spans="23:26" x14ac:dyDescent="0.25">
      <c r="W2938" t="str">
        <f>IF(B2938="","",_xll.BDP(B2938,"INDUSTRY_SECTOR"))</f>
        <v/>
      </c>
      <c r="X2938" t="str">
        <f>IF($B2938="","",_xll.BDP($B2938,"INDUSTRY_GROUP"))</f>
        <v/>
      </c>
      <c r="Y2938" t="str">
        <f>IF($B2938="","",_xll.BDP($B2938,"INDUSTRY_SUBGROUP"))</f>
        <v/>
      </c>
      <c r="Z2938" t="str">
        <f>IF($B2938="","",_xll.BDP($B2938,"COUNTRY_FULL_NAME"))</f>
        <v/>
      </c>
    </row>
    <row r="2939" spans="23:26" x14ac:dyDescent="0.25">
      <c r="W2939" t="str">
        <f>IF(B2939="","",_xll.BDP(B2939,"INDUSTRY_SECTOR"))</f>
        <v/>
      </c>
      <c r="X2939" t="str">
        <f>IF($B2939="","",_xll.BDP($B2939,"INDUSTRY_GROUP"))</f>
        <v/>
      </c>
      <c r="Y2939" t="str">
        <f>IF($B2939="","",_xll.BDP($B2939,"INDUSTRY_SUBGROUP"))</f>
        <v/>
      </c>
      <c r="Z2939" t="str">
        <f>IF($B2939="","",_xll.BDP($B2939,"COUNTRY_FULL_NAME"))</f>
        <v/>
      </c>
    </row>
    <row r="2940" spans="23:26" x14ac:dyDescent="0.25">
      <c r="W2940" t="str">
        <f>IF(B2940="","",_xll.BDP(B2940,"INDUSTRY_SECTOR"))</f>
        <v/>
      </c>
      <c r="X2940" t="str">
        <f>IF($B2940="","",_xll.BDP($B2940,"INDUSTRY_GROUP"))</f>
        <v/>
      </c>
      <c r="Y2940" t="str">
        <f>IF($B2940="","",_xll.BDP($B2940,"INDUSTRY_SUBGROUP"))</f>
        <v/>
      </c>
      <c r="Z2940" t="str">
        <f>IF($B2940="","",_xll.BDP($B2940,"COUNTRY_FULL_NAME"))</f>
        <v/>
      </c>
    </row>
    <row r="2941" spans="23:26" x14ac:dyDescent="0.25">
      <c r="W2941" t="str">
        <f>IF(B2941="","",_xll.BDP(B2941,"INDUSTRY_SECTOR"))</f>
        <v/>
      </c>
      <c r="X2941" t="str">
        <f>IF($B2941="","",_xll.BDP($B2941,"INDUSTRY_GROUP"))</f>
        <v/>
      </c>
      <c r="Y2941" t="str">
        <f>IF($B2941="","",_xll.BDP($B2941,"INDUSTRY_SUBGROUP"))</f>
        <v/>
      </c>
      <c r="Z2941" t="str">
        <f>IF($B2941="","",_xll.BDP($B2941,"COUNTRY_FULL_NAME"))</f>
        <v/>
      </c>
    </row>
    <row r="2942" spans="23:26" x14ac:dyDescent="0.25">
      <c r="W2942" t="str">
        <f>IF(B2942="","",_xll.BDP(B2942,"INDUSTRY_SECTOR"))</f>
        <v/>
      </c>
      <c r="X2942" t="str">
        <f>IF($B2942="","",_xll.BDP($B2942,"INDUSTRY_GROUP"))</f>
        <v/>
      </c>
      <c r="Y2942" t="str">
        <f>IF($B2942="","",_xll.BDP($B2942,"INDUSTRY_SUBGROUP"))</f>
        <v/>
      </c>
      <c r="Z2942" t="str">
        <f>IF($B2942="","",_xll.BDP($B2942,"COUNTRY_FULL_NAME"))</f>
        <v/>
      </c>
    </row>
    <row r="2943" spans="23:26" x14ac:dyDescent="0.25">
      <c r="W2943" t="str">
        <f>IF(B2943="","",_xll.BDP(B2943,"INDUSTRY_SECTOR"))</f>
        <v/>
      </c>
      <c r="X2943" t="str">
        <f>IF($B2943="","",_xll.BDP($B2943,"INDUSTRY_GROUP"))</f>
        <v/>
      </c>
      <c r="Y2943" t="str">
        <f>IF($B2943="","",_xll.BDP($B2943,"INDUSTRY_SUBGROUP"))</f>
        <v/>
      </c>
      <c r="Z2943" t="str">
        <f>IF($B2943="","",_xll.BDP($B2943,"COUNTRY_FULL_NAME"))</f>
        <v/>
      </c>
    </row>
    <row r="2944" spans="23:26" x14ac:dyDescent="0.25">
      <c r="W2944" t="str">
        <f>IF(B2944="","",_xll.BDP(B2944,"INDUSTRY_SECTOR"))</f>
        <v/>
      </c>
      <c r="X2944" t="str">
        <f>IF($B2944="","",_xll.BDP($B2944,"INDUSTRY_GROUP"))</f>
        <v/>
      </c>
      <c r="Y2944" t="str">
        <f>IF($B2944="","",_xll.BDP($B2944,"INDUSTRY_SUBGROUP"))</f>
        <v/>
      </c>
      <c r="Z2944" t="str">
        <f>IF($B2944="","",_xll.BDP($B2944,"COUNTRY_FULL_NAME"))</f>
        <v/>
      </c>
    </row>
    <row r="2945" spans="23:26" x14ac:dyDescent="0.25">
      <c r="W2945" t="str">
        <f>IF(B2945="","",_xll.BDP(B2945,"INDUSTRY_SECTOR"))</f>
        <v/>
      </c>
      <c r="X2945" t="str">
        <f>IF($B2945="","",_xll.BDP($B2945,"INDUSTRY_GROUP"))</f>
        <v/>
      </c>
      <c r="Y2945" t="str">
        <f>IF($B2945="","",_xll.BDP($B2945,"INDUSTRY_SUBGROUP"))</f>
        <v/>
      </c>
      <c r="Z2945" t="str">
        <f>IF($B2945="","",_xll.BDP($B2945,"COUNTRY_FULL_NAME"))</f>
        <v/>
      </c>
    </row>
    <row r="2946" spans="23:26" x14ac:dyDescent="0.25">
      <c r="W2946" t="str">
        <f>IF(B2946="","",_xll.BDP(B2946,"INDUSTRY_SECTOR"))</f>
        <v/>
      </c>
      <c r="X2946" t="str">
        <f>IF($B2946="","",_xll.BDP($B2946,"INDUSTRY_GROUP"))</f>
        <v/>
      </c>
      <c r="Y2946" t="str">
        <f>IF($B2946="","",_xll.BDP($B2946,"INDUSTRY_SUBGROUP"))</f>
        <v/>
      </c>
      <c r="Z2946" t="str">
        <f>IF($B2946="","",_xll.BDP($B2946,"COUNTRY_FULL_NAME"))</f>
        <v/>
      </c>
    </row>
    <row r="2947" spans="23:26" x14ac:dyDescent="0.25">
      <c r="W2947" t="str">
        <f>IF(B2947="","",_xll.BDP(B2947,"INDUSTRY_SECTOR"))</f>
        <v/>
      </c>
      <c r="X2947" t="str">
        <f>IF($B2947="","",_xll.BDP($B2947,"INDUSTRY_GROUP"))</f>
        <v/>
      </c>
      <c r="Y2947" t="str">
        <f>IF($B2947="","",_xll.BDP($B2947,"INDUSTRY_SUBGROUP"))</f>
        <v/>
      </c>
      <c r="Z2947" t="str">
        <f>IF($B2947="","",_xll.BDP($B2947,"COUNTRY_FULL_NAME"))</f>
        <v/>
      </c>
    </row>
    <row r="2948" spans="23:26" x14ac:dyDescent="0.25">
      <c r="W2948" t="str">
        <f>IF(B2948="","",_xll.BDP(B2948,"INDUSTRY_SECTOR"))</f>
        <v/>
      </c>
      <c r="X2948" t="str">
        <f>IF($B2948="","",_xll.BDP($B2948,"INDUSTRY_GROUP"))</f>
        <v/>
      </c>
      <c r="Y2948" t="str">
        <f>IF($B2948="","",_xll.BDP($B2948,"INDUSTRY_SUBGROUP"))</f>
        <v/>
      </c>
      <c r="Z2948" t="str">
        <f>IF($B2948="","",_xll.BDP($B2948,"COUNTRY_FULL_NAME"))</f>
        <v/>
      </c>
    </row>
    <row r="2949" spans="23:26" x14ac:dyDescent="0.25">
      <c r="W2949" t="str">
        <f>IF(B2949="","",_xll.BDP(B2949,"INDUSTRY_SECTOR"))</f>
        <v/>
      </c>
      <c r="X2949" t="str">
        <f>IF($B2949="","",_xll.BDP($B2949,"INDUSTRY_GROUP"))</f>
        <v/>
      </c>
      <c r="Y2949" t="str">
        <f>IF($B2949="","",_xll.BDP($B2949,"INDUSTRY_SUBGROUP"))</f>
        <v/>
      </c>
      <c r="Z2949" t="str">
        <f>IF($B2949="","",_xll.BDP($B2949,"COUNTRY_FULL_NAME"))</f>
        <v/>
      </c>
    </row>
    <row r="2950" spans="23:26" x14ac:dyDescent="0.25">
      <c r="W2950" t="str">
        <f>IF(B2950="","",_xll.BDP(B2950,"INDUSTRY_SECTOR"))</f>
        <v/>
      </c>
      <c r="X2950" t="str">
        <f>IF($B2950="","",_xll.BDP($B2950,"INDUSTRY_GROUP"))</f>
        <v/>
      </c>
      <c r="Y2950" t="str">
        <f>IF($B2950="","",_xll.BDP($B2950,"INDUSTRY_SUBGROUP"))</f>
        <v/>
      </c>
      <c r="Z2950" t="str">
        <f>IF($B2950="","",_xll.BDP($B2950,"COUNTRY_FULL_NAME"))</f>
        <v/>
      </c>
    </row>
    <row r="2951" spans="23:26" x14ac:dyDescent="0.25">
      <c r="W2951" t="str">
        <f>IF(B2951="","",_xll.BDP(B2951,"INDUSTRY_SECTOR"))</f>
        <v/>
      </c>
      <c r="X2951" t="str">
        <f>IF($B2951="","",_xll.BDP($B2951,"INDUSTRY_GROUP"))</f>
        <v/>
      </c>
      <c r="Y2951" t="str">
        <f>IF($B2951="","",_xll.BDP($B2951,"INDUSTRY_SUBGROUP"))</f>
        <v/>
      </c>
      <c r="Z2951" t="str">
        <f>IF($B2951="","",_xll.BDP($B2951,"COUNTRY_FULL_NAME"))</f>
        <v/>
      </c>
    </row>
    <row r="2952" spans="23:26" x14ac:dyDescent="0.25">
      <c r="W2952" t="str">
        <f>IF(B2952="","",_xll.BDP(B2952,"INDUSTRY_SECTOR"))</f>
        <v/>
      </c>
      <c r="X2952" t="str">
        <f>IF($B2952="","",_xll.BDP($B2952,"INDUSTRY_GROUP"))</f>
        <v/>
      </c>
      <c r="Y2952" t="str">
        <f>IF($B2952="","",_xll.BDP($B2952,"INDUSTRY_SUBGROUP"))</f>
        <v/>
      </c>
      <c r="Z2952" t="str">
        <f>IF($B2952="","",_xll.BDP($B2952,"COUNTRY_FULL_NAME"))</f>
        <v/>
      </c>
    </row>
    <row r="2953" spans="23:26" x14ac:dyDescent="0.25">
      <c r="W2953" t="str">
        <f>IF(B2953="","",_xll.BDP(B2953,"INDUSTRY_SECTOR"))</f>
        <v/>
      </c>
      <c r="X2953" t="str">
        <f>IF($B2953="","",_xll.BDP($B2953,"INDUSTRY_GROUP"))</f>
        <v/>
      </c>
      <c r="Y2953" t="str">
        <f>IF($B2953="","",_xll.BDP($B2953,"INDUSTRY_SUBGROUP"))</f>
        <v/>
      </c>
      <c r="Z2953" t="str">
        <f>IF($B2953="","",_xll.BDP($B2953,"COUNTRY_FULL_NAME"))</f>
        <v/>
      </c>
    </row>
    <row r="2954" spans="23:26" x14ac:dyDescent="0.25">
      <c r="W2954" t="str">
        <f>IF(B2954="","",_xll.BDP(B2954,"INDUSTRY_SECTOR"))</f>
        <v/>
      </c>
      <c r="X2954" t="str">
        <f>IF($B2954="","",_xll.BDP($B2954,"INDUSTRY_GROUP"))</f>
        <v/>
      </c>
      <c r="Y2954" t="str">
        <f>IF($B2954="","",_xll.BDP($B2954,"INDUSTRY_SUBGROUP"))</f>
        <v/>
      </c>
      <c r="Z2954" t="str">
        <f>IF($B2954="","",_xll.BDP($B2954,"COUNTRY_FULL_NAME"))</f>
        <v/>
      </c>
    </row>
    <row r="2955" spans="23:26" x14ac:dyDescent="0.25">
      <c r="W2955" t="str">
        <f>IF(B2955="","",_xll.BDP(B2955,"INDUSTRY_SECTOR"))</f>
        <v/>
      </c>
      <c r="X2955" t="str">
        <f>IF($B2955="","",_xll.BDP($B2955,"INDUSTRY_GROUP"))</f>
        <v/>
      </c>
      <c r="Y2955" t="str">
        <f>IF($B2955="","",_xll.BDP($B2955,"INDUSTRY_SUBGROUP"))</f>
        <v/>
      </c>
      <c r="Z2955" t="str">
        <f>IF($B2955="","",_xll.BDP($B2955,"COUNTRY_FULL_NAME"))</f>
        <v/>
      </c>
    </row>
    <row r="2956" spans="23:26" x14ac:dyDescent="0.25">
      <c r="W2956" t="str">
        <f>IF(B2956="","",_xll.BDP(B2956,"INDUSTRY_SECTOR"))</f>
        <v/>
      </c>
      <c r="X2956" t="str">
        <f>IF($B2956="","",_xll.BDP($B2956,"INDUSTRY_GROUP"))</f>
        <v/>
      </c>
      <c r="Y2956" t="str">
        <f>IF($B2956="","",_xll.BDP($B2956,"INDUSTRY_SUBGROUP"))</f>
        <v/>
      </c>
      <c r="Z2956" t="str">
        <f>IF($B2956="","",_xll.BDP($B2956,"COUNTRY_FULL_NAME"))</f>
        <v/>
      </c>
    </row>
    <row r="2957" spans="23:26" x14ac:dyDescent="0.25">
      <c r="W2957" t="str">
        <f>IF(B2957="","",_xll.BDP(B2957,"INDUSTRY_SECTOR"))</f>
        <v/>
      </c>
      <c r="X2957" t="str">
        <f>IF($B2957="","",_xll.BDP($B2957,"INDUSTRY_GROUP"))</f>
        <v/>
      </c>
      <c r="Y2957" t="str">
        <f>IF($B2957="","",_xll.BDP($B2957,"INDUSTRY_SUBGROUP"))</f>
        <v/>
      </c>
      <c r="Z2957" t="str">
        <f>IF($B2957="","",_xll.BDP($B2957,"COUNTRY_FULL_NAME"))</f>
        <v/>
      </c>
    </row>
    <row r="2958" spans="23:26" x14ac:dyDescent="0.25">
      <c r="W2958" t="str">
        <f>IF(B2958="","",_xll.BDP(B2958,"INDUSTRY_SECTOR"))</f>
        <v/>
      </c>
      <c r="X2958" t="str">
        <f>IF($B2958="","",_xll.BDP($B2958,"INDUSTRY_GROUP"))</f>
        <v/>
      </c>
      <c r="Y2958" t="str">
        <f>IF($B2958="","",_xll.BDP($B2958,"INDUSTRY_SUBGROUP"))</f>
        <v/>
      </c>
      <c r="Z2958" t="str">
        <f>IF($B2958="","",_xll.BDP($B2958,"COUNTRY_FULL_NAME"))</f>
        <v/>
      </c>
    </row>
    <row r="2959" spans="23:26" x14ac:dyDescent="0.25">
      <c r="W2959" t="str">
        <f>IF(B2959="","",_xll.BDP(B2959,"INDUSTRY_SECTOR"))</f>
        <v/>
      </c>
      <c r="X2959" t="str">
        <f>IF($B2959="","",_xll.BDP($B2959,"INDUSTRY_GROUP"))</f>
        <v/>
      </c>
      <c r="Y2959" t="str">
        <f>IF($B2959="","",_xll.BDP($B2959,"INDUSTRY_SUBGROUP"))</f>
        <v/>
      </c>
      <c r="Z2959" t="str">
        <f>IF($B2959="","",_xll.BDP($B2959,"COUNTRY_FULL_NAME"))</f>
        <v/>
      </c>
    </row>
    <row r="2960" spans="23:26" x14ac:dyDescent="0.25">
      <c r="W2960" t="str">
        <f>IF(B2960="","",_xll.BDP(B2960,"INDUSTRY_SECTOR"))</f>
        <v/>
      </c>
      <c r="X2960" t="str">
        <f>IF($B2960="","",_xll.BDP($B2960,"INDUSTRY_GROUP"))</f>
        <v/>
      </c>
      <c r="Y2960" t="str">
        <f>IF($B2960="","",_xll.BDP($B2960,"INDUSTRY_SUBGROUP"))</f>
        <v/>
      </c>
      <c r="Z2960" t="str">
        <f>IF($B2960="","",_xll.BDP($B2960,"COUNTRY_FULL_NAME"))</f>
        <v/>
      </c>
    </row>
    <row r="2961" spans="23:26" x14ac:dyDescent="0.25">
      <c r="W2961" t="str">
        <f>IF(B2961="","",_xll.BDP(B2961,"INDUSTRY_SECTOR"))</f>
        <v/>
      </c>
      <c r="X2961" t="str">
        <f>IF($B2961="","",_xll.BDP($B2961,"INDUSTRY_GROUP"))</f>
        <v/>
      </c>
      <c r="Y2961" t="str">
        <f>IF($B2961="","",_xll.BDP($B2961,"INDUSTRY_SUBGROUP"))</f>
        <v/>
      </c>
      <c r="Z2961" t="str">
        <f>IF($B2961="","",_xll.BDP($B2961,"COUNTRY_FULL_NAME"))</f>
        <v/>
      </c>
    </row>
    <row r="2962" spans="23:26" x14ac:dyDescent="0.25">
      <c r="W2962" t="str">
        <f>IF(B2962="","",_xll.BDP(B2962,"INDUSTRY_SECTOR"))</f>
        <v/>
      </c>
      <c r="X2962" t="str">
        <f>IF($B2962="","",_xll.BDP($B2962,"INDUSTRY_GROUP"))</f>
        <v/>
      </c>
      <c r="Y2962" t="str">
        <f>IF($B2962="","",_xll.BDP($B2962,"INDUSTRY_SUBGROUP"))</f>
        <v/>
      </c>
      <c r="Z2962" t="str">
        <f>IF($B2962="","",_xll.BDP($B2962,"COUNTRY_FULL_NAME"))</f>
        <v/>
      </c>
    </row>
    <row r="2963" spans="23:26" x14ac:dyDescent="0.25">
      <c r="W2963" t="str">
        <f>IF(B2963="","",_xll.BDP(B2963,"INDUSTRY_SECTOR"))</f>
        <v/>
      </c>
      <c r="X2963" t="str">
        <f>IF($B2963="","",_xll.BDP($B2963,"INDUSTRY_GROUP"))</f>
        <v/>
      </c>
      <c r="Y2963" t="str">
        <f>IF($B2963="","",_xll.BDP($B2963,"INDUSTRY_SUBGROUP"))</f>
        <v/>
      </c>
      <c r="Z2963" t="str">
        <f>IF($B2963="","",_xll.BDP($B2963,"COUNTRY_FULL_NAME"))</f>
        <v/>
      </c>
    </row>
    <row r="2964" spans="23:26" x14ac:dyDescent="0.25">
      <c r="W2964" t="str">
        <f>IF(B2964="","",_xll.BDP(B2964,"INDUSTRY_SECTOR"))</f>
        <v/>
      </c>
      <c r="X2964" t="str">
        <f>IF($B2964="","",_xll.BDP($B2964,"INDUSTRY_GROUP"))</f>
        <v/>
      </c>
      <c r="Y2964" t="str">
        <f>IF($B2964="","",_xll.BDP($B2964,"INDUSTRY_SUBGROUP"))</f>
        <v/>
      </c>
      <c r="Z2964" t="str">
        <f>IF($B2964="","",_xll.BDP($B2964,"COUNTRY_FULL_NAME"))</f>
        <v/>
      </c>
    </row>
    <row r="2965" spans="23:26" x14ac:dyDescent="0.25">
      <c r="W2965" t="str">
        <f>IF(B2965="","",_xll.BDP(B2965,"INDUSTRY_SECTOR"))</f>
        <v/>
      </c>
      <c r="X2965" t="str">
        <f>IF($B2965="","",_xll.BDP($B2965,"INDUSTRY_GROUP"))</f>
        <v/>
      </c>
      <c r="Y2965" t="str">
        <f>IF($B2965="","",_xll.BDP($B2965,"INDUSTRY_SUBGROUP"))</f>
        <v/>
      </c>
      <c r="Z2965" t="str">
        <f>IF($B2965="","",_xll.BDP($B2965,"COUNTRY_FULL_NAME"))</f>
        <v/>
      </c>
    </row>
    <row r="2966" spans="23:26" x14ac:dyDescent="0.25">
      <c r="W2966" t="str">
        <f>IF(B2966="","",_xll.BDP(B2966,"INDUSTRY_SECTOR"))</f>
        <v/>
      </c>
      <c r="X2966" t="str">
        <f>IF($B2966="","",_xll.BDP($B2966,"INDUSTRY_GROUP"))</f>
        <v/>
      </c>
      <c r="Y2966" t="str">
        <f>IF($B2966="","",_xll.BDP($B2966,"INDUSTRY_SUBGROUP"))</f>
        <v/>
      </c>
      <c r="Z2966" t="str">
        <f>IF($B2966="","",_xll.BDP($B2966,"COUNTRY_FULL_NAME"))</f>
        <v/>
      </c>
    </row>
    <row r="2967" spans="23:26" x14ac:dyDescent="0.25">
      <c r="W2967" t="str">
        <f>IF(B2967="","",_xll.BDP(B2967,"INDUSTRY_SECTOR"))</f>
        <v/>
      </c>
      <c r="X2967" t="str">
        <f>IF($B2967="","",_xll.BDP($B2967,"INDUSTRY_GROUP"))</f>
        <v/>
      </c>
      <c r="Y2967" t="str">
        <f>IF($B2967="","",_xll.BDP($B2967,"INDUSTRY_SUBGROUP"))</f>
        <v/>
      </c>
      <c r="Z2967" t="str">
        <f>IF($B2967="","",_xll.BDP($B2967,"COUNTRY_FULL_NAME"))</f>
        <v/>
      </c>
    </row>
    <row r="2968" spans="23:26" x14ac:dyDescent="0.25">
      <c r="W2968" t="str">
        <f>IF(B2968="","",_xll.BDP(B2968,"INDUSTRY_SECTOR"))</f>
        <v/>
      </c>
      <c r="X2968" t="str">
        <f>IF($B2968="","",_xll.BDP($B2968,"INDUSTRY_GROUP"))</f>
        <v/>
      </c>
      <c r="Y2968" t="str">
        <f>IF($B2968="","",_xll.BDP($B2968,"INDUSTRY_SUBGROUP"))</f>
        <v/>
      </c>
      <c r="Z2968" t="str">
        <f>IF($B2968="","",_xll.BDP($B2968,"COUNTRY_FULL_NAME"))</f>
        <v/>
      </c>
    </row>
    <row r="2969" spans="23:26" x14ac:dyDescent="0.25">
      <c r="W2969" t="str">
        <f>IF(B2969="","",_xll.BDP(B2969,"INDUSTRY_SECTOR"))</f>
        <v/>
      </c>
      <c r="X2969" t="str">
        <f>IF($B2969="","",_xll.BDP($B2969,"INDUSTRY_GROUP"))</f>
        <v/>
      </c>
      <c r="Y2969" t="str">
        <f>IF($B2969="","",_xll.BDP($B2969,"INDUSTRY_SUBGROUP"))</f>
        <v/>
      </c>
      <c r="Z2969" t="str">
        <f>IF($B2969="","",_xll.BDP($B2969,"COUNTRY_FULL_NAME"))</f>
        <v/>
      </c>
    </row>
    <row r="2970" spans="23:26" x14ac:dyDescent="0.25">
      <c r="W2970" t="str">
        <f>IF(B2970="","",_xll.BDP(B2970,"INDUSTRY_SECTOR"))</f>
        <v/>
      </c>
      <c r="X2970" t="str">
        <f>IF($B2970="","",_xll.BDP($B2970,"INDUSTRY_GROUP"))</f>
        <v/>
      </c>
      <c r="Y2970" t="str">
        <f>IF($B2970="","",_xll.BDP($B2970,"INDUSTRY_SUBGROUP"))</f>
        <v/>
      </c>
      <c r="Z2970" t="str">
        <f>IF($B2970="","",_xll.BDP($B2970,"COUNTRY_FULL_NAME"))</f>
        <v/>
      </c>
    </row>
    <row r="2971" spans="23:26" x14ac:dyDescent="0.25">
      <c r="W2971" t="str">
        <f>IF(B2971="","",_xll.BDP(B2971,"INDUSTRY_SECTOR"))</f>
        <v/>
      </c>
      <c r="X2971" t="str">
        <f>IF($B2971="","",_xll.BDP($B2971,"INDUSTRY_GROUP"))</f>
        <v/>
      </c>
      <c r="Y2971" t="str">
        <f>IF($B2971="","",_xll.BDP($B2971,"INDUSTRY_SUBGROUP"))</f>
        <v/>
      </c>
      <c r="Z2971" t="str">
        <f>IF($B2971="","",_xll.BDP($B2971,"COUNTRY_FULL_NAME"))</f>
        <v/>
      </c>
    </row>
    <row r="2972" spans="23:26" x14ac:dyDescent="0.25">
      <c r="W2972" t="str">
        <f>IF(B2972="","",_xll.BDP(B2972,"INDUSTRY_SECTOR"))</f>
        <v/>
      </c>
      <c r="X2972" t="str">
        <f>IF($B2972="","",_xll.BDP($B2972,"INDUSTRY_GROUP"))</f>
        <v/>
      </c>
      <c r="Y2972" t="str">
        <f>IF($B2972="","",_xll.BDP($B2972,"INDUSTRY_SUBGROUP"))</f>
        <v/>
      </c>
      <c r="Z2972" t="str">
        <f>IF($B2972="","",_xll.BDP($B2972,"COUNTRY_FULL_NAME"))</f>
        <v/>
      </c>
    </row>
    <row r="2973" spans="23:26" x14ac:dyDescent="0.25">
      <c r="W2973" t="str">
        <f>IF(B2973="","",_xll.BDP(B2973,"INDUSTRY_SECTOR"))</f>
        <v/>
      </c>
      <c r="X2973" t="str">
        <f>IF($B2973="","",_xll.BDP($B2973,"INDUSTRY_GROUP"))</f>
        <v/>
      </c>
      <c r="Y2973" t="str">
        <f>IF($B2973="","",_xll.BDP($B2973,"INDUSTRY_SUBGROUP"))</f>
        <v/>
      </c>
      <c r="Z2973" t="str">
        <f>IF($B2973="","",_xll.BDP($B2973,"COUNTRY_FULL_NAME"))</f>
        <v/>
      </c>
    </row>
    <row r="2974" spans="23:26" x14ac:dyDescent="0.25">
      <c r="W2974" t="str">
        <f>IF(B2974="","",_xll.BDP(B2974,"INDUSTRY_SECTOR"))</f>
        <v/>
      </c>
      <c r="X2974" t="str">
        <f>IF($B2974="","",_xll.BDP($B2974,"INDUSTRY_GROUP"))</f>
        <v/>
      </c>
      <c r="Y2974" t="str">
        <f>IF($B2974="","",_xll.BDP($B2974,"INDUSTRY_SUBGROUP"))</f>
        <v/>
      </c>
      <c r="Z2974" t="str">
        <f>IF($B2974="","",_xll.BDP($B2974,"COUNTRY_FULL_NAME"))</f>
        <v/>
      </c>
    </row>
    <row r="2975" spans="23:26" x14ac:dyDescent="0.25">
      <c r="W2975" t="str">
        <f>IF(B2975="","",_xll.BDP(B2975,"INDUSTRY_SECTOR"))</f>
        <v/>
      </c>
      <c r="X2975" t="str">
        <f>IF($B2975="","",_xll.BDP($B2975,"INDUSTRY_GROUP"))</f>
        <v/>
      </c>
      <c r="Y2975" t="str">
        <f>IF($B2975="","",_xll.BDP($B2975,"INDUSTRY_SUBGROUP"))</f>
        <v/>
      </c>
      <c r="Z2975" t="str">
        <f>IF($B2975="","",_xll.BDP($B2975,"COUNTRY_FULL_NAME"))</f>
        <v/>
      </c>
    </row>
    <row r="2976" spans="23:26" x14ac:dyDescent="0.25">
      <c r="W2976" t="str">
        <f>IF(B2976="","",_xll.BDP(B2976,"INDUSTRY_SECTOR"))</f>
        <v/>
      </c>
      <c r="X2976" t="str">
        <f>IF($B2976="","",_xll.BDP($B2976,"INDUSTRY_GROUP"))</f>
        <v/>
      </c>
      <c r="Y2976" t="str">
        <f>IF($B2976="","",_xll.BDP($B2976,"INDUSTRY_SUBGROUP"))</f>
        <v/>
      </c>
      <c r="Z2976" t="str">
        <f>IF($B2976="","",_xll.BDP($B2976,"COUNTRY_FULL_NAME"))</f>
        <v/>
      </c>
    </row>
    <row r="2977" spans="23:26" x14ac:dyDescent="0.25">
      <c r="W2977" t="str">
        <f>IF(B2977="","",_xll.BDP(B2977,"INDUSTRY_SECTOR"))</f>
        <v/>
      </c>
      <c r="X2977" t="str">
        <f>IF($B2977="","",_xll.BDP($B2977,"INDUSTRY_GROUP"))</f>
        <v/>
      </c>
      <c r="Y2977" t="str">
        <f>IF($B2977="","",_xll.BDP($B2977,"INDUSTRY_SUBGROUP"))</f>
        <v/>
      </c>
      <c r="Z2977" t="str">
        <f>IF($B2977="","",_xll.BDP($B2977,"COUNTRY_FULL_NAME"))</f>
        <v/>
      </c>
    </row>
    <row r="2978" spans="23:26" x14ac:dyDescent="0.25">
      <c r="W2978" t="str">
        <f>IF(B2978="","",_xll.BDP(B2978,"INDUSTRY_SECTOR"))</f>
        <v/>
      </c>
      <c r="X2978" t="str">
        <f>IF($B2978="","",_xll.BDP($B2978,"INDUSTRY_GROUP"))</f>
        <v/>
      </c>
      <c r="Y2978" t="str">
        <f>IF($B2978="","",_xll.BDP($B2978,"INDUSTRY_SUBGROUP"))</f>
        <v/>
      </c>
      <c r="Z2978" t="str">
        <f>IF($B2978="","",_xll.BDP($B2978,"COUNTRY_FULL_NAME"))</f>
        <v/>
      </c>
    </row>
    <row r="2979" spans="23:26" x14ac:dyDescent="0.25">
      <c r="W2979" t="str">
        <f>IF(B2979="","",_xll.BDP(B2979,"INDUSTRY_SECTOR"))</f>
        <v/>
      </c>
      <c r="X2979" t="str">
        <f>IF($B2979="","",_xll.BDP($B2979,"INDUSTRY_GROUP"))</f>
        <v/>
      </c>
      <c r="Y2979" t="str">
        <f>IF($B2979="","",_xll.BDP($B2979,"INDUSTRY_SUBGROUP"))</f>
        <v/>
      </c>
      <c r="Z2979" t="str">
        <f>IF($B2979="","",_xll.BDP($B2979,"COUNTRY_FULL_NAME"))</f>
        <v/>
      </c>
    </row>
    <row r="2980" spans="23:26" x14ac:dyDescent="0.25">
      <c r="W2980" t="str">
        <f>IF(B2980="","",_xll.BDP(B2980,"INDUSTRY_SECTOR"))</f>
        <v/>
      </c>
      <c r="X2980" t="str">
        <f>IF($B2980="","",_xll.BDP($B2980,"INDUSTRY_GROUP"))</f>
        <v/>
      </c>
      <c r="Y2980" t="str">
        <f>IF($B2980="","",_xll.BDP($B2980,"INDUSTRY_SUBGROUP"))</f>
        <v/>
      </c>
      <c r="Z2980" t="str">
        <f>IF($B2980="","",_xll.BDP($B2980,"COUNTRY_FULL_NAME"))</f>
        <v/>
      </c>
    </row>
    <row r="2981" spans="23:26" x14ac:dyDescent="0.25">
      <c r="W2981" t="str">
        <f>IF(B2981="","",_xll.BDP(B2981,"INDUSTRY_SECTOR"))</f>
        <v/>
      </c>
      <c r="X2981" t="str">
        <f>IF($B2981="","",_xll.BDP($B2981,"INDUSTRY_GROUP"))</f>
        <v/>
      </c>
      <c r="Y2981" t="str">
        <f>IF($B2981="","",_xll.BDP($B2981,"INDUSTRY_SUBGROUP"))</f>
        <v/>
      </c>
      <c r="Z2981" t="str">
        <f>IF($B2981="","",_xll.BDP($B2981,"COUNTRY_FULL_NAME"))</f>
        <v/>
      </c>
    </row>
    <row r="2982" spans="23:26" x14ac:dyDescent="0.25">
      <c r="W2982" t="str">
        <f>IF(B2982="","",_xll.BDP(B2982,"INDUSTRY_SECTOR"))</f>
        <v/>
      </c>
      <c r="X2982" t="str">
        <f>IF($B2982="","",_xll.BDP($B2982,"INDUSTRY_GROUP"))</f>
        <v/>
      </c>
      <c r="Y2982" t="str">
        <f>IF($B2982="","",_xll.BDP($B2982,"INDUSTRY_SUBGROUP"))</f>
        <v/>
      </c>
      <c r="Z2982" t="str">
        <f>IF($B2982="","",_xll.BDP($B2982,"COUNTRY_FULL_NAME"))</f>
        <v/>
      </c>
    </row>
    <row r="2983" spans="23:26" x14ac:dyDescent="0.25">
      <c r="W2983" t="str">
        <f>IF(B2983="","",_xll.BDP(B2983,"INDUSTRY_SECTOR"))</f>
        <v/>
      </c>
      <c r="X2983" t="str">
        <f>IF($B2983="","",_xll.BDP($B2983,"INDUSTRY_GROUP"))</f>
        <v/>
      </c>
      <c r="Y2983" t="str">
        <f>IF($B2983="","",_xll.BDP($B2983,"INDUSTRY_SUBGROUP"))</f>
        <v/>
      </c>
      <c r="Z2983" t="str">
        <f>IF($B2983="","",_xll.BDP($B2983,"COUNTRY_FULL_NAME"))</f>
        <v/>
      </c>
    </row>
    <row r="2984" spans="23:26" x14ac:dyDescent="0.25">
      <c r="W2984" t="str">
        <f>IF(B2984="","",_xll.BDP(B2984,"INDUSTRY_SECTOR"))</f>
        <v/>
      </c>
      <c r="X2984" t="str">
        <f>IF($B2984="","",_xll.BDP($B2984,"INDUSTRY_GROUP"))</f>
        <v/>
      </c>
      <c r="Y2984" t="str">
        <f>IF($B2984="","",_xll.BDP($B2984,"INDUSTRY_SUBGROUP"))</f>
        <v/>
      </c>
      <c r="Z2984" t="str">
        <f>IF($B2984="","",_xll.BDP($B2984,"COUNTRY_FULL_NAME"))</f>
        <v/>
      </c>
    </row>
    <row r="2985" spans="23:26" x14ac:dyDescent="0.25">
      <c r="W2985" t="str">
        <f>IF(B2985="","",_xll.BDP(B2985,"INDUSTRY_SECTOR"))</f>
        <v/>
      </c>
      <c r="X2985" t="str">
        <f>IF($B2985="","",_xll.BDP($B2985,"INDUSTRY_GROUP"))</f>
        <v/>
      </c>
      <c r="Y2985" t="str">
        <f>IF($B2985="","",_xll.BDP($B2985,"INDUSTRY_SUBGROUP"))</f>
        <v/>
      </c>
      <c r="Z2985" t="str">
        <f>IF($B2985="","",_xll.BDP($B2985,"COUNTRY_FULL_NAME"))</f>
        <v/>
      </c>
    </row>
    <row r="2986" spans="23:26" x14ac:dyDescent="0.25">
      <c r="W2986" t="str">
        <f>IF(B2986="","",_xll.BDP(B2986,"INDUSTRY_SECTOR"))</f>
        <v/>
      </c>
      <c r="X2986" t="str">
        <f>IF($B2986="","",_xll.BDP($B2986,"INDUSTRY_GROUP"))</f>
        <v/>
      </c>
      <c r="Y2986" t="str">
        <f>IF($B2986="","",_xll.BDP($B2986,"INDUSTRY_SUBGROUP"))</f>
        <v/>
      </c>
      <c r="Z2986" t="str">
        <f>IF($B2986="","",_xll.BDP($B2986,"COUNTRY_FULL_NAME"))</f>
        <v/>
      </c>
    </row>
    <row r="2987" spans="23:26" x14ac:dyDescent="0.25">
      <c r="W2987" t="str">
        <f>IF(B2987="","",_xll.BDP(B2987,"INDUSTRY_SECTOR"))</f>
        <v/>
      </c>
      <c r="X2987" t="str">
        <f>IF($B2987="","",_xll.BDP($B2987,"INDUSTRY_GROUP"))</f>
        <v/>
      </c>
      <c r="Y2987" t="str">
        <f>IF($B2987="","",_xll.BDP($B2987,"INDUSTRY_SUBGROUP"))</f>
        <v/>
      </c>
      <c r="Z2987" t="str">
        <f>IF($B2987="","",_xll.BDP($B2987,"COUNTRY_FULL_NAME"))</f>
        <v/>
      </c>
    </row>
    <row r="2988" spans="23:26" x14ac:dyDescent="0.25">
      <c r="W2988" t="str">
        <f>IF(B2988="","",_xll.BDP(B2988,"INDUSTRY_SECTOR"))</f>
        <v/>
      </c>
      <c r="X2988" t="str">
        <f>IF($B2988="","",_xll.BDP($B2988,"INDUSTRY_GROUP"))</f>
        <v/>
      </c>
      <c r="Y2988" t="str">
        <f>IF($B2988="","",_xll.BDP($B2988,"INDUSTRY_SUBGROUP"))</f>
        <v/>
      </c>
      <c r="Z2988" t="str">
        <f>IF($B2988="","",_xll.BDP($B2988,"COUNTRY_FULL_NAME"))</f>
        <v/>
      </c>
    </row>
    <row r="2989" spans="23:26" x14ac:dyDescent="0.25">
      <c r="W2989" t="str">
        <f>IF(B2989="","",_xll.BDP(B2989,"INDUSTRY_SECTOR"))</f>
        <v/>
      </c>
      <c r="X2989" t="str">
        <f>IF($B2989="","",_xll.BDP($B2989,"INDUSTRY_GROUP"))</f>
        <v/>
      </c>
      <c r="Y2989" t="str">
        <f>IF($B2989="","",_xll.BDP($B2989,"INDUSTRY_SUBGROUP"))</f>
        <v/>
      </c>
      <c r="Z2989" t="str">
        <f>IF($B2989="","",_xll.BDP($B2989,"COUNTRY_FULL_NAME"))</f>
        <v/>
      </c>
    </row>
    <row r="2990" spans="23:26" x14ac:dyDescent="0.25">
      <c r="W2990" t="str">
        <f>IF(B2990="","",_xll.BDP(B2990,"INDUSTRY_SECTOR"))</f>
        <v/>
      </c>
      <c r="X2990" t="str">
        <f>IF($B2990="","",_xll.BDP($B2990,"INDUSTRY_GROUP"))</f>
        <v/>
      </c>
      <c r="Y2990" t="str">
        <f>IF($B2990="","",_xll.BDP($B2990,"INDUSTRY_SUBGROUP"))</f>
        <v/>
      </c>
      <c r="Z2990" t="str">
        <f>IF($B2990="","",_xll.BDP($B2990,"COUNTRY_FULL_NAME"))</f>
        <v/>
      </c>
    </row>
    <row r="2991" spans="23:26" x14ac:dyDescent="0.25">
      <c r="W2991" t="str">
        <f>IF(B2991="","",_xll.BDP(B2991,"INDUSTRY_SECTOR"))</f>
        <v/>
      </c>
      <c r="X2991" t="str">
        <f>IF($B2991="","",_xll.BDP($B2991,"INDUSTRY_GROUP"))</f>
        <v/>
      </c>
      <c r="Y2991" t="str">
        <f>IF($B2991="","",_xll.BDP($B2991,"INDUSTRY_SUBGROUP"))</f>
        <v/>
      </c>
      <c r="Z2991" t="str">
        <f>IF($B2991="","",_xll.BDP($B2991,"COUNTRY_FULL_NAME"))</f>
        <v/>
      </c>
    </row>
    <row r="2992" spans="23:26" x14ac:dyDescent="0.25">
      <c r="W2992" t="str">
        <f>IF(B2992="","",_xll.BDP(B2992,"INDUSTRY_SECTOR"))</f>
        <v/>
      </c>
      <c r="X2992" t="str">
        <f>IF($B2992="","",_xll.BDP($B2992,"INDUSTRY_GROUP"))</f>
        <v/>
      </c>
      <c r="Y2992" t="str">
        <f>IF($B2992="","",_xll.BDP($B2992,"INDUSTRY_SUBGROUP"))</f>
        <v/>
      </c>
      <c r="Z2992" t="str">
        <f>IF($B2992="","",_xll.BDP($B2992,"COUNTRY_FULL_NAME"))</f>
        <v/>
      </c>
    </row>
    <row r="2993" spans="23:26" x14ac:dyDescent="0.25">
      <c r="W2993" t="str">
        <f>IF(B2993="","",_xll.BDP(B2993,"INDUSTRY_SECTOR"))</f>
        <v/>
      </c>
      <c r="X2993" t="str">
        <f>IF($B2993="","",_xll.BDP($B2993,"INDUSTRY_GROUP"))</f>
        <v/>
      </c>
      <c r="Y2993" t="str">
        <f>IF($B2993="","",_xll.BDP($B2993,"INDUSTRY_SUBGROUP"))</f>
        <v/>
      </c>
      <c r="Z2993" t="str">
        <f>IF($B2993="","",_xll.BDP($B2993,"COUNTRY_FULL_NAME"))</f>
        <v/>
      </c>
    </row>
    <row r="2994" spans="23:26" x14ac:dyDescent="0.25">
      <c r="W2994" t="str">
        <f>IF(B2994="","",_xll.BDP(B2994,"INDUSTRY_SECTOR"))</f>
        <v/>
      </c>
      <c r="X2994" t="str">
        <f>IF($B2994="","",_xll.BDP($B2994,"INDUSTRY_GROUP"))</f>
        <v/>
      </c>
      <c r="Y2994" t="str">
        <f>IF($B2994="","",_xll.BDP($B2994,"INDUSTRY_SUBGROUP"))</f>
        <v/>
      </c>
      <c r="Z2994" t="str">
        <f>IF($B2994="","",_xll.BDP($B2994,"COUNTRY_FULL_NAME"))</f>
        <v/>
      </c>
    </row>
    <row r="2995" spans="23:26" x14ac:dyDescent="0.25">
      <c r="W2995" t="str">
        <f>IF(B2995="","",_xll.BDP(B2995,"INDUSTRY_SECTOR"))</f>
        <v/>
      </c>
      <c r="X2995" t="str">
        <f>IF($B2995="","",_xll.BDP($B2995,"INDUSTRY_GROUP"))</f>
        <v/>
      </c>
      <c r="Y2995" t="str">
        <f>IF($B2995="","",_xll.BDP($B2995,"INDUSTRY_SUBGROUP"))</f>
        <v/>
      </c>
      <c r="Z2995" t="str">
        <f>IF($B2995="","",_xll.BDP($B2995,"COUNTRY_FULL_NAME"))</f>
        <v/>
      </c>
    </row>
    <row r="2996" spans="23:26" x14ac:dyDescent="0.25">
      <c r="W2996" t="str">
        <f>IF(B2996="","",_xll.BDP(B2996,"INDUSTRY_SECTOR"))</f>
        <v/>
      </c>
      <c r="X2996" t="str">
        <f>IF($B2996="","",_xll.BDP($B2996,"INDUSTRY_GROUP"))</f>
        <v/>
      </c>
      <c r="Y2996" t="str">
        <f>IF($B2996="","",_xll.BDP($B2996,"INDUSTRY_SUBGROUP"))</f>
        <v/>
      </c>
      <c r="Z2996" t="str">
        <f>IF($B2996="","",_xll.BDP($B2996,"COUNTRY_FULL_NAME"))</f>
        <v/>
      </c>
    </row>
    <row r="2997" spans="23:26" x14ac:dyDescent="0.25">
      <c r="W2997" t="str">
        <f>IF(B2997="","",_xll.BDP(B2997,"INDUSTRY_SECTOR"))</f>
        <v/>
      </c>
      <c r="X2997" t="str">
        <f>IF($B2997="","",_xll.BDP($B2997,"INDUSTRY_GROUP"))</f>
        <v/>
      </c>
      <c r="Y2997" t="str">
        <f>IF($B2997="","",_xll.BDP($B2997,"INDUSTRY_SUBGROUP"))</f>
        <v/>
      </c>
      <c r="Z2997" t="str">
        <f>IF($B2997="","",_xll.BDP($B2997,"COUNTRY_FULL_NAME"))</f>
        <v/>
      </c>
    </row>
    <row r="2998" spans="23:26" x14ac:dyDescent="0.25">
      <c r="W2998" t="str">
        <f>IF(B2998="","",_xll.BDP(B2998,"INDUSTRY_SECTOR"))</f>
        <v/>
      </c>
      <c r="X2998" t="str">
        <f>IF($B2998="","",_xll.BDP($B2998,"INDUSTRY_GROUP"))</f>
        <v/>
      </c>
      <c r="Y2998" t="str">
        <f>IF($B2998="","",_xll.BDP($B2998,"INDUSTRY_SUBGROUP"))</f>
        <v/>
      </c>
      <c r="Z2998" t="str">
        <f>IF($B2998="","",_xll.BDP($B2998,"COUNTRY_FULL_NAME"))</f>
        <v/>
      </c>
    </row>
    <row r="2999" spans="23:26" x14ac:dyDescent="0.25">
      <c r="W2999" t="str">
        <f>IF(B2999="","",_xll.BDP(B2999,"INDUSTRY_SECTOR"))</f>
        <v/>
      </c>
      <c r="X2999" t="str">
        <f>IF($B2999="","",_xll.BDP($B2999,"INDUSTRY_GROUP"))</f>
        <v/>
      </c>
      <c r="Y2999" t="str">
        <f>IF($B2999="","",_xll.BDP($B2999,"INDUSTRY_SUBGROUP"))</f>
        <v/>
      </c>
      <c r="Z2999" t="str">
        <f>IF($B2999="","",_xll.BDP($B2999,"COUNTRY_FULL_NAME"))</f>
        <v/>
      </c>
    </row>
    <row r="3000" spans="23:26" x14ac:dyDescent="0.25">
      <c r="W3000" t="str">
        <f>IF(B3000="","",_xll.BDP(B3000,"INDUSTRY_SECTOR"))</f>
        <v/>
      </c>
      <c r="X3000" t="str">
        <f>IF($B3000="","",_xll.BDP($B3000,"INDUSTRY_GROUP"))</f>
        <v/>
      </c>
      <c r="Y3000" t="str">
        <f>IF($B3000="","",_xll.BDP($B3000,"INDUSTRY_SUBGROUP"))</f>
        <v/>
      </c>
      <c r="Z3000" t="str">
        <f>IF($B3000="","",_xll.BDP($B3000,"COUNTRY_FULL_NAME"))</f>
        <v/>
      </c>
    </row>
    <row r="3001" spans="23:26" x14ac:dyDescent="0.25">
      <c r="W3001" t="str">
        <f>IF(B3001="","",_xll.BDP(B3001,"INDUSTRY_SECTOR"))</f>
        <v/>
      </c>
      <c r="X3001" t="str">
        <f>IF($B3001="","",_xll.BDP($B3001,"INDUSTRY_GROUP"))</f>
        <v/>
      </c>
      <c r="Y3001" t="str">
        <f>IF($B3001="","",_xll.BDP($B3001,"INDUSTRY_SUBGROUP"))</f>
        <v/>
      </c>
      <c r="Z3001" t="str">
        <f>IF($B3001="","",_xll.BDP($B3001,"COUNTRY_FULL_NAME"))</f>
        <v/>
      </c>
    </row>
    <row r="3002" spans="23:26" x14ac:dyDescent="0.25">
      <c r="W3002" t="str">
        <f>IF(B3002="","",_xll.BDP(B3002,"INDUSTRY_SECTOR"))</f>
        <v/>
      </c>
      <c r="X3002" t="str">
        <f>IF($B3002="","",_xll.BDP($B3002,"INDUSTRY_GROUP"))</f>
        <v/>
      </c>
      <c r="Y3002" t="str">
        <f>IF($B3002="","",_xll.BDP($B3002,"INDUSTRY_SUBGROUP"))</f>
        <v/>
      </c>
      <c r="Z3002" t="str">
        <f>IF($B3002="","",_xll.BDP($B3002,"COUNTRY_FULL_NAME"))</f>
        <v/>
      </c>
    </row>
    <row r="3003" spans="23:26" x14ac:dyDescent="0.25">
      <c r="W3003" t="str">
        <f>IF(B3003="","",_xll.BDP(B3003,"INDUSTRY_SECTOR"))</f>
        <v/>
      </c>
      <c r="X3003" t="str">
        <f>IF($B3003="","",_xll.BDP($B3003,"INDUSTRY_GROUP"))</f>
        <v/>
      </c>
      <c r="Y3003" t="str">
        <f>IF($B3003="","",_xll.BDP($B3003,"INDUSTRY_SUBGROUP"))</f>
        <v/>
      </c>
      <c r="Z3003" t="str">
        <f>IF($B3003="","",_xll.BDP($B3003,"COUNTRY_FULL_NAME"))</f>
        <v/>
      </c>
    </row>
    <row r="3004" spans="23:26" x14ac:dyDescent="0.25">
      <c r="W3004" t="str">
        <f>IF(B3004="","",_xll.BDP(B3004,"INDUSTRY_SECTOR"))</f>
        <v/>
      </c>
      <c r="X3004" t="str">
        <f>IF($B3004="","",_xll.BDP($B3004,"INDUSTRY_GROUP"))</f>
        <v/>
      </c>
      <c r="Y3004" t="str">
        <f>IF($B3004="","",_xll.BDP($B3004,"INDUSTRY_SUBGROUP"))</f>
        <v/>
      </c>
      <c r="Z3004" t="str">
        <f>IF($B3004="","",_xll.BDP($B3004,"COUNTRY_FULL_NAME"))</f>
        <v/>
      </c>
    </row>
    <row r="3005" spans="23:26" x14ac:dyDescent="0.25">
      <c r="W3005" t="str">
        <f>IF(B3005="","",_xll.BDP(B3005,"INDUSTRY_SECTOR"))</f>
        <v/>
      </c>
      <c r="X3005" t="str">
        <f>IF($B3005="","",_xll.BDP($B3005,"INDUSTRY_GROUP"))</f>
        <v/>
      </c>
      <c r="Y3005" t="str">
        <f>IF($B3005="","",_xll.BDP($B3005,"INDUSTRY_SUBGROUP"))</f>
        <v/>
      </c>
      <c r="Z3005" t="str">
        <f>IF($B3005="","",_xll.BDP($B3005,"COUNTRY_FULL_NAME"))</f>
        <v/>
      </c>
    </row>
    <row r="3006" spans="23:26" x14ac:dyDescent="0.25">
      <c r="W3006" t="str">
        <f>IF(B3006="","",_xll.BDP(B3006,"INDUSTRY_SECTOR"))</f>
        <v/>
      </c>
      <c r="X3006" t="str">
        <f>IF($B3006="","",_xll.BDP($B3006,"INDUSTRY_GROUP"))</f>
        <v/>
      </c>
      <c r="Y3006" t="str">
        <f>IF($B3006="","",_xll.BDP($B3006,"INDUSTRY_SUBGROUP"))</f>
        <v/>
      </c>
      <c r="Z3006" t="str">
        <f>IF($B3006="","",_xll.BDP($B3006,"COUNTRY_FULL_NAME"))</f>
        <v/>
      </c>
    </row>
    <row r="3007" spans="23:26" x14ac:dyDescent="0.25">
      <c r="W3007" t="str">
        <f>IF(B3007="","",_xll.BDP(B3007,"INDUSTRY_SECTOR"))</f>
        <v/>
      </c>
      <c r="X3007" t="str">
        <f>IF($B3007="","",_xll.BDP($B3007,"INDUSTRY_GROUP"))</f>
        <v/>
      </c>
      <c r="Y3007" t="str">
        <f>IF($B3007="","",_xll.BDP($B3007,"INDUSTRY_SUBGROUP"))</f>
        <v/>
      </c>
      <c r="Z3007" t="str">
        <f>IF($B3007="","",_xll.BDP($B3007,"COUNTRY_FULL_NAME"))</f>
        <v/>
      </c>
    </row>
    <row r="3008" spans="23:26" x14ac:dyDescent="0.25">
      <c r="W3008" t="str">
        <f>IF(B3008="","",_xll.BDP(B3008,"INDUSTRY_SECTOR"))</f>
        <v/>
      </c>
      <c r="X3008" t="str">
        <f>IF($B3008="","",_xll.BDP($B3008,"INDUSTRY_GROUP"))</f>
        <v/>
      </c>
      <c r="Y3008" t="str">
        <f>IF($B3008="","",_xll.BDP($B3008,"INDUSTRY_SUBGROUP"))</f>
        <v/>
      </c>
      <c r="Z3008" t="str">
        <f>IF($B3008="","",_xll.BDP($B3008,"COUNTRY_FULL_NAME"))</f>
        <v/>
      </c>
    </row>
    <row r="3009" spans="23:26" x14ac:dyDescent="0.25">
      <c r="W3009" t="str">
        <f>IF(B3009="","",_xll.BDP(B3009,"INDUSTRY_SECTOR"))</f>
        <v/>
      </c>
      <c r="X3009" t="str">
        <f>IF($B3009="","",_xll.BDP($B3009,"INDUSTRY_GROUP"))</f>
        <v/>
      </c>
      <c r="Y3009" t="str">
        <f>IF($B3009="","",_xll.BDP($B3009,"INDUSTRY_SUBGROUP"))</f>
        <v/>
      </c>
      <c r="Z3009" t="str">
        <f>IF($B3009="","",_xll.BDP($B3009,"COUNTRY_FULL_NAME"))</f>
        <v/>
      </c>
    </row>
    <row r="3010" spans="23:26" x14ac:dyDescent="0.25">
      <c r="W3010" t="str">
        <f>IF(B3010="","",_xll.BDP(B3010,"INDUSTRY_SECTOR"))</f>
        <v/>
      </c>
      <c r="X3010" t="str">
        <f>IF($B3010="","",_xll.BDP($B3010,"INDUSTRY_GROUP"))</f>
        <v/>
      </c>
      <c r="Y3010" t="str">
        <f>IF($B3010="","",_xll.BDP($B3010,"INDUSTRY_SUBGROUP"))</f>
        <v/>
      </c>
      <c r="Z3010" t="str">
        <f>IF($B3010="","",_xll.BDP($B3010,"COUNTRY_FULL_NAME"))</f>
        <v/>
      </c>
    </row>
    <row r="3011" spans="23:26" x14ac:dyDescent="0.25">
      <c r="W3011" t="str">
        <f>IF(B3011="","",_xll.BDP(B3011,"INDUSTRY_SECTOR"))</f>
        <v/>
      </c>
      <c r="X3011" t="str">
        <f>IF($B3011="","",_xll.BDP($B3011,"INDUSTRY_GROUP"))</f>
        <v/>
      </c>
      <c r="Y3011" t="str">
        <f>IF($B3011="","",_xll.BDP($B3011,"INDUSTRY_SUBGROUP"))</f>
        <v/>
      </c>
      <c r="Z3011" t="str">
        <f>IF($B3011="","",_xll.BDP($B3011,"COUNTRY_FULL_NAME"))</f>
        <v/>
      </c>
    </row>
    <row r="3012" spans="23:26" x14ac:dyDescent="0.25">
      <c r="W3012" t="str">
        <f>IF(B3012="","",_xll.BDP(B3012,"INDUSTRY_SECTOR"))</f>
        <v/>
      </c>
      <c r="X3012" t="str">
        <f>IF($B3012="","",_xll.BDP($B3012,"INDUSTRY_GROUP"))</f>
        <v/>
      </c>
      <c r="Y3012" t="str">
        <f>IF($B3012="","",_xll.BDP($B3012,"INDUSTRY_SUBGROUP"))</f>
        <v/>
      </c>
      <c r="Z3012" t="str">
        <f>IF($B3012="","",_xll.BDP($B3012,"COUNTRY_FULL_NAME"))</f>
        <v/>
      </c>
    </row>
    <row r="3013" spans="23:26" x14ac:dyDescent="0.25">
      <c r="W3013" t="str">
        <f>IF(B3013="","",_xll.BDP(B3013,"INDUSTRY_SECTOR"))</f>
        <v/>
      </c>
      <c r="X3013" t="str">
        <f>IF($B3013="","",_xll.BDP($B3013,"INDUSTRY_GROUP"))</f>
        <v/>
      </c>
      <c r="Y3013" t="str">
        <f>IF($B3013="","",_xll.BDP($B3013,"INDUSTRY_SUBGROUP"))</f>
        <v/>
      </c>
      <c r="Z3013" t="str">
        <f>IF($B3013="","",_xll.BDP($B3013,"COUNTRY_FULL_NAME"))</f>
        <v/>
      </c>
    </row>
    <row r="3014" spans="23:26" x14ac:dyDescent="0.25">
      <c r="W3014" t="str">
        <f>IF(B3014="","",_xll.BDP(B3014,"INDUSTRY_SECTOR"))</f>
        <v/>
      </c>
      <c r="X3014" t="str">
        <f>IF($B3014="","",_xll.BDP($B3014,"INDUSTRY_GROUP"))</f>
        <v/>
      </c>
      <c r="Y3014" t="str">
        <f>IF($B3014="","",_xll.BDP($B3014,"INDUSTRY_SUBGROUP"))</f>
        <v/>
      </c>
      <c r="Z3014" t="str">
        <f>IF($B3014="","",_xll.BDP($B3014,"COUNTRY_FULL_NAME"))</f>
        <v/>
      </c>
    </row>
    <row r="3015" spans="23:26" x14ac:dyDescent="0.25">
      <c r="W3015" t="str">
        <f>IF(B3015="","",_xll.BDP(B3015,"INDUSTRY_SECTOR"))</f>
        <v/>
      </c>
      <c r="X3015" t="str">
        <f>IF($B3015="","",_xll.BDP($B3015,"INDUSTRY_GROUP"))</f>
        <v/>
      </c>
      <c r="Y3015" t="str">
        <f>IF($B3015="","",_xll.BDP($B3015,"INDUSTRY_SUBGROUP"))</f>
        <v/>
      </c>
      <c r="Z3015" t="str">
        <f>IF($B3015="","",_xll.BDP($B3015,"COUNTRY_FULL_NAME"))</f>
        <v/>
      </c>
    </row>
    <row r="3016" spans="23:26" x14ac:dyDescent="0.25">
      <c r="W3016" t="str">
        <f>IF(B3016="","",_xll.BDP(B3016,"INDUSTRY_SECTOR"))</f>
        <v/>
      </c>
      <c r="X3016" t="str">
        <f>IF($B3016="","",_xll.BDP($B3016,"INDUSTRY_GROUP"))</f>
        <v/>
      </c>
      <c r="Y3016" t="str">
        <f>IF($B3016="","",_xll.BDP($B3016,"INDUSTRY_SUBGROUP"))</f>
        <v/>
      </c>
      <c r="Z3016" t="str">
        <f>IF($B3016="","",_xll.BDP($B3016,"COUNTRY_FULL_NAME"))</f>
        <v/>
      </c>
    </row>
    <row r="3017" spans="23:26" x14ac:dyDescent="0.25">
      <c r="W3017" t="str">
        <f>IF(B3017="","",_xll.BDP(B3017,"INDUSTRY_SECTOR"))</f>
        <v/>
      </c>
      <c r="X3017" t="str">
        <f>IF($B3017="","",_xll.BDP($B3017,"INDUSTRY_GROUP"))</f>
        <v/>
      </c>
      <c r="Y3017" t="str">
        <f>IF($B3017="","",_xll.BDP($B3017,"INDUSTRY_SUBGROUP"))</f>
        <v/>
      </c>
      <c r="Z3017" t="str">
        <f>IF($B3017="","",_xll.BDP($B3017,"COUNTRY_FULL_NAME"))</f>
        <v/>
      </c>
    </row>
    <row r="3018" spans="23:26" x14ac:dyDescent="0.25">
      <c r="W3018" t="str">
        <f>IF(B3018="","",_xll.BDP(B3018,"INDUSTRY_SECTOR"))</f>
        <v/>
      </c>
      <c r="X3018" t="str">
        <f>IF($B3018="","",_xll.BDP($B3018,"INDUSTRY_GROUP"))</f>
        <v/>
      </c>
      <c r="Y3018" t="str">
        <f>IF($B3018="","",_xll.BDP($B3018,"INDUSTRY_SUBGROUP"))</f>
        <v/>
      </c>
      <c r="Z3018" t="str">
        <f>IF($B3018="","",_xll.BDP($B3018,"COUNTRY_FULL_NAME"))</f>
        <v/>
      </c>
    </row>
    <row r="3019" spans="23:26" x14ac:dyDescent="0.25">
      <c r="W3019" t="str">
        <f>IF(B3019="","",_xll.BDP(B3019,"INDUSTRY_SECTOR"))</f>
        <v/>
      </c>
      <c r="X3019" t="str">
        <f>IF($B3019="","",_xll.BDP($B3019,"INDUSTRY_GROUP"))</f>
        <v/>
      </c>
      <c r="Y3019" t="str">
        <f>IF($B3019="","",_xll.BDP($B3019,"INDUSTRY_SUBGROUP"))</f>
        <v/>
      </c>
      <c r="Z3019" t="str">
        <f>IF($B3019="","",_xll.BDP($B3019,"COUNTRY_FULL_NAME"))</f>
        <v/>
      </c>
    </row>
    <row r="3020" spans="23:26" x14ac:dyDescent="0.25">
      <c r="W3020" t="str">
        <f>IF(B3020="","",_xll.BDP(B3020,"INDUSTRY_SECTOR"))</f>
        <v/>
      </c>
      <c r="X3020" t="str">
        <f>IF($B3020="","",_xll.BDP($B3020,"INDUSTRY_GROUP"))</f>
        <v/>
      </c>
      <c r="Y3020" t="str">
        <f>IF($B3020="","",_xll.BDP($B3020,"INDUSTRY_SUBGROUP"))</f>
        <v/>
      </c>
      <c r="Z3020" t="str">
        <f>IF($B3020="","",_xll.BDP($B3020,"COUNTRY_FULL_NAME"))</f>
        <v/>
      </c>
    </row>
    <row r="3021" spans="23:26" x14ac:dyDescent="0.25">
      <c r="W3021" t="str">
        <f>IF(B3021="","",_xll.BDP(B3021,"INDUSTRY_SECTOR"))</f>
        <v/>
      </c>
      <c r="X3021" t="str">
        <f>IF($B3021="","",_xll.BDP($B3021,"INDUSTRY_GROUP"))</f>
        <v/>
      </c>
      <c r="Y3021" t="str">
        <f>IF($B3021="","",_xll.BDP($B3021,"INDUSTRY_SUBGROUP"))</f>
        <v/>
      </c>
      <c r="Z3021" t="str">
        <f>IF($B3021="","",_xll.BDP($B3021,"COUNTRY_FULL_NAME"))</f>
        <v/>
      </c>
    </row>
    <row r="3022" spans="23:26" x14ac:dyDescent="0.25">
      <c r="W3022" t="str">
        <f>IF(B3022="","",_xll.BDP(B3022,"INDUSTRY_SECTOR"))</f>
        <v/>
      </c>
      <c r="X3022" t="str">
        <f>IF($B3022="","",_xll.BDP($B3022,"INDUSTRY_GROUP"))</f>
        <v/>
      </c>
      <c r="Y3022" t="str">
        <f>IF($B3022="","",_xll.BDP($B3022,"INDUSTRY_SUBGROUP"))</f>
        <v/>
      </c>
      <c r="Z3022" t="str">
        <f>IF($B3022="","",_xll.BDP($B3022,"COUNTRY_FULL_NAME"))</f>
        <v/>
      </c>
    </row>
    <row r="3023" spans="23:26" x14ac:dyDescent="0.25">
      <c r="W3023" t="str">
        <f>IF(B3023="","",_xll.BDP(B3023,"INDUSTRY_SECTOR"))</f>
        <v/>
      </c>
      <c r="X3023" t="str">
        <f>IF($B3023="","",_xll.BDP($B3023,"INDUSTRY_GROUP"))</f>
        <v/>
      </c>
      <c r="Y3023" t="str">
        <f>IF($B3023="","",_xll.BDP($B3023,"INDUSTRY_SUBGROUP"))</f>
        <v/>
      </c>
      <c r="Z3023" t="str">
        <f>IF($B3023="","",_xll.BDP($B3023,"COUNTRY_FULL_NAME"))</f>
        <v/>
      </c>
    </row>
    <row r="3024" spans="23:26" x14ac:dyDescent="0.25">
      <c r="W3024" t="str">
        <f>IF(B3024="","",_xll.BDP(B3024,"INDUSTRY_SECTOR"))</f>
        <v/>
      </c>
      <c r="X3024" t="str">
        <f>IF($B3024="","",_xll.BDP($B3024,"INDUSTRY_GROUP"))</f>
        <v/>
      </c>
      <c r="Y3024" t="str">
        <f>IF($B3024="","",_xll.BDP($B3024,"INDUSTRY_SUBGROUP"))</f>
        <v/>
      </c>
      <c r="Z3024" t="str">
        <f>IF($B3024="","",_xll.BDP($B3024,"COUNTRY_FULL_NAME"))</f>
        <v/>
      </c>
    </row>
    <row r="3025" spans="23:26" x14ac:dyDescent="0.25">
      <c r="W3025" t="str">
        <f>IF(B3025="","",_xll.BDP(B3025,"INDUSTRY_SECTOR"))</f>
        <v/>
      </c>
      <c r="X3025" t="str">
        <f>IF($B3025="","",_xll.BDP($B3025,"INDUSTRY_GROUP"))</f>
        <v/>
      </c>
      <c r="Y3025" t="str">
        <f>IF($B3025="","",_xll.BDP($B3025,"INDUSTRY_SUBGROUP"))</f>
        <v/>
      </c>
      <c r="Z3025" t="str">
        <f>IF($B3025="","",_xll.BDP($B3025,"COUNTRY_FULL_NAME"))</f>
        <v/>
      </c>
    </row>
    <row r="3026" spans="23:26" x14ac:dyDescent="0.25">
      <c r="W3026" t="str">
        <f>IF(B3026="","",_xll.BDP(B3026,"INDUSTRY_SECTOR"))</f>
        <v/>
      </c>
      <c r="X3026" t="str">
        <f>IF($B3026="","",_xll.BDP($B3026,"INDUSTRY_GROUP"))</f>
        <v/>
      </c>
      <c r="Y3026" t="str">
        <f>IF($B3026="","",_xll.BDP($B3026,"INDUSTRY_SUBGROUP"))</f>
        <v/>
      </c>
      <c r="Z3026" t="str">
        <f>IF($B3026="","",_xll.BDP($B3026,"COUNTRY_FULL_NAME"))</f>
        <v/>
      </c>
    </row>
    <row r="3027" spans="23:26" x14ac:dyDescent="0.25">
      <c r="W3027" t="str">
        <f>IF(B3027="","",_xll.BDP(B3027,"INDUSTRY_SECTOR"))</f>
        <v/>
      </c>
      <c r="X3027" t="str">
        <f>IF($B3027="","",_xll.BDP($B3027,"INDUSTRY_GROUP"))</f>
        <v/>
      </c>
      <c r="Y3027" t="str">
        <f>IF($B3027="","",_xll.BDP($B3027,"INDUSTRY_SUBGROUP"))</f>
        <v/>
      </c>
      <c r="Z3027" t="str">
        <f>IF($B3027="","",_xll.BDP($B3027,"COUNTRY_FULL_NAME"))</f>
        <v/>
      </c>
    </row>
    <row r="3028" spans="23:26" x14ac:dyDescent="0.25">
      <c r="W3028" t="str">
        <f>IF(B3028="","",_xll.BDP(B3028,"INDUSTRY_SECTOR"))</f>
        <v/>
      </c>
      <c r="X3028" t="str">
        <f>IF($B3028="","",_xll.BDP($B3028,"INDUSTRY_GROUP"))</f>
        <v/>
      </c>
      <c r="Y3028" t="str">
        <f>IF($B3028="","",_xll.BDP($B3028,"INDUSTRY_SUBGROUP"))</f>
        <v/>
      </c>
      <c r="Z3028" t="str">
        <f>IF($B3028="","",_xll.BDP($B3028,"COUNTRY_FULL_NAME"))</f>
        <v/>
      </c>
    </row>
    <row r="3029" spans="23:26" x14ac:dyDescent="0.25">
      <c r="W3029" t="str">
        <f>IF(B3029="","",_xll.BDP(B3029,"INDUSTRY_SECTOR"))</f>
        <v/>
      </c>
      <c r="X3029" t="str">
        <f>IF($B3029="","",_xll.BDP($B3029,"INDUSTRY_GROUP"))</f>
        <v/>
      </c>
      <c r="Y3029" t="str">
        <f>IF($B3029="","",_xll.BDP($B3029,"INDUSTRY_SUBGROUP"))</f>
        <v/>
      </c>
      <c r="Z3029" t="str">
        <f>IF($B3029="","",_xll.BDP($B3029,"COUNTRY_FULL_NAME"))</f>
        <v/>
      </c>
    </row>
    <row r="3030" spans="23:26" x14ac:dyDescent="0.25">
      <c r="W3030" t="str">
        <f>IF(B3030="","",_xll.BDP(B3030,"INDUSTRY_SECTOR"))</f>
        <v/>
      </c>
      <c r="X3030" t="str">
        <f>IF($B3030="","",_xll.BDP($B3030,"INDUSTRY_GROUP"))</f>
        <v/>
      </c>
      <c r="Y3030" t="str">
        <f>IF($B3030="","",_xll.BDP($B3030,"INDUSTRY_SUBGROUP"))</f>
        <v/>
      </c>
      <c r="Z3030" t="str">
        <f>IF($B3030="","",_xll.BDP($B3030,"COUNTRY_FULL_NAME"))</f>
        <v/>
      </c>
    </row>
    <row r="3031" spans="23:26" x14ac:dyDescent="0.25">
      <c r="W3031" t="str">
        <f>IF(B3031="","",_xll.BDP(B3031,"INDUSTRY_SECTOR"))</f>
        <v/>
      </c>
      <c r="X3031" t="str">
        <f>IF($B3031="","",_xll.BDP($B3031,"INDUSTRY_GROUP"))</f>
        <v/>
      </c>
      <c r="Y3031" t="str">
        <f>IF($B3031="","",_xll.BDP($B3031,"INDUSTRY_SUBGROUP"))</f>
        <v/>
      </c>
      <c r="Z3031" t="str">
        <f>IF($B3031="","",_xll.BDP($B3031,"COUNTRY_FULL_NAME"))</f>
        <v/>
      </c>
    </row>
    <row r="3032" spans="23:26" x14ac:dyDescent="0.25">
      <c r="W3032" t="str">
        <f>IF(B3032="","",_xll.BDP(B3032,"INDUSTRY_SECTOR"))</f>
        <v/>
      </c>
      <c r="X3032" t="str">
        <f>IF($B3032="","",_xll.BDP($B3032,"INDUSTRY_GROUP"))</f>
        <v/>
      </c>
      <c r="Y3032" t="str">
        <f>IF($B3032="","",_xll.BDP($B3032,"INDUSTRY_SUBGROUP"))</f>
        <v/>
      </c>
      <c r="Z3032" t="str">
        <f>IF($B3032="","",_xll.BDP($B3032,"COUNTRY_FULL_NAME"))</f>
        <v/>
      </c>
    </row>
    <row r="3033" spans="23:26" x14ac:dyDescent="0.25">
      <c r="W3033" t="str">
        <f>IF(B3033="","",_xll.BDP(B3033,"INDUSTRY_SECTOR"))</f>
        <v/>
      </c>
      <c r="X3033" t="str">
        <f>IF($B3033="","",_xll.BDP($B3033,"INDUSTRY_GROUP"))</f>
        <v/>
      </c>
      <c r="Y3033" t="str">
        <f>IF($B3033="","",_xll.BDP($B3033,"INDUSTRY_SUBGROUP"))</f>
        <v/>
      </c>
      <c r="Z3033" t="str">
        <f>IF($B3033="","",_xll.BDP($B3033,"COUNTRY_FULL_NAME"))</f>
        <v/>
      </c>
    </row>
    <row r="3034" spans="23:26" x14ac:dyDescent="0.25">
      <c r="W3034" t="str">
        <f>IF(B3034="","",_xll.BDP(B3034,"INDUSTRY_SECTOR"))</f>
        <v/>
      </c>
      <c r="X3034" t="str">
        <f>IF($B3034="","",_xll.BDP($B3034,"INDUSTRY_GROUP"))</f>
        <v/>
      </c>
      <c r="Y3034" t="str">
        <f>IF($B3034="","",_xll.BDP($B3034,"INDUSTRY_SUBGROUP"))</f>
        <v/>
      </c>
      <c r="Z3034" t="str">
        <f>IF($B3034="","",_xll.BDP($B3034,"COUNTRY_FULL_NAME"))</f>
        <v/>
      </c>
    </row>
    <row r="3035" spans="23:26" x14ac:dyDescent="0.25">
      <c r="W3035" t="str">
        <f>IF(B3035="","",_xll.BDP(B3035,"INDUSTRY_SECTOR"))</f>
        <v/>
      </c>
      <c r="X3035" t="str">
        <f>IF($B3035="","",_xll.BDP($B3035,"INDUSTRY_GROUP"))</f>
        <v/>
      </c>
      <c r="Y3035" t="str">
        <f>IF($B3035="","",_xll.BDP($B3035,"INDUSTRY_SUBGROUP"))</f>
        <v/>
      </c>
      <c r="Z3035" t="str">
        <f>IF($B3035="","",_xll.BDP($B3035,"COUNTRY_FULL_NAME"))</f>
        <v/>
      </c>
    </row>
    <row r="3036" spans="23:26" x14ac:dyDescent="0.25">
      <c r="W3036" t="str">
        <f>IF(B3036="","",_xll.BDP(B3036,"INDUSTRY_SECTOR"))</f>
        <v/>
      </c>
      <c r="X3036" t="str">
        <f>IF($B3036="","",_xll.BDP($B3036,"INDUSTRY_GROUP"))</f>
        <v/>
      </c>
      <c r="Y3036" t="str">
        <f>IF($B3036="","",_xll.BDP($B3036,"INDUSTRY_SUBGROUP"))</f>
        <v/>
      </c>
      <c r="Z3036" t="str">
        <f>IF($B3036="","",_xll.BDP($B3036,"COUNTRY_FULL_NAME"))</f>
        <v/>
      </c>
    </row>
    <row r="3037" spans="23:26" x14ac:dyDescent="0.25">
      <c r="W3037" t="str">
        <f>IF(B3037="","",_xll.BDP(B3037,"INDUSTRY_SECTOR"))</f>
        <v/>
      </c>
      <c r="X3037" t="str">
        <f>IF($B3037="","",_xll.BDP($B3037,"INDUSTRY_GROUP"))</f>
        <v/>
      </c>
      <c r="Y3037" t="str">
        <f>IF($B3037="","",_xll.BDP($B3037,"INDUSTRY_SUBGROUP"))</f>
        <v/>
      </c>
      <c r="Z3037" t="str">
        <f>IF($B3037="","",_xll.BDP($B3037,"COUNTRY_FULL_NAME"))</f>
        <v/>
      </c>
    </row>
    <row r="3038" spans="23:26" x14ac:dyDescent="0.25">
      <c r="W3038" t="str">
        <f>IF(B3038="","",_xll.BDP(B3038,"INDUSTRY_SECTOR"))</f>
        <v/>
      </c>
      <c r="X3038" t="str">
        <f>IF($B3038="","",_xll.BDP($B3038,"INDUSTRY_GROUP"))</f>
        <v/>
      </c>
      <c r="Y3038" t="str">
        <f>IF($B3038="","",_xll.BDP($B3038,"INDUSTRY_SUBGROUP"))</f>
        <v/>
      </c>
      <c r="Z3038" t="str">
        <f>IF($B3038="","",_xll.BDP($B3038,"COUNTRY_FULL_NAME"))</f>
        <v/>
      </c>
    </row>
    <row r="3039" spans="23:26" x14ac:dyDescent="0.25">
      <c r="W3039" t="str">
        <f>IF(B3039="","",_xll.BDP(B3039,"INDUSTRY_SECTOR"))</f>
        <v/>
      </c>
      <c r="X3039" t="str">
        <f>IF($B3039="","",_xll.BDP($B3039,"INDUSTRY_GROUP"))</f>
        <v/>
      </c>
      <c r="Y3039" t="str">
        <f>IF($B3039="","",_xll.BDP($B3039,"INDUSTRY_SUBGROUP"))</f>
        <v/>
      </c>
      <c r="Z3039" t="str">
        <f>IF($B3039="","",_xll.BDP($B3039,"COUNTRY_FULL_NAME"))</f>
        <v/>
      </c>
    </row>
    <row r="3040" spans="23:26" x14ac:dyDescent="0.25">
      <c r="W3040" t="str">
        <f>IF(B3040="","",_xll.BDP(B3040,"INDUSTRY_SECTOR"))</f>
        <v/>
      </c>
      <c r="X3040" t="str">
        <f>IF($B3040="","",_xll.BDP($B3040,"INDUSTRY_GROUP"))</f>
        <v/>
      </c>
      <c r="Y3040" t="str">
        <f>IF($B3040="","",_xll.BDP($B3040,"INDUSTRY_SUBGROUP"))</f>
        <v/>
      </c>
      <c r="Z3040" t="str">
        <f>IF($B3040="","",_xll.BDP($B3040,"COUNTRY_FULL_NAME"))</f>
        <v/>
      </c>
    </row>
    <row r="3041" spans="23:26" x14ac:dyDescent="0.25">
      <c r="W3041" t="str">
        <f>IF(B3041="","",_xll.BDP(B3041,"INDUSTRY_SECTOR"))</f>
        <v/>
      </c>
      <c r="X3041" t="str">
        <f>IF($B3041="","",_xll.BDP($B3041,"INDUSTRY_GROUP"))</f>
        <v/>
      </c>
      <c r="Y3041" t="str">
        <f>IF($B3041="","",_xll.BDP($B3041,"INDUSTRY_SUBGROUP"))</f>
        <v/>
      </c>
      <c r="Z3041" t="str">
        <f>IF($B3041="","",_xll.BDP($B3041,"COUNTRY_FULL_NAME"))</f>
        <v/>
      </c>
    </row>
    <row r="3042" spans="23:26" x14ac:dyDescent="0.25">
      <c r="W3042" t="str">
        <f>IF(B3042="","",_xll.BDP(B3042,"INDUSTRY_SECTOR"))</f>
        <v/>
      </c>
      <c r="X3042" t="str">
        <f>IF($B3042="","",_xll.BDP($B3042,"INDUSTRY_GROUP"))</f>
        <v/>
      </c>
      <c r="Y3042" t="str">
        <f>IF($B3042="","",_xll.BDP($B3042,"INDUSTRY_SUBGROUP"))</f>
        <v/>
      </c>
      <c r="Z3042" t="str">
        <f>IF($B3042="","",_xll.BDP($B3042,"COUNTRY_FULL_NAME"))</f>
        <v/>
      </c>
    </row>
    <row r="3043" spans="23:26" x14ac:dyDescent="0.25">
      <c r="W3043" t="str">
        <f>IF(B3043="","",_xll.BDP(B3043,"INDUSTRY_SECTOR"))</f>
        <v/>
      </c>
      <c r="X3043" t="str">
        <f>IF($B3043="","",_xll.BDP($B3043,"INDUSTRY_GROUP"))</f>
        <v/>
      </c>
      <c r="Y3043" t="str">
        <f>IF($B3043="","",_xll.BDP($B3043,"INDUSTRY_SUBGROUP"))</f>
        <v/>
      </c>
      <c r="Z3043" t="str">
        <f>IF($B3043="","",_xll.BDP($B3043,"COUNTRY_FULL_NAME"))</f>
        <v/>
      </c>
    </row>
    <row r="3044" spans="23:26" x14ac:dyDescent="0.25">
      <c r="W3044" t="str">
        <f>IF(B3044="","",_xll.BDP(B3044,"INDUSTRY_SECTOR"))</f>
        <v/>
      </c>
      <c r="X3044" t="str">
        <f>IF($B3044="","",_xll.BDP($B3044,"INDUSTRY_GROUP"))</f>
        <v/>
      </c>
      <c r="Y3044" t="str">
        <f>IF($B3044="","",_xll.BDP($B3044,"INDUSTRY_SUBGROUP"))</f>
        <v/>
      </c>
      <c r="Z3044" t="str">
        <f>IF($B3044="","",_xll.BDP($B3044,"COUNTRY_FULL_NAME"))</f>
        <v/>
      </c>
    </row>
    <row r="3045" spans="23:26" x14ac:dyDescent="0.25">
      <c r="W3045" t="str">
        <f>IF(B3045="","",_xll.BDP(B3045,"INDUSTRY_SECTOR"))</f>
        <v/>
      </c>
      <c r="X3045" t="str">
        <f>IF($B3045="","",_xll.BDP($B3045,"INDUSTRY_GROUP"))</f>
        <v/>
      </c>
      <c r="Y3045" t="str">
        <f>IF($B3045="","",_xll.BDP($B3045,"INDUSTRY_SUBGROUP"))</f>
        <v/>
      </c>
      <c r="Z3045" t="str">
        <f>IF($B3045="","",_xll.BDP($B3045,"COUNTRY_FULL_NAME"))</f>
        <v/>
      </c>
    </row>
    <row r="3046" spans="23:26" x14ac:dyDescent="0.25">
      <c r="W3046" t="str">
        <f>IF(B3046="","",_xll.BDP(B3046,"INDUSTRY_SECTOR"))</f>
        <v/>
      </c>
      <c r="X3046" t="str">
        <f>IF($B3046="","",_xll.BDP($B3046,"INDUSTRY_GROUP"))</f>
        <v/>
      </c>
      <c r="Y3046" t="str">
        <f>IF($B3046="","",_xll.BDP($B3046,"INDUSTRY_SUBGROUP"))</f>
        <v/>
      </c>
      <c r="Z3046" t="str">
        <f>IF($B3046="","",_xll.BDP($B3046,"COUNTRY_FULL_NAME"))</f>
        <v/>
      </c>
    </row>
    <row r="3047" spans="23:26" x14ac:dyDescent="0.25">
      <c r="W3047" t="str">
        <f>IF(B3047="","",_xll.BDP(B3047,"INDUSTRY_SECTOR"))</f>
        <v/>
      </c>
      <c r="X3047" t="str">
        <f>IF($B3047="","",_xll.BDP($B3047,"INDUSTRY_GROUP"))</f>
        <v/>
      </c>
      <c r="Y3047" t="str">
        <f>IF($B3047="","",_xll.BDP($B3047,"INDUSTRY_SUBGROUP"))</f>
        <v/>
      </c>
      <c r="Z3047" t="str">
        <f>IF($B3047="","",_xll.BDP($B3047,"COUNTRY_FULL_NAME"))</f>
        <v/>
      </c>
    </row>
    <row r="3048" spans="23:26" x14ac:dyDescent="0.25">
      <c r="W3048" t="str">
        <f>IF(B3048="","",_xll.BDP(B3048,"INDUSTRY_SECTOR"))</f>
        <v/>
      </c>
      <c r="X3048" t="str">
        <f>IF($B3048="","",_xll.BDP($B3048,"INDUSTRY_GROUP"))</f>
        <v/>
      </c>
      <c r="Y3048" t="str">
        <f>IF($B3048="","",_xll.BDP($B3048,"INDUSTRY_SUBGROUP"))</f>
        <v/>
      </c>
      <c r="Z3048" t="str">
        <f>IF($B3048="","",_xll.BDP($B3048,"COUNTRY_FULL_NAME"))</f>
        <v/>
      </c>
    </row>
    <row r="3049" spans="23:26" x14ac:dyDescent="0.25">
      <c r="W3049" t="str">
        <f>IF(B3049="","",_xll.BDP(B3049,"INDUSTRY_SECTOR"))</f>
        <v/>
      </c>
      <c r="X3049" t="str">
        <f>IF($B3049="","",_xll.BDP($B3049,"INDUSTRY_GROUP"))</f>
        <v/>
      </c>
      <c r="Y3049" t="str">
        <f>IF($B3049="","",_xll.BDP($B3049,"INDUSTRY_SUBGROUP"))</f>
        <v/>
      </c>
      <c r="Z3049" t="str">
        <f>IF($B3049="","",_xll.BDP($B3049,"COUNTRY_FULL_NAME"))</f>
        <v/>
      </c>
    </row>
    <row r="3050" spans="23:26" x14ac:dyDescent="0.25">
      <c r="W3050" t="str">
        <f>IF(B3050="","",_xll.BDP(B3050,"INDUSTRY_SECTOR"))</f>
        <v/>
      </c>
      <c r="X3050" t="str">
        <f>IF($B3050="","",_xll.BDP($B3050,"INDUSTRY_GROUP"))</f>
        <v/>
      </c>
      <c r="Y3050" t="str">
        <f>IF($B3050="","",_xll.BDP($B3050,"INDUSTRY_SUBGROUP"))</f>
        <v/>
      </c>
      <c r="Z3050" t="str">
        <f>IF($B3050="","",_xll.BDP($B3050,"COUNTRY_FULL_NAME"))</f>
        <v/>
      </c>
    </row>
    <row r="3051" spans="23:26" x14ac:dyDescent="0.25">
      <c r="W3051" t="str">
        <f>IF(B3051="","",_xll.BDP(B3051,"INDUSTRY_SECTOR"))</f>
        <v/>
      </c>
      <c r="X3051" t="str">
        <f>IF($B3051="","",_xll.BDP($B3051,"INDUSTRY_GROUP"))</f>
        <v/>
      </c>
      <c r="Y3051" t="str">
        <f>IF($B3051="","",_xll.BDP($B3051,"INDUSTRY_SUBGROUP"))</f>
        <v/>
      </c>
      <c r="Z3051" t="str">
        <f>IF($B3051="","",_xll.BDP($B3051,"COUNTRY_FULL_NAME"))</f>
        <v/>
      </c>
    </row>
    <row r="3052" spans="23:26" x14ac:dyDescent="0.25">
      <c r="W3052" t="str">
        <f>IF(B3052="","",_xll.BDP(B3052,"INDUSTRY_SECTOR"))</f>
        <v/>
      </c>
      <c r="X3052" t="str">
        <f>IF($B3052="","",_xll.BDP($B3052,"INDUSTRY_GROUP"))</f>
        <v/>
      </c>
      <c r="Y3052" t="str">
        <f>IF($B3052="","",_xll.BDP($B3052,"INDUSTRY_SUBGROUP"))</f>
        <v/>
      </c>
      <c r="Z3052" t="str">
        <f>IF($B3052="","",_xll.BDP($B3052,"COUNTRY_FULL_NAME"))</f>
        <v/>
      </c>
    </row>
    <row r="3053" spans="23:26" x14ac:dyDescent="0.25">
      <c r="W3053" t="str">
        <f>IF(B3053="","",_xll.BDP(B3053,"INDUSTRY_SECTOR"))</f>
        <v/>
      </c>
      <c r="X3053" t="str">
        <f>IF($B3053="","",_xll.BDP($B3053,"INDUSTRY_GROUP"))</f>
        <v/>
      </c>
      <c r="Y3053" t="str">
        <f>IF($B3053="","",_xll.BDP($B3053,"INDUSTRY_SUBGROUP"))</f>
        <v/>
      </c>
      <c r="Z3053" t="str">
        <f>IF($B3053="","",_xll.BDP($B3053,"COUNTRY_FULL_NAME"))</f>
        <v/>
      </c>
    </row>
    <row r="3054" spans="23:26" x14ac:dyDescent="0.25">
      <c r="W3054" t="str">
        <f>IF(B3054="","",_xll.BDP(B3054,"INDUSTRY_SECTOR"))</f>
        <v/>
      </c>
      <c r="X3054" t="str">
        <f>IF($B3054="","",_xll.BDP($B3054,"INDUSTRY_GROUP"))</f>
        <v/>
      </c>
      <c r="Y3054" t="str">
        <f>IF($B3054="","",_xll.BDP($B3054,"INDUSTRY_SUBGROUP"))</f>
        <v/>
      </c>
      <c r="Z3054" t="str">
        <f>IF($B3054="","",_xll.BDP($B3054,"COUNTRY_FULL_NAME"))</f>
        <v/>
      </c>
    </row>
    <row r="3055" spans="23:26" x14ac:dyDescent="0.25">
      <c r="W3055" t="str">
        <f>IF(B3055="","",_xll.BDP(B3055,"INDUSTRY_SECTOR"))</f>
        <v/>
      </c>
      <c r="X3055" t="str">
        <f>IF($B3055="","",_xll.BDP($B3055,"INDUSTRY_GROUP"))</f>
        <v/>
      </c>
      <c r="Y3055" t="str">
        <f>IF($B3055="","",_xll.BDP($B3055,"INDUSTRY_SUBGROUP"))</f>
        <v/>
      </c>
      <c r="Z3055" t="str">
        <f>IF($B3055="","",_xll.BDP($B3055,"COUNTRY_FULL_NAME"))</f>
        <v/>
      </c>
    </row>
    <row r="3056" spans="23:26" x14ac:dyDescent="0.25">
      <c r="W3056" t="str">
        <f>IF(B3056="","",_xll.BDP(B3056,"INDUSTRY_SECTOR"))</f>
        <v/>
      </c>
      <c r="X3056" t="str">
        <f>IF($B3056="","",_xll.BDP($B3056,"INDUSTRY_GROUP"))</f>
        <v/>
      </c>
      <c r="Y3056" t="str">
        <f>IF($B3056="","",_xll.BDP($B3056,"INDUSTRY_SUBGROUP"))</f>
        <v/>
      </c>
      <c r="Z3056" t="str">
        <f>IF($B3056="","",_xll.BDP($B3056,"COUNTRY_FULL_NAME"))</f>
        <v/>
      </c>
    </row>
    <row r="3057" spans="23:26" x14ac:dyDescent="0.25">
      <c r="W3057" t="str">
        <f>IF(B3057="","",_xll.BDP(B3057,"INDUSTRY_SECTOR"))</f>
        <v/>
      </c>
      <c r="X3057" t="str">
        <f>IF($B3057="","",_xll.BDP($B3057,"INDUSTRY_GROUP"))</f>
        <v/>
      </c>
      <c r="Y3057" t="str">
        <f>IF($B3057="","",_xll.BDP($B3057,"INDUSTRY_SUBGROUP"))</f>
        <v/>
      </c>
      <c r="Z3057" t="str">
        <f>IF($B3057="","",_xll.BDP($B3057,"COUNTRY_FULL_NAME"))</f>
        <v/>
      </c>
    </row>
    <row r="3058" spans="23:26" x14ac:dyDescent="0.25">
      <c r="W3058" t="str">
        <f>IF(B3058="","",_xll.BDP(B3058,"INDUSTRY_SECTOR"))</f>
        <v/>
      </c>
      <c r="X3058" t="str">
        <f>IF($B3058="","",_xll.BDP($B3058,"INDUSTRY_GROUP"))</f>
        <v/>
      </c>
      <c r="Y3058" t="str">
        <f>IF($B3058="","",_xll.BDP($B3058,"INDUSTRY_SUBGROUP"))</f>
        <v/>
      </c>
      <c r="Z3058" t="str">
        <f>IF($B3058="","",_xll.BDP($B3058,"COUNTRY_FULL_NAME"))</f>
        <v/>
      </c>
    </row>
    <row r="3059" spans="23:26" x14ac:dyDescent="0.25">
      <c r="W3059" t="str">
        <f>IF(B3059="","",_xll.BDP(B3059,"INDUSTRY_SECTOR"))</f>
        <v/>
      </c>
      <c r="X3059" t="str">
        <f>IF($B3059="","",_xll.BDP($B3059,"INDUSTRY_GROUP"))</f>
        <v/>
      </c>
      <c r="Y3059" t="str">
        <f>IF($B3059="","",_xll.BDP($B3059,"INDUSTRY_SUBGROUP"))</f>
        <v/>
      </c>
      <c r="Z3059" t="str">
        <f>IF($B3059="","",_xll.BDP($B3059,"COUNTRY_FULL_NAME"))</f>
        <v/>
      </c>
    </row>
    <row r="3060" spans="23:26" x14ac:dyDescent="0.25">
      <c r="W3060" t="str">
        <f>IF(B3060="","",_xll.BDP(B3060,"INDUSTRY_SECTOR"))</f>
        <v/>
      </c>
      <c r="X3060" t="str">
        <f>IF($B3060="","",_xll.BDP($B3060,"INDUSTRY_GROUP"))</f>
        <v/>
      </c>
      <c r="Y3060" t="str">
        <f>IF($B3060="","",_xll.BDP($B3060,"INDUSTRY_SUBGROUP"))</f>
        <v/>
      </c>
      <c r="Z3060" t="str">
        <f>IF($B3060="","",_xll.BDP($B3060,"COUNTRY_FULL_NAME"))</f>
        <v/>
      </c>
    </row>
    <row r="3061" spans="23:26" x14ac:dyDescent="0.25">
      <c r="W3061" t="str">
        <f>IF(B3061="","",_xll.BDP(B3061,"INDUSTRY_SECTOR"))</f>
        <v/>
      </c>
      <c r="X3061" t="str">
        <f>IF($B3061="","",_xll.BDP($B3061,"INDUSTRY_GROUP"))</f>
        <v/>
      </c>
      <c r="Y3061" t="str">
        <f>IF($B3061="","",_xll.BDP($B3061,"INDUSTRY_SUBGROUP"))</f>
        <v/>
      </c>
      <c r="Z3061" t="str">
        <f>IF($B3061="","",_xll.BDP($B3061,"COUNTRY_FULL_NAME"))</f>
        <v/>
      </c>
    </row>
    <row r="3062" spans="23:26" x14ac:dyDescent="0.25">
      <c r="W3062" t="str">
        <f>IF(B3062="","",_xll.BDP(B3062,"INDUSTRY_SECTOR"))</f>
        <v/>
      </c>
      <c r="X3062" t="str">
        <f>IF($B3062="","",_xll.BDP($B3062,"INDUSTRY_GROUP"))</f>
        <v/>
      </c>
      <c r="Y3062" t="str">
        <f>IF($B3062="","",_xll.BDP($B3062,"INDUSTRY_SUBGROUP"))</f>
        <v/>
      </c>
      <c r="Z3062" t="str">
        <f>IF($B3062="","",_xll.BDP($B3062,"COUNTRY_FULL_NAME"))</f>
        <v/>
      </c>
    </row>
    <row r="3063" spans="23:26" x14ac:dyDescent="0.25">
      <c r="W3063" t="str">
        <f>IF(B3063="","",_xll.BDP(B3063,"INDUSTRY_SECTOR"))</f>
        <v/>
      </c>
      <c r="X3063" t="str">
        <f>IF($B3063="","",_xll.BDP($B3063,"INDUSTRY_GROUP"))</f>
        <v/>
      </c>
      <c r="Y3063" t="str">
        <f>IF($B3063="","",_xll.BDP($B3063,"INDUSTRY_SUBGROUP"))</f>
        <v/>
      </c>
      <c r="Z3063" t="str">
        <f>IF($B3063="","",_xll.BDP($B3063,"COUNTRY_FULL_NAME"))</f>
        <v/>
      </c>
    </row>
    <row r="3064" spans="23:26" x14ac:dyDescent="0.25">
      <c r="W3064" t="str">
        <f>IF(B3064="","",_xll.BDP(B3064,"INDUSTRY_SECTOR"))</f>
        <v/>
      </c>
      <c r="X3064" t="str">
        <f>IF($B3064="","",_xll.BDP($B3064,"INDUSTRY_GROUP"))</f>
        <v/>
      </c>
      <c r="Y3064" t="str">
        <f>IF($B3064="","",_xll.BDP($B3064,"INDUSTRY_SUBGROUP"))</f>
        <v/>
      </c>
      <c r="Z3064" t="str">
        <f>IF($B3064="","",_xll.BDP($B3064,"COUNTRY_FULL_NAME"))</f>
        <v/>
      </c>
    </row>
    <row r="3065" spans="23:26" x14ac:dyDescent="0.25">
      <c r="W3065" t="str">
        <f>IF(B3065="","",_xll.BDP(B3065,"INDUSTRY_SECTOR"))</f>
        <v/>
      </c>
      <c r="X3065" t="str">
        <f>IF($B3065="","",_xll.BDP($B3065,"INDUSTRY_GROUP"))</f>
        <v/>
      </c>
      <c r="Y3065" t="str">
        <f>IF($B3065="","",_xll.BDP($B3065,"INDUSTRY_SUBGROUP"))</f>
        <v/>
      </c>
      <c r="Z3065" t="str">
        <f>IF($B3065="","",_xll.BDP($B3065,"COUNTRY_FULL_NAME"))</f>
        <v/>
      </c>
    </row>
    <row r="3066" spans="23:26" x14ac:dyDescent="0.25">
      <c r="W3066" t="str">
        <f>IF(B3066="","",_xll.BDP(B3066,"INDUSTRY_SECTOR"))</f>
        <v/>
      </c>
      <c r="X3066" t="str">
        <f>IF($B3066="","",_xll.BDP($B3066,"INDUSTRY_GROUP"))</f>
        <v/>
      </c>
      <c r="Y3066" t="str">
        <f>IF($B3066="","",_xll.BDP($B3066,"INDUSTRY_SUBGROUP"))</f>
        <v/>
      </c>
      <c r="Z3066" t="str">
        <f>IF($B3066="","",_xll.BDP($B3066,"COUNTRY_FULL_NAME"))</f>
        <v/>
      </c>
    </row>
    <row r="3067" spans="23:26" x14ac:dyDescent="0.25">
      <c r="W3067" t="str">
        <f>IF(B3067="","",_xll.BDP(B3067,"INDUSTRY_SECTOR"))</f>
        <v/>
      </c>
      <c r="X3067" t="str">
        <f>IF($B3067="","",_xll.BDP($B3067,"INDUSTRY_GROUP"))</f>
        <v/>
      </c>
      <c r="Y3067" t="str">
        <f>IF($B3067="","",_xll.BDP($B3067,"INDUSTRY_SUBGROUP"))</f>
        <v/>
      </c>
      <c r="Z3067" t="str">
        <f>IF($B3067="","",_xll.BDP($B3067,"COUNTRY_FULL_NAME"))</f>
        <v/>
      </c>
    </row>
    <row r="3068" spans="23:26" x14ac:dyDescent="0.25">
      <c r="W3068" t="str">
        <f>IF(B3068="","",_xll.BDP(B3068,"INDUSTRY_SECTOR"))</f>
        <v/>
      </c>
      <c r="X3068" t="str">
        <f>IF($B3068="","",_xll.BDP($B3068,"INDUSTRY_GROUP"))</f>
        <v/>
      </c>
      <c r="Y3068" t="str">
        <f>IF($B3068="","",_xll.BDP($B3068,"INDUSTRY_SUBGROUP"))</f>
        <v/>
      </c>
      <c r="Z3068" t="str">
        <f>IF($B3068="","",_xll.BDP($B3068,"COUNTRY_FULL_NAME"))</f>
        <v/>
      </c>
    </row>
    <row r="3069" spans="23:26" x14ac:dyDescent="0.25">
      <c r="W3069" t="str">
        <f>IF(B3069="","",_xll.BDP(B3069,"INDUSTRY_SECTOR"))</f>
        <v/>
      </c>
      <c r="X3069" t="str">
        <f>IF($B3069="","",_xll.BDP($B3069,"INDUSTRY_GROUP"))</f>
        <v/>
      </c>
      <c r="Y3069" t="str">
        <f>IF($B3069="","",_xll.BDP($B3069,"INDUSTRY_SUBGROUP"))</f>
        <v/>
      </c>
      <c r="Z3069" t="str">
        <f>IF($B3069="","",_xll.BDP($B3069,"COUNTRY_FULL_NAME"))</f>
        <v/>
      </c>
    </row>
    <row r="3070" spans="23:26" x14ac:dyDescent="0.25">
      <c r="W3070" t="str">
        <f>IF(B3070="","",_xll.BDP(B3070,"INDUSTRY_SECTOR"))</f>
        <v/>
      </c>
      <c r="X3070" t="str">
        <f>IF($B3070="","",_xll.BDP($B3070,"INDUSTRY_GROUP"))</f>
        <v/>
      </c>
      <c r="Y3070" t="str">
        <f>IF($B3070="","",_xll.BDP($B3070,"INDUSTRY_SUBGROUP"))</f>
        <v/>
      </c>
      <c r="Z3070" t="str">
        <f>IF($B3070="","",_xll.BDP($B3070,"COUNTRY_FULL_NAME"))</f>
        <v/>
      </c>
    </row>
    <row r="3071" spans="23:26" x14ac:dyDescent="0.25">
      <c r="W3071" t="str">
        <f>IF(B3071="","",_xll.BDP(B3071,"INDUSTRY_SECTOR"))</f>
        <v/>
      </c>
      <c r="X3071" t="str">
        <f>IF($B3071="","",_xll.BDP($B3071,"INDUSTRY_GROUP"))</f>
        <v/>
      </c>
      <c r="Y3071" t="str">
        <f>IF($B3071="","",_xll.BDP($B3071,"INDUSTRY_SUBGROUP"))</f>
        <v/>
      </c>
      <c r="Z3071" t="str">
        <f>IF($B3071="","",_xll.BDP($B3071,"COUNTRY_FULL_NAME"))</f>
        <v/>
      </c>
    </row>
    <row r="3072" spans="23:26" x14ac:dyDescent="0.25">
      <c r="W3072" t="str">
        <f>IF(B3072="","",_xll.BDP(B3072,"INDUSTRY_SECTOR"))</f>
        <v/>
      </c>
      <c r="X3072" t="str">
        <f>IF($B3072="","",_xll.BDP($B3072,"INDUSTRY_GROUP"))</f>
        <v/>
      </c>
      <c r="Y3072" t="str">
        <f>IF($B3072="","",_xll.BDP($B3072,"INDUSTRY_SUBGROUP"))</f>
        <v/>
      </c>
      <c r="Z3072" t="str">
        <f>IF($B3072="","",_xll.BDP($B3072,"COUNTRY_FULL_NAME"))</f>
        <v/>
      </c>
    </row>
    <row r="3073" spans="23:26" x14ac:dyDescent="0.25">
      <c r="W3073" t="str">
        <f>IF(B3073="","",_xll.BDP(B3073,"INDUSTRY_SECTOR"))</f>
        <v/>
      </c>
      <c r="X3073" t="str">
        <f>IF($B3073="","",_xll.BDP($B3073,"INDUSTRY_GROUP"))</f>
        <v/>
      </c>
      <c r="Y3073" t="str">
        <f>IF($B3073="","",_xll.BDP($B3073,"INDUSTRY_SUBGROUP"))</f>
        <v/>
      </c>
      <c r="Z3073" t="str">
        <f>IF($B3073="","",_xll.BDP($B3073,"COUNTRY_FULL_NAME"))</f>
        <v/>
      </c>
    </row>
    <row r="3074" spans="23:26" x14ac:dyDescent="0.25">
      <c r="W3074" t="str">
        <f>IF(B3074="","",_xll.BDP(B3074,"INDUSTRY_SECTOR"))</f>
        <v/>
      </c>
      <c r="X3074" t="str">
        <f>IF($B3074="","",_xll.BDP($B3074,"INDUSTRY_GROUP"))</f>
        <v/>
      </c>
      <c r="Y3074" t="str">
        <f>IF($B3074="","",_xll.BDP($B3074,"INDUSTRY_SUBGROUP"))</f>
        <v/>
      </c>
      <c r="Z3074" t="str">
        <f>IF($B3074="","",_xll.BDP($B3074,"COUNTRY_FULL_NAME"))</f>
        <v/>
      </c>
    </row>
    <row r="3075" spans="23:26" x14ac:dyDescent="0.25">
      <c r="W3075" t="str">
        <f>IF(B3075="","",_xll.BDP(B3075,"INDUSTRY_SECTOR"))</f>
        <v/>
      </c>
      <c r="X3075" t="str">
        <f>IF($B3075="","",_xll.BDP($B3075,"INDUSTRY_GROUP"))</f>
        <v/>
      </c>
      <c r="Y3075" t="str">
        <f>IF($B3075="","",_xll.BDP($B3075,"INDUSTRY_SUBGROUP"))</f>
        <v/>
      </c>
      <c r="Z3075" t="str">
        <f>IF($B3075="","",_xll.BDP($B3075,"COUNTRY_FULL_NAME"))</f>
        <v/>
      </c>
    </row>
    <row r="3076" spans="23:26" x14ac:dyDescent="0.25">
      <c r="W3076" t="str">
        <f>IF(B3076="","",_xll.BDP(B3076,"INDUSTRY_SECTOR"))</f>
        <v/>
      </c>
      <c r="X3076" t="str">
        <f>IF($B3076="","",_xll.BDP($B3076,"INDUSTRY_GROUP"))</f>
        <v/>
      </c>
      <c r="Y3076" t="str">
        <f>IF($B3076="","",_xll.BDP($B3076,"INDUSTRY_SUBGROUP"))</f>
        <v/>
      </c>
      <c r="Z3076" t="str">
        <f>IF($B3076="","",_xll.BDP($B3076,"COUNTRY_FULL_NAME"))</f>
        <v/>
      </c>
    </row>
    <row r="3077" spans="23:26" x14ac:dyDescent="0.25">
      <c r="W3077" t="str">
        <f>IF(B3077="","",_xll.BDP(B3077,"INDUSTRY_SECTOR"))</f>
        <v/>
      </c>
      <c r="X3077" t="str">
        <f>IF($B3077="","",_xll.BDP($B3077,"INDUSTRY_GROUP"))</f>
        <v/>
      </c>
      <c r="Y3077" t="str">
        <f>IF($B3077="","",_xll.BDP($B3077,"INDUSTRY_SUBGROUP"))</f>
        <v/>
      </c>
      <c r="Z3077" t="str">
        <f>IF($B3077="","",_xll.BDP($B3077,"COUNTRY_FULL_NAME"))</f>
        <v/>
      </c>
    </row>
    <row r="3078" spans="23:26" x14ac:dyDescent="0.25">
      <c r="W3078" t="str">
        <f>IF(B3078="","",_xll.BDP(B3078,"INDUSTRY_SECTOR"))</f>
        <v/>
      </c>
      <c r="X3078" t="str">
        <f>IF($B3078="","",_xll.BDP($B3078,"INDUSTRY_GROUP"))</f>
        <v/>
      </c>
      <c r="Y3078" t="str">
        <f>IF($B3078="","",_xll.BDP($B3078,"INDUSTRY_SUBGROUP"))</f>
        <v/>
      </c>
      <c r="Z3078" t="str">
        <f>IF($B3078="","",_xll.BDP($B3078,"COUNTRY_FULL_NAME"))</f>
        <v/>
      </c>
    </row>
    <row r="3079" spans="23:26" x14ac:dyDescent="0.25">
      <c r="W3079" t="str">
        <f>IF(B3079="","",_xll.BDP(B3079,"INDUSTRY_SECTOR"))</f>
        <v/>
      </c>
      <c r="X3079" t="str">
        <f>IF($B3079="","",_xll.BDP($B3079,"INDUSTRY_GROUP"))</f>
        <v/>
      </c>
      <c r="Y3079" t="str">
        <f>IF($B3079="","",_xll.BDP($B3079,"INDUSTRY_SUBGROUP"))</f>
        <v/>
      </c>
      <c r="Z3079" t="str">
        <f>IF($B3079="","",_xll.BDP($B3079,"COUNTRY_FULL_NAME"))</f>
        <v/>
      </c>
    </row>
    <row r="3080" spans="23:26" x14ac:dyDescent="0.25">
      <c r="W3080" t="str">
        <f>IF(B3080="","",_xll.BDP(B3080,"INDUSTRY_SECTOR"))</f>
        <v/>
      </c>
      <c r="X3080" t="str">
        <f>IF($B3080="","",_xll.BDP($B3080,"INDUSTRY_GROUP"))</f>
        <v/>
      </c>
      <c r="Y3080" t="str">
        <f>IF($B3080="","",_xll.BDP($B3080,"INDUSTRY_SUBGROUP"))</f>
        <v/>
      </c>
      <c r="Z3080" t="str">
        <f>IF($B3080="","",_xll.BDP($B3080,"COUNTRY_FULL_NAME"))</f>
        <v/>
      </c>
    </row>
    <row r="3081" spans="23:26" x14ac:dyDescent="0.25">
      <c r="W3081" t="str">
        <f>IF(B3081="","",_xll.BDP(B3081,"INDUSTRY_SECTOR"))</f>
        <v/>
      </c>
      <c r="X3081" t="str">
        <f>IF($B3081="","",_xll.BDP($B3081,"INDUSTRY_GROUP"))</f>
        <v/>
      </c>
      <c r="Y3081" t="str">
        <f>IF($B3081="","",_xll.BDP($B3081,"INDUSTRY_SUBGROUP"))</f>
        <v/>
      </c>
      <c r="Z3081" t="str">
        <f>IF($B3081="","",_xll.BDP($B3081,"COUNTRY_FULL_NAME"))</f>
        <v/>
      </c>
    </row>
    <row r="3082" spans="23:26" x14ac:dyDescent="0.25">
      <c r="W3082" t="str">
        <f>IF(B3082="","",_xll.BDP(B3082,"INDUSTRY_SECTOR"))</f>
        <v/>
      </c>
      <c r="X3082" t="str">
        <f>IF($B3082="","",_xll.BDP($B3082,"INDUSTRY_GROUP"))</f>
        <v/>
      </c>
      <c r="Y3082" t="str">
        <f>IF($B3082="","",_xll.BDP($B3082,"INDUSTRY_SUBGROUP"))</f>
        <v/>
      </c>
      <c r="Z3082" t="str">
        <f>IF($B3082="","",_xll.BDP($B3082,"COUNTRY_FULL_NAME"))</f>
        <v/>
      </c>
    </row>
    <row r="3083" spans="23:26" x14ac:dyDescent="0.25">
      <c r="W3083" t="str">
        <f>IF(B3083="","",_xll.BDP(B3083,"INDUSTRY_SECTOR"))</f>
        <v/>
      </c>
      <c r="X3083" t="str">
        <f>IF($B3083="","",_xll.BDP($B3083,"INDUSTRY_GROUP"))</f>
        <v/>
      </c>
      <c r="Y3083" t="str">
        <f>IF($B3083="","",_xll.BDP($B3083,"INDUSTRY_SUBGROUP"))</f>
        <v/>
      </c>
      <c r="Z3083" t="str">
        <f>IF($B3083="","",_xll.BDP($B3083,"COUNTRY_FULL_NAME"))</f>
        <v/>
      </c>
    </row>
    <row r="3084" spans="23:26" x14ac:dyDescent="0.25">
      <c r="W3084" t="str">
        <f>IF(B3084="","",_xll.BDP(B3084,"INDUSTRY_SECTOR"))</f>
        <v/>
      </c>
      <c r="X3084" t="str">
        <f>IF($B3084="","",_xll.BDP($B3084,"INDUSTRY_GROUP"))</f>
        <v/>
      </c>
      <c r="Y3084" t="str">
        <f>IF($B3084="","",_xll.BDP($B3084,"INDUSTRY_SUBGROUP"))</f>
        <v/>
      </c>
      <c r="Z3084" t="str">
        <f>IF($B3084="","",_xll.BDP($B3084,"COUNTRY_FULL_NAME"))</f>
        <v/>
      </c>
    </row>
    <row r="3085" spans="23:26" x14ac:dyDescent="0.25">
      <c r="W3085" t="str">
        <f>IF(B3085="","",_xll.BDP(B3085,"INDUSTRY_SECTOR"))</f>
        <v/>
      </c>
      <c r="X3085" t="str">
        <f>IF($B3085="","",_xll.BDP($B3085,"INDUSTRY_GROUP"))</f>
        <v/>
      </c>
      <c r="Y3085" t="str">
        <f>IF($B3085="","",_xll.BDP($B3085,"INDUSTRY_SUBGROUP"))</f>
        <v/>
      </c>
      <c r="Z3085" t="str">
        <f>IF($B3085="","",_xll.BDP($B3085,"COUNTRY_FULL_NAME"))</f>
        <v/>
      </c>
    </row>
    <row r="3086" spans="23:26" x14ac:dyDescent="0.25">
      <c r="W3086" t="str">
        <f>IF(B3086="","",_xll.BDP(B3086,"INDUSTRY_SECTOR"))</f>
        <v/>
      </c>
      <c r="X3086" t="str">
        <f>IF($B3086="","",_xll.BDP($B3086,"INDUSTRY_GROUP"))</f>
        <v/>
      </c>
      <c r="Y3086" t="str">
        <f>IF($B3086="","",_xll.BDP($B3086,"INDUSTRY_SUBGROUP"))</f>
        <v/>
      </c>
      <c r="Z3086" t="str">
        <f>IF($B3086="","",_xll.BDP($B3086,"COUNTRY_FULL_NAME"))</f>
        <v/>
      </c>
    </row>
    <row r="3087" spans="23:26" x14ac:dyDescent="0.25">
      <c r="W3087" t="str">
        <f>IF(B3087="","",_xll.BDP(B3087,"INDUSTRY_SECTOR"))</f>
        <v/>
      </c>
      <c r="X3087" t="str">
        <f>IF($B3087="","",_xll.BDP($B3087,"INDUSTRY_GROUP"))</f>
        <v/>
      </c>
      <c r="Y3087" t="str">
        <f>IF($B3087="","",_xll.BDP($B3087,"INDUSTRY_SUBGROUP"))</f>
        <v/>
      </c>
      <c r="Z3087" t="str">
        <f>IF($B3087="","",_xll.BDP($B3087,"COUNTRY_FULL_NAME"))</f>
        <v/>
      </c>
    </row>
    <row r="3088" spans="23:26" x14ac:dyDescent="0.25">
      <c r="W3088" t="str">
        <f>IF(B3088="","",_xll.BDP(B3088,"INDUSTRY_SECTOR"))</f>
        <v/>
      </c>
      <c r="X3088" t="str">
        <f>IF($B3088="","",_xll.BDP($B3088,"INDUSTRY_GROUP"))</f>
        <v/>
      </c>
      <c r="Y3088" t="str">
        <f>IF($B3088="","",_xll.BDP($B3088,"INDUSTRY_SUBGROUP"))</f>
        <v/>
      </c>
      <c r="Z3088" t="str">
        <f>IF($B3088="","",_xll.BDP($B3088,"COUNTRY_FULL_NAME"))</f>
        <v/>
      </c>
    </row>
    <row r="3089" spans="23:26" x14ac:dyDescent="0.25">
      <c r="W3089" t="str">
        <f>IF(B3089="","",_xll.BDP(B3089,"INDUSTRY_SECTOR"))</f>
        <v/>
      </c>
      <c r="X3089" t="str">
        <f>IF($B3089="","",_xll.BDP($B3089,"INDUSTRY_GROUP"))</f>
        <v/>
      </c>
      <c r="Y3089" t="str">
        <f>IF($B3089="","",_xll.BDP($B3089,"INDUSTRY_SUBGROUP"))</f>
        <v/>
      </c>
      <c r="Z3089" t="str">
        <f>IF($B3089="","",_xll.BDP($B3089,"COUNTRY_FULL_NAME"))</f>
        <v/>
      </c>
    </row>
    <row r="3090" spans="23:26" x14ac:dyDescent="0.25">
      <c r="W3090" t="str">
        <f>IF(B3090="","",_xll.BDP(B3090,"INDUSTRY_SECTOR"))</f>
        <v/>
      </c>
      <c r="X3090" t="str">
        <f>IF($B3090="","",_xll.BDP($B3090,"INDUSTRY_GROUP"))</f>
        <v/>
      </c>
      <c r="Y3090" t="str">
        <f>IF($B3090="","",_xll.BDP($B3090,"INDUSTRY_SUBGROUP"))</f>
        <v/>
      </c>
      <c r="Z3090" t="str">
        <f>IF($B3090="","",_xll.BDP($B3090,"COUNTRY_FULL_NAME"))</f>
        <v/>
      </c>
    </row>
    <row r="3091" spans="23:26" x14ac:dyDescent="0.25">
      <c r="W3091" t="str">
        <f>IF(B3091="","",_xll.BDP(B3091,"INDUSTRY_SECTOR"))</f>
        <v/>
      </c>
      <c r="X3091" t="str">
        <f>IF($B3091="","",_xll.BDP($B3091,"INDUSTRY_GROUP"))</f>
        <v/>
      </c>
      <c r="Y3091" t="str">
        <f>IF($B3091="","",_xll.BDP($B3091,"INDUSTRY_SUBGROUP"))</f>
        <v/>
      </c>
      <c r="Z3091" t="str">
        <f>IF($B3091="","",_xll.BDP($B3091,"COUNTRY_FULL_NAME"))</f>
        <v/>
      </c>
    </row>
    <row r="3092" spans="23:26" x14ac:dyDescent="0.25">
      <c r="W3092" t="str">
        <f>IF(B3092="","",_xll.BDP(B3092,"INDUSTRY_SECTOR"))</f>
        <v/>
      </c>
      <c r="X3092" t="str">
        <f>IF($B3092="","",_xll.BDP($B3092,"INDUSTRY_GROUP"))</f>
        <v/>
      </c>
      <c r="Y3092" t="str">
        <f>IF($B3092="","",_xll.BDP($B3092,"INDUSTRY_SUBGROUP"))</f>
        <v/>
      </c>
      <c r="Z3092" t="str">
        <f>IF($B3092="","",_xll.BDP($B3092,"COUNTRY_FULL_NAME"))</f>
        <v/>
      </c>
    </row>
    <row r="3093" spans="23:26" x14ac:dyDescent="0.25">
      <c r="W3093" t="str">
        <f>IF(B3093="","",_xll.BDP(B3093,"INDUSTRY_SECTOR"))</f>
        <v/>
      </c>
      <c r="X3093" t="str">
        <f>IF($B3093="","",_xll.BDP($B3093,"INDUSTRY_GROUP"))</f>
        <v/>
      </c>
      <c r="Y3093" t="str">
        <f>IF($B3093="","",_xll.BDP($B3093,"INDUSTRY_SUBGROUP"))</f>
        <v/>
      </c>
      <c r="Z3093" t="str">
        <f>IF($B3093="","",_xll.BDP($B3093,"COUNTRY_FULL_NAME"))</f>
        <v/>
      </c>
    </row>
    <row r="3094" spans="23:26" x14ac:dyDescent="0.25">
      <c r="W3094" t="str">
        <f>IF(B3094="","",_xll.BDP(B3094,"INDUSTRY_SECTOR"))</f>
        <v/>
      </c>
      <c r="X3094" t="str">
        <f>IF($B3094="","",_xll.BDP($B3094,"INDUSTRY_GROUP"))</f>
        <v/>
      </c>
      <c r="Y3094" t="str">
        <f>IF($B3094="","",_xll.BDP($B3094,"INDUSTRY_SUBGROUP"))</f>
        <v/>
      </c>
      <c r="Z3094" t="str">
        <f>IF($B3094="","",_xll.BDP($B3094,"COUNTRY_FULL_NAME"))</f>
        <v/>
      </c>
    </row>
    <row r="3095" spans="23:26" x14ac:dyDescent="0.25">
      <c r="W3095" t="str">
        <f>IF(B3095="","",_xll.BDP(B3095,"INDUSTRY_SECTOR"))</f>
        <v/>
      </c>
      <c r="X3095" t="str">
        <f>IF($B3095="","",_xll.BDP($B3095,"INDUSTRY_GROUP"))</f>
        <v/>
      </c>
      <c r="Y3095" t="str">
        <f>IF($B3095="","",_xll.BDP($B3095,"INDUSTRY_SUBGROUP"))</f>
        <v/>
      </c>
      <c r="Z3095" t="str">
        <f>IF($B3095="","",_xll.BDP($B3095,"COUNTRY_FULL_NAME"))</f>
        <v/>
      </c>
    </row>
    <row r="3096" spans="23:26" x14ac:dyDescent="0.25">
      <c r="W3096" t="str">
        <f>IF(B3096="","",_xll.BDP(B3096,"INDUSTRY_SECTOR"))</f>
        <v/>
      </c>
      <c r="X3096" t="str">
        <f>IF($B3096="","",_xll.BDP($B3096,"INDUSTRY_GROUP"))</f>
        <v/>
      </c>
      <c r="Y3096" t="str">
        <f>IF($B3096="","",_xll.BDP($B3096,"INDUSTRY_SUBGROUP"))</f>
        <v/>
      </c>
      <c r="Z3096" t="str">
        <f>IF($B3096="","",_xll.BDP($B3096,"COUNTRY_FULL_NAME"))</f>
        <v/>
      </c>
    </row>
    <row r="3097" spans="23:26" x14ac:dyDescent="0.25">
      <c r="W3097" t="str">
        <f>IF(B3097="","",_xll.BDP(B3097,"INDUSTRY_SECTOR"))</f>
        <v/>
      </c>
      <c r="X3097" t="str">
        <f>IF($B3097="","",_xll.BDP($B3097,"INDUSTRY_GROUP"))</f>
        <v/>
      </c>
      <c r="Y3097" t="str">
        <f>IF($B3097="","",_xll.BDP($B3097,"INDUSTRY_SUBGROUP"))</f>
        <v/>
      </c>
      <c r="Z3097" t="str">
        <f>IF($B3097="","",_xll.BDP($B3097,"COUNTRY_FULL_NAME"))</f>
        <v/>
      </c>
    </row>
    <row r="3098" spans="23:26" x14ac:dyDescent="0.25">
      <c r="W3098" t="str">
        <f>IF(B3098="","",_xll.BDP(B3098,"INDUSTRY_SECTOR"))</f>
        <v/>
      </c>
      <c r="X3098" t="str">
        <f>IF($B3098="","",_xll.BDP($B3098,"INDUSTRY_GROUP"))</f>
        <v/>
      </c>
      <c r="Y3098" t="str">
        <f>IF($B3098="","",_xll.BDP($B3098,"INDUSTRY_SUBGROUP"))</f>
        <v/>
      </c>
      <c r="Z3098" t="str">
        <f>IF($B3098="","",_xll.BDP($B3098,"COUNTRY_FULL_NAME"))</f>
        <v/>
      </c>
    </row>
    <row r="3099" spans="23:26" x14ac:dyDescent="0.25">
      <c r="W3099" t="str">
        <f>IF(B3099="","",_xll.BDP(B3099,"INDUSTRY_SECTOR"))</f>
        <v/>
      </c>
      <c r="X3099" t="str">
        <f>IF($B3099="","",_xll.BDP($B3099,"INDUSTRY_GROUP"))</f>
        <v/>
      </c>
      <c r="Y3099" t="str">
        <f>IF($B3099="","",_xll.BDP($B3099,"INDUSTRY_SUBGROUP"))</f>
        <v/>
      </c>
      <c r="Z3099" t="str">
        <f>IF($B3099="","",_xll.BDP($B3099,"COUNTRY_FULL_NAME"))</f>
        <v/>
      </c>
    </row>
    <row r="3100" spans="23:26" x14ac:dyDescent="0.25">
      <c r="W3100" t="str">
        <f>IF(B3100="","",_xll.BDP(B3100,"INDUSTRY_SECTOR"))</f>
        <v/>
      </c>
      <c r="X3100" t="str">
        <f>IF($B3100="","",_xll.BDP($B3100,"INDUSTRY_GROUP"))</f>
        <v/>
      </c>
      <c r="Y3100" t="str">
        <f>IF($B3100="","",_xll.BDP($B3100,"INDUSTRY_SUBGROUP"))</f>
        <v/>
      </c>
      <c r="Z3100" t="str">
        <f>IF($B3100="","",_xll.BDP($B3100,"COUNTRY_FULL_NAME"))</f>
        <v/>
      </c>
    </row>
    <row r="3101" spans="23:26" x14ac:dyDescent="0.25">
      <c r="W3101" t="str">
        <f>IF(B3101="","",_xll.BDP(B3101,"INDUSTRY_SECTOR"))</f>
        <v/>
      </c>
      <c r="X3101" t="str">
        <f>IF($B3101="","",_xll.BDP($B3101,"INDUSTRY_GROUP"))</f>
        <v/>
      </c>
      <c r="Y3101" t="str">
        <f>IF($B3101="","",_xll.BDP($B3101,"INDUSTRY_SUBGROUP"))</f>
        <v/>
      </c>
      <c r="Z3101" t="str">
        <f>IF($B3101="","",_xll.BDP($B3101,"COUNTRY_FULL_NAME"))</f>
        <v/>
      </c>
    </row>
    <row r="3102" spans="23:26" x14ac:dyDescent="0.25">
      <c r="W3102" t="str">
        <f>IF(B3102="","",_xll.BDP(B3102,"INDUSTRY_SECTOR"))</f>
        <v/>
      </c>
      <c r="X3102" t="str">
        <f>IF($B3102="","",_xll.BDP($B3102,"INDUSTRY_GROUP"))</f>
        <v/>
      </c>
      <c r="Y3102" t="str">
        <f>IF($B3102="","",_xll.BDP($B3102,"INDUSTRY_SUBGROUP"))</f>
        <v/>
      </c>
      <c r="Z3102" t="str">
        <f>IF($B3102="","",_xll.BDP($B3102,"COUNTRY_FULL_NAME"))</f>
        <v/>
      </c>
    </row>
    <row r="3103" spans="23:26" x14ac:dyDescent="0.25">
      <c r="W3103" t="str">
        <f>IF(B3103="","",_xll.BDP(B3103,"INDUSTRY_SECTOR"))</f>
        <v/>
      </c>
      <c r="X3103" t="str">
        <f>IF($B3103="","",_xll.BDP($B3103,"INDUSTRY_GROUP"))</f>
        <v/>
      </c>
      <c r="Y3103" t="str">
        <f>IF($B3103="","",_xll.BDP($B3103,"INDUSTRY_SUBGROUP"))</f>
        <v/>
      </c>
      <c r="Z3103" t="str">
        <f>IF($B3103="","",_xll.BDP($B3103,"COUNTRY_FULL_NAME"))</f>
        <v/>
      </c>
    </row>
    <row r="3104" spans="23:26" x14ac:dyDescent="0.25">
      <c r="W3104" t="str">
        <f>IF(B3104="","",_xll.BDP(B3104,"INDUSTRY_SECTOR"))</f>
        <v/>
      </c>
      <c r="X3104" t="str">
        <f>IF($B3104="","",_xll.BDP($B3104,"INDUSTRY_GROUP"))</f>
        <v/>
      </c>
      <c r="Y3104" t="str">
        <f>IF($B3104="","",_xll.BDP($B3104,"INDUSTRY_SUBGROUP"))</f>
        <v/>
      </c>
      <c r="Z3104" t="str">
        <f>IF($B3104="","",_xll.BDP($B3104,"COUNTRY_FULL_NAME"))</f>
        <v/>
      </c>
    </row>
    <row r="3105" spans="23:26" x14ac:dyDescent="0.25">
      <c r="W3105" t="str">
        <f>IF(B3105="","",_xll.BDP(B3105,"INDUSTRY_SECTOR"))</f>
        <v/>
      </c>
      <c r="X3105" t="str">
        <f>IF($B3105="","",_xll.BDP($B3105,"INDUSTRY_GROUP"))</f>
        <v/>
      </c>
      <c r="Y3105" t="str">
        <f>IF($B3105="","",_xll.BDP($B3105,"INDUSTRY_SUBGROUP"))</f>
        <v/>
      </c>
      <c r="Z3105" t="str">
        <f>IF($B3105="","",_xll.BDP($B3105,"COUNTRY_FULL_NAME"))</f>
        <v/>
      </c>
    </row>
    <row r="3106" spans="23:26" x14ac:dyDescent="0.25">
      <c r="W3106" t="str">
        <f>IF(B3106="","",_xll.BDP(B3106,"INDUSTRY_SECTOR"))</f>
        <v/>
      </c>
      <c r="X3106" t="str">
        <f>IF($B3106="","",_xll.BDP($B3106,"INDUSTRY_GROUP"))</f>
        <v/>
      </c>
      <c r="Y3106" t="str">
        <f>IF($B3106="","",_xll.BDP($B3106,"INDUSTRY_SUBGROUP"))</f>
        <v/>
      </c>
      <c r="Z3106" t="str">
        <f>IF($B3106="","",_xll.BDP($B3106,"COUNTRY_FULL_NAME"))</f>
        <v/>
      </c>
    </row>
    <row r="3107" spans="23:26" x14ac:dyDescent="0.25">
      <c r="W3107" t="str">
        <f>IF(B3107="","",_xll.BDP(B3107,"INDUSTRY_SECTOR"))</f>
        <v/>
      </c>
      <c r="X3107" t="str">
        <f>IF($B3107="","",_xll.BDP($B3107,"INDUSTRY_GROUP"))</f>
        <v/>
      </c>
      <c r="Y3107" t="str">
        <f>IF($B3107="","",_xll.BDP($B3107,"INDUSTRY_SUBGROUP"))</f>
        <v/>
      </c>
      <c r="Z3107" t="str">
        <f>IF($B3107="","",_xll.BDP($B3107,"COUNTRY_FULL_NAME"))</f>
        <v/>
      </c>
    </row>
    <row r="3108" spans="23:26" x14ac:dyDescent="0.25">
      <c r="W3108" t="str">
        <f>IF(B3108="","",_xll.BDP(B3108,"INDUSTRY_SECTOR"))</f>
        <v/>
      </c>
      <c r="X3108" t="str">
        <f>IF($B3108="","",_xll.BDP($B3108,"INDUSTRY_GROUP"))</f>
        <v/>
      </c>
      <c r="Y3108" t="str">
        <f>IF($B3108="","",_xll.BDP($B3108,"INDUSTRY_SUBGROUP"))</f>
        <v/>
      </c>
      <c r="Z3108" t="str">
        <f>IF($B3108="","",_xll.BDP($B3108,"COUNTRY_FULL_NAME"))</f>
        <v/>
      </c>
    </row>
    <row r="3109" spans="23:26" x14ac:dyDescent="0.25">
      <c r="W3109" t="str">
        <f>IF(B3109="","",_xll.BDP(B3109,"INDUSTRY_SECTOR"))</f>
        <v/>
      </c>
      <c r="X3109" t="str">
        <f>IF($B3109="","",_xll.BDP($B3109,"INDUSTRY_GROUP"))</f>
        <v/>
      </c>
      <c r="Y3109" t="str">
        <f>IF($B3109="","",_xll.BDP($B3109,"INDUSTRY_SUBGROUP"))</f>
        <v/>
      </c>
      <c r="Z3109" t="str">
        <f>IF($B3109="","",_xll.BDP($B3109,"COUNTRY_FULL_NAME"))</f>
        <v/>
      </c>
    </row>
    <row r="3110" spans="23:26" x14ac:dyDescent="0.25">
      <c r="W3110" t="str">
        <f>IF(B3110="","",_xll.BDP(B3110,"INDUSTRY_SECTOR"))</f>
        <v/>
      </c>
      <c r="X3110" t="str">
        <f>IF($B3110="","",_xll.BDP($B3110,"INDUSTRY_GROUP"))</f>
        <v/>
      </c>
      <c r="Y3110" t="str">
        <f>IF($B3110="","",_xll.BDP($B3110,"INDUSTRY_SUBGROUP"))</f>
        <v/>
      </c>
      <c r="Z3110" t="str">
        <f>IF($B3110="","",_xll.BDP($B3110,"COUNTRY_FULL_NAME"))</f>
        <v/>
      </c>
    </row>
    <row r="3111" spans="23:26" x14ac:dyDescent="0.25">
      <c r="W3111" t="str">
        <f>IF(B3111="","",_xll.BDP(B3111,"INDUSTRY_SECTOR"))</f>
        <v/>
      </c>
      <c r="X3111" t="str">
        <f>IF($B3111="","",_xll.BDP($B3111,"INDUSTRY_GROUP"))</f>
        <v/>
      </c>
      <c r="Y3111" t="str">
        <f>IF($B3111="","",_xll.BDP($B3111,"INDUSTRY_SUBGROUP"))</f>
        <v/>
      </c>
      <c r="Z3111" t="str">
        <f>IF($B3111="","",_xll.BDP($B3111,"COUNTRY_FULL_NAME"))</f>
        <v/>
      </c>
    </row>
    <row r="3112" spans="23:26" x14ac:dyDescent="0.25">
      <c r="W3112" t="str">
        <f>IF(B3112="","",_xll.BDP(B3112,"INDUSTRY_SECTOR"))</f>
        <v/>
      </c>
      <c r="X3112" t="str">
        <f>IF($B3112="","",_xll.BDP($B3112,"INDUSTRY_GROUP"))</f>
        <v/>
      </c>
      <c r="Y3112" t="str">
        <f>IF($B3112="","",_xll.BDP($B3112,"INDUSTRY_SUBGROUP"))</f>
        <v/>
      </c>
      <c r="Z3112" t="str">
        <f>IF($B3112="","",_xll.BDP($B3112,"COUNTRY_FULL_NAME"))</f>
        <v/>
      </c>
    </row>
    <row r="3113" spans="23:26" x14ac:dyDescent="0.25">
      <c r="W3113" t="str">
        <f>IF(B3113="","",_xll.BDP(B3113,"INDUSTRY_SECTOR"))</f>
        <v/>
      </c>
      <c r="X3113" t="str">
        <f>IF($B3113="","",_xll.BDP($B3113,"INDUSTRY_GROUP"))</f>
        <v/>
      </c>
      <c r="Y3113" t="str">
        <f>IF($B3113="","",_xll.BDP($B3113,"INDUSTRY_SUBGROUP"))</f>
        <v/>
      </c>
      <c r="Z3113" t="str">
        <f>IF($B3113="","",_xll.BDP($B3113,"COUNTRY_FULL_NAME"))</f>
        <v/>
      </c>
    </row>
    <row r="3114" spans="23:26" x14ac:dyDescent="0.25">
      <c r="W3114" t="str">
        <f>IF(B3114="","",_xll.BDP(B3114,"INDUSTRY_SECTOR"))</f>
        <v/>
      </c>
      <c r="X3114" t="str">
        <f>IF($B3114="","",_xll.BDP($B3114,"INDUSTRY_GROUP"))</f>
        <v/>
      </c>
      <c r="Y3114" t="str">
        <f>IF($B3114="","",_xll.BDP($B3114,"INDUSTRY_SUBGROUP"))</f>
        <v/>
      </c>
      <c r="Z3114" t="str">
        <f>IF($B3114="","",_xll.BDP($B3114,"COUNTRY_FULL_NAME"))</f>
        <v/>
      </c>
    </row>
    <row r="3115" spans="23:26" x14ac:dyDescent="0.25">
      <c r="W3115" t="str">
        <f>IF(B3115="","",_xll.BDP(B3115,"INDUSTRY_SECTOR"))</f>
        <v/>
      </c>
      <c r="X3115" t="str">
        <f>IF($B3115="","",_xll.BDP($B3115,"INDUSTRY_GROUP"))</f>
        <v/>
      </c>
      <c r="Y3115" t="str">
        <f>IF($B3115="","",_xll.BDP($B3115,"INDUSTRY_SUBGROUP"))</f>
        <v/>
      </c>
      <c r="Z3115" t="str">
        <f>IF($B3115="","",_xll.BDP($B3115,"COUNTRY_FULL_NAME"))</f>
        <v/>
      </c>
    </row>
    <row r="3116" spans="23:26" x14ac:dyDescent="0.25">
      <c r="W3116" t="str">
        <f>IF(B3116="","",_xll.BDP(B3116,"INDUSTRY_SECTOR"))</f>
        <v/>
      </c>
      <c r="X3116" t="str">
        <f>IF($B3116="","",_xll.BDP($B3116,"INDUSTRY_GROUP"))</f>
        <v/>
      </c>
      <c r="Y3116" t="str">
        <f>IF($B3116="","",_xll.BDP($B3116,"INDUSTRY_SUBGROUP"))</f>
        <v/>
      </c>
      <c r="Z3116" t="str">
        <f>IF($B3116="","",_xll.BDP($B3116,"COUNTRY_FULL_NAME"))</f>
        <v/>
      </c>
    </row>
    <row r="3117" spans="23:26" x14ac:dyDescent="0.25">
      <c r="W3117" t="str">
        <f>IF(B3117="","",_xll.BDP(B3117,"INDUSTRY_SECTOR"))</f>
        <v/>
      </c>
      <c r="X3117" t="str">
        <f>IF($B3117="","",_xll.BDP($B3117,"INDUSTRY_GROUP"))</f>
        <v/>
      </c>
      <c r="Y3117" t="str">
        <f>IF($B3117="","",_xll.BDP($B3117,"INDUSTRY_SUBGROUP"))</f>
        <v/>
      </c>
      <c r="Z3117" t="str">
        <f>IF($B3117="","",_xll.BDP($B3117,"COUNTRY_FULL_NAME"))</f>
        <v/>
      </c>
    </row>
    <row r="3118" spans="23:26" x14ac:dyDescent="0.25">
      <c r="W3118" t="str">
        <f>IF(B3118="","",_xll.BDP(B3118,"INDUSTRY_SECTOR"))</f>
        <v/>
      </c>
      <c r="X3118" t="str">
        <f>IF($B3118="","",_xll.BDP($B3118,"INDUSTRY_GROUP"))</f>
        <v/>
      </c>
      <c r="Y3118" t="str">
        <f>IF($B3118="","",_xll.BDP($B3118,"INDUSTRY_SUBGROUP"))</f>
        <v/>
      </c>
      <c r="Z3118" t="str">
        <f>IF($B3118="","",_xll.BDP($B3118,"COUNTRY_FULL_NAME"))</f>
        <v/>
      </c>
    </row>
    <row r="3119" spans="23:26" x14ac:dyDescent="0.25">
      <c r="W3119" t="str">
        <f>IF(B3119="","",_xll.BDP(B3119,"INDUSTRY_SECTOR"))</f>
        <v/>
      </c>
      <c r="X3119" t="str">
        <f>IF($B3119="","",_xll.BDP($B3119,"INDUSTRY_GROUP"))</f>
        <v/>
      </c>
      <c r="Y3119" t="str">
        <f>IF($B3119="","",_xll.BDP($B3119,"INDUSTRY_SUBGROUP"))</f>
        <v/>
      </c>
      <c r="Z3119" t="str">
        <f>IF($B3119="","",_xll.BDP($B3119,"COUNTRY_FULL_NAME"))</f>
        <v/>
      </c>
    </row>
    <row r="3120" spans="23:26" x14ac:dyDescent="0.25">
      <c r="W3120" t="str">
        <f>IF(B3120="","",_xll.BDP(B3120,"INDUSTRY_SECTOR"))</f>
        <v/>
      </c>
      <c r="X3120" t="str">
        <f>IF($B3120="","",_xll.BDP($B3120,"INDUSTRY_GROUP"))</f>
        <v/>
      </c>
      <c r="Y3120" t="str">
        <f>IF($B3120="","",_xll.BDP($B3120,"INDUSTRY_SUBGROUP"))</f>
        <v/>
      </c>
      <c r="Z3120" t="str">
        <f>IF($B3120="","",_xll.BDP($B3120,"COUNTRY_FULL_NAME"))</f>
        <v/>
      </c>
    </row>
    <row r="3121" spans="23:26" x14ac:dyDescent="0.25">
      <c r="W3121" t="str">
        <f>IF(B3121="","",_xll.BDP(B3121,"INDUSTRY_SECTOR"))</f>
        <v/>
      </c>
      <c r="X3121" t="str">
        <f>IF($B3121="","",_xll.BDP($B3121,"INDUSTRY_GROUP"))</f>
        <v/>
      </c>
      <c r="Y3121" t="str">
        <f>IF($B3121="","",_xll.BDP($B3121,"INDUSTRY_SUBGROUP"))</f>
        <v/>
      </c>
      <c r="Z3121" t="str">
        <f>IF($B3121="","",_xll.BDP($B3121,"COUNTRY_FULL_NAME"))</f>
        <v/>
      </c>
    </row>
    <row r="3122" spans="23:26" x14ac:dyDescent="0.25">
      <c r="W3122" t="str">
        <f>IF(B3122="","",_xll.BDP(B3122,"INDUSTRY_SECTOR"))</f>
        <v/>
      </c>
      <c r="X3122" t="str">
        <f>IF($B3122="","",_xll.BDP($B3122,"INDUSTRY_GROUP"))</f>
        <v/>
      </c>
      <c r="Y3122" t="str">
        <f>IF($B3122="","",_xll.BDP($B3122,"INDUSTRY_SUBGROUP"))</f>
        <v/>
      </c>
      <c r="Z3122" t="str">
        <f>IF($B3122="","",_xll.BDP($B3122,"COUNTRY_FULL_NAME"))</f>
        <v/>
      </c>
    </row>
    <row r="3123" spans="23:26" x14ac:dyDescent="0.25">
      <c r="W3123" t="str">
        <f>IF(B3123="","",_xll.BDP(B3123,"INDUSTRY_SECTOR"))</f>
        <v/>
      </c>
      <c r="X3123" t="str">
        <f>IF($B3123="","",_xll.BDP($B3123,"INDUSTRY_GROUP"))</f>
        <v/>
      </c>
      <c r="Y3123" t="str">
        <f>IF($B3123="","",_xll.BDP($B3123,"INDUSTRY_SUBGROUP"))</f>
        <v/>
      </c>
      <c r="Z3123" t="str">
        <f>IF($B3123="","",_xll.BDP($B3123,"COUNTRY_FULL_NAME"))</f>
        <v/>
      </c>
    </row>
    <row r="3124" spans="23:26" x14ac:dyDescent="0.25">
      <c r="W3124" t="str">
        <f>IF(B3124="","",_xll.BDP(B3124,"INDUSTRY_SECTOR"))</f>
        <v/>
      </c>
      <c r="X3124" t="str">
        <f>IF($B3124="","",_xll.BDP($B3124,"INDUSTRY_GROUP"))</f>
        <v/>
      </c>
      <c r="Y3124" t="str">
        <f>IF($B3124="","",_xll.BDP($B3124,"INDUSTRY_SUBGROUP"))</f>
        <v/>
      </c>
      <c r="Z3124" t="str">
        <f>IF($B3124="","",_xll.BDP($B3124,"COUNTRY_FULL_NAME"))</f>
        <v/>
      </c>
    </row>
    <row r="3125" spans="23:26" x14ac:dyDescent="0.25">
      <c r="W3125" t="str">
        <f>IF(B3125="","",_xll.BDP(B3125,"INDUSTRY_SECTOR"))</f>
        <v/>
      </c>
      <c r="X3125" t="str">
        <f>IF($B3125="","",_xll.BDP($B3125,"INDUSTRY_GROUP"))</f>
        <v/>
      </c>
      <c r="Y3125" t="str">
        <f>IF($B3125="","",_xll.BDP($B3125,"INDUSTRY_SUBGROUP"))</f>
        <v/>
      </c>
      <c r="Z3125" t="str">
        <f>IF($B3125="","",_xll.BDP($B3125,"COUNTRY_FULL_NAME"))</f>
        <v/>
      </c>
    </row>
    <row r="3126" spans="23:26" x14ac:dyDescent="0.25">
      <c r="W3126" t="str">
        <f>IF(B3126="","",_xll.BDP(B3126,"INDUSTRY_SECTOR"))</f>
        <v/>
      </c>
      <c r="X3126" t="str">
        <f>IF($B3126="","",_xll.BDP($B3126,"INDUSTRY_GROUP"))</f>
        <v/>
      </c>
      <c r="Y3126" t="str">
        <f>IF($B3126="","",_xll.BDP($B3126,"INDUSTRY_SUBGROUP"))</f>
        <v/>
      </c>
      <c r="Z3126" t="str">
        <f>IF($B3126="","",_xll.BDP($B3126,"COUNTRY_FULL_NAME"))</f>
        <v/>
      </c>
    </row>
    <row r="3127" spans="23:26" x14ac:dyDescent="0.25">
      <c r="W3127" t="str">
        <f>IF(B3127="","",_xll.BDP(B3127,"INDUSTRY_SECTOR"))</f>
        <v/>
      </c>
      <c r="X3127" t="str">
        <f>IF($B3127="","",_xll.BDP($B3127,"INDUSTRY_GROUP"))</f>
        <v/>
      </c>
      <c r="Y3127" t="str">
        <f>IF($B3127="","",_xll.BDP($B3127,"INDUSTRY_SUBGROUP"))</f>
        <v/>
      </c>
      <c r="Z3127" t="str">
        <f>IF($B3127="","",_xll.BDP($B3127,"COUNTRY_FULL_NAME"))</f>
        <v/>
      </c>
    </row>
    <row r="3128" spans="23:26" x14ac:dyDescent="0.25">
      <c r="W3128" t="str">
        <f>IF(B3128="","",_xll.BDP(B3128,"INDUSTRY_SECTOR"))</f>
        <v/>
      </c>
      <c r="X3128" t="str">
        <f>IF($B3128="","",_xll.BDP($B3128,"INDUSTRY_GROUP"))</f>
        <v/>
      </c>
      <c r="Y3128" t="str">
        <f>IF($B3128="","",_xll.BDP($B3128,"INDUSTRY_SUBGROUP"))</f>
        <v/>
      </c>
      <c r="Z3128" t="str">
        <f>IF($B3128="","",_xll.BDP($B3128,"COUNTRY_FULL_NAME"))</f>
        <v/>
      </c>
    </row>
    <row r="3129" spans="23:26" x14ac:dyDescent="0.25">
      <c r="W3129" t="str">
        <f>IF(B3129="","",_xll.BDP(B3129,"INDUSTRY_SECTOR"))</f>
        <v/>
      </c>
      <c r="X3129" t="str">
        <f>IF($B3129="","",_xll.BDP($B3129,"INDUSTRY_GROUP"))</f>
        <v/>
      </c>
      <c r="Y3129" t="str">
        <f>IF($B3129="","",_xll.BDP($B3129,"INDUSTRY_SUBGROUP"))</f>
        <v/>
      </c>
      <c r="Z3129" t="str">
        <f>IF($B3129="","",_xll.BDP($B3129,"COUNTRY_FULL_NAME"))</f>
        <v/>
      </c>
    </row>
    <row r="3130" spans="23:26" x14ac:dyDescent="0.25">
      <c r="W3130" t="str">
        <f>IF(B3130="","",_xll.BDP(B3130,"INDUSTRY_SECTOR"))</f>
        <v/>
      </c>
      <c r="X3130" t="str">
        <f>IF($B3130="","",_xll.BDP($B3130,"INDUSTRY_GROUP"))</f>
        <v/>
      </c>
      <c r="Y3130" t="str">
        <f>IF($B3130="","",_xll.BDP($B3130,"INDUSTRY_SUBGROUP"))</f>
        <v/>
      </c>
      <c r="Z3130" t="str">
        <f>IF($B3130="","",_xll.BDP($B3130,"COUNTRY_FULL_NAME"))</f>
        <v/>
      </c>
    </row>
    <row r="3131" spans="23:26" x14ac:dyDescent="0.25">
      <c r="W3131" t="str">
        <f>IF(B3131="","",_xll.BDP(B3131,"INDUSTRY_SECTOR"))</f>
        <v/>
      </c>
      <c r="X3131" t="str">
        <f>IF($B3131="","",_xll.BDP($B3131,"INDUSTRY_GROUP"))</f>
        <v/>
      </c>
      <c r="Y3131" t="str">
        <f>IF($B3131="","",_xll.BDP($B3131,"INDUSTRY_SUBGROUP"))</f>
        <v/>
      </c>
      <c r="Z3131" t="str">
        <f>IF($B3131="","",_xll.BDP($B3131,"COUNTRY_FULL_NAME"))</f>
        <v/>
      </c>
    </row>
    <row r="3132" spans="23:26" x14ac:dyDescent="0.25">
      <c r="W3132" t="str">
        <f>IF(B3132="","",_xll.BDP(B3132,"INDUSTRY_SECTOR"))</f>
        <v/>
      </c>
      <c r="X3132" t="str">
        <f>IF($B3132="","",_xll.BDP($B3132,"INDUSTRY_GROUP"))</f>
        <v/>
      </c>
      <c r="Y3132" t="str">
        <f>IF($B3132="","",_xll.BDP($B3132,"INDUSTRY_SUBGROUP"))</f>
        <v/>
      </c>
      <c r="Z3132" t="str">
        <f>IF($B3132="","",_xll.BDP($B3132,"COUNTRY_FULL_NAME"))</f>
        <v/>
      </c>
    </row>
    <row r="3133" spans="23:26" x14ac:dyDescent="0.25">
      <c r="W3133" t="str">
        <f>IF(B3133="","",_xll.BDP(B3133,"INDUSTRY_SECTOR"))</f>
        <v/>
      </c>
      <c r="X3133" t="str">
        <f>IF($B3133="","",_xll.BDP($B3133,"INDUSTRY_GROUP"))</f>
        <v/>
      </c>
      <c r="Y3133" t="str">
        <f>IF($B3133="","",_xll.BDP($B3133,"INDUSTRY_SUBGROUP"))</f>
        <v/>
      </c>
      <c r="Z3133" t="str">
        <f>IF($B3133="","",_xll.BDP($B3133,"COUNTRY_FULL_NAME"))</f>
        <v/>
      </c>
    </row>
    <row r="3134" spans="23:26" x14ac:dyDescent="0.25">
      <c r="W3134" t="str">
        <f>IF(B3134="","",_xll.BDP(B3134,"INDUSTRY_SECTOR"))</f>
        <v/>
      </c>
      <c r="X3134" t="str">
        <f>IF($B3134="","",_xll.BDP($B3134,"INDUSTRY_GROUP"))</f>
        <v/>
      </c>
      <c r="Y3134" t="str">
        <f>IF($B3134="","",_xll.BDP($B3134,"INDUSTRY_SUBGROUP"))</f>
        <v/>
      </c>
      <c r="Z3134" t="str">
        <f>IF($B3134="","",_xll.BDP($B3134,"COUNTRY_FULL_NAME"))</f>
        <v/>
      </c>
    </row>
    <row r="3135" spans="23:26" x14ac:dyDescent="0.25">
      <c r="W3135" t="str">
        <f>IF(B3135="","",_xll.BDP(B3135,"INDUSTRY_SECTOR"))</f>
        <v/>
      </c>
      <c r="X3135" t="str">
        <f>IF($B3135="","",_xll.BDP($B3135,"INDUSTRY_GROUP"))</f>
        <v/>
      </c>
      <c r="Y3135" t="str">
        <f>IF($B3135="","",_xll.BDP($B3135,"INDUSTRY_SUBGROUP"))</f>
        <v/>
      </c>
      <c r="Z3135" t="str">
        <f>IF($B3135="","",_xll.BDP($B3135,"COUNTRY_FULL_NAME"))</f>
        <v/>
      </c>
    </row>
    <row r="3136" spans="23:26" x14ac:dyDescent="0.25">
      <c r="W3136" t="str">
        <f>IF(B3136="","",_xll.BDP(B3136,"INDUSTRY_SECTOR"))</f>
        <v/>
      </c>
      <c r="X3136" t="str">
        <f>IF($B3136="","",_xll.BDP($B3136,"INDUSTRY_GROUP"))</f>
        <v/>
      </c>
      <c r="Y3136" t="str">
        <f>IF($B3136="","",_xll.BDP($B3136,"INDUSTRY_SUBGROUP"))</f>
        <v/>
      </c>
      <c r="Z3136" t="str">
        <f>IF($B3136="","",_xll.BDP($B3136,"COUNTRY_FULL_NAME"))</f>
        <v/>
      </c>
    </row>
    <row r="3137" spans="23:26" x14ac:dyDescent="0.25">
      <c r="W3137" t="str">
        <f>IF(B3137="","",_xll.BDP(B3137,"INDUSTRY_SECTOR"))</f>
        <v/>
      </c>
      <c r="X3137" t="str">
        <f>IF($B3137="","",_xll.BDP($B3137,"INDUSTRY_GROUP"))</f>
        <v/>
      </c>
      <c r="Y3137" t="str">
        <f>IF($B3137="","",_xll.BDP($B3137,"INDUSTRY_SUBGROUP"))</f>
        <v/>
      </c>
      <c r="Z3137" t="str">
        <f>IF($B3137="","",_xll.BDP($B3137,"COUNTRY_FULL_NAME"))</f>
        <v/>
      </c>
    </row>
    <row r="3138" spans="23:26" x14ac:dyDescent="0.25">
      <c r="W3138" t="str">
        <f>IF(B3138="","",_xll.BDP(B3138,"INDUSTRY_SECTOR"))</f>
        <v/>
      </c>
      <c r="X3138" t="str">
        <f>IF($B3138="","",_xll.BDP($B3138,"INDUSTRY_GROUP"))</f>
        <v/>
      </c>
      <c r="Y3138" t="str">
        <f>IF($B3138="","",_xll.BDP($B3138,"INDUSTRY_SUBGROUP"))</f>
        <v/>
      </c>
      <c r="Z3138" t="str">
        <f>IF($B3138="","",_xll.BDP($B3138,"COUNTRY_FULL_NAME"))</f>
        <v/>
      </c>
    </row>
    <row r="3139" spans="23:26" x14ac:dyDescent="0.25">
      <c r="W3139" t="str">
        <f>IF(B3139="","",_xll.BDP(B3139,"INDUSTRY_SECTOR"))</f>
        <v/>
      </c>
      <c r="X3139" t="str">
        <f>IF($B3139="","",_xll.BDP($B3139,"INDUSTRY_GROUP"))</f>
        <v/>
      </c>
      <c r="Y3139" t="str">
        <f>IF($B3139="","",_xll.BDP($B3139,"INDUSTRY_SUBGROUP"))</f>
        <v/>
      </c>
      <c r="Z3139" t="str">
        <f>IF($B3139="","",_xll.BDP($B3139,"COUNTRY_FULL_NAME"))</f>
        <v/>
      </c>
    </row>
    <row r="3140" spans="23:26" x14ac:dyDescent="0.25">
      <c r="W3140" t="str">
        <f>IF(B3140="","",_xll.BDP(B3140,"INDUSTRY_SECTOR"))</f>
        <v/>
      </c>
      <c r="X3140" t="str">
        <f>IF($B3140="","",_xll.BDP($B3140,"INDUSTRY_GROUP"))</f>
        <v/>
      </c>
      <c r="Y3140" t="str">
        <f>IF($B3140="","",_xll.BDP($B3140,"INDUSTRY_SUBGROUP"))</f>
        <v/>
      </c>
      <c r="Z3140" t="str">
        <f>IF($B3140="","",_xll.BDP($B3140,"COUNTRY_FULL_NAME"))</f>
        <v/>
      </c>
    </row>
    <row r="3141" spans="23:26" x14ac:dyDescent="0.25">
      <c r="W3141" t="str">
        <f>IF(B3141="","",_xll.BDP(B3141,"INDUSTRY_SECTOR"))</f>
        <v/>
      </c>
      <c r="X3141" t="str">
        <f>IF($B3141="","",_xll.BDP($B3141,"INDUSTRY_GROUP"))</f>
        <v/>
      </c>
      <c r="Y3141" t="str">
        <f>IF($B3141="","",_xll.BDP($B3141,"INDUSTRY_SUBGROUP"))</f>
        <v/>
      </c>
      <c r="Z3141" t="str">
        <f>IF($B3141="","",_xll.BDP($B3141,"COUNTRY_FULL_NAME"))</f>
        <v/>
      </c>
    </row>
    <row r="3142" spans="23:26" x14ac:dyDescent="0.25">
      <c r="W3142" t="str">
        <f>IF(B3142="","",_xll.BDP(B3142,"INDUSTRY_SECTOR"))</f>
        <v/>
      </c>
      <c r="X3142" t="str">
        <f>IF($B3142="","",_xll.BDP($B3142,"INDUSTRY_GROUP"))</f>
        <v/>
      </c>
      <c r="Y3142" t="str">
        <f>IF($B3142="","",_xll.BDP($B3142,"INDUSTRY_SUBGROUP"))</f>
        <v/>
      </c>
      <c r="Z3142" t="str">
        <f>IF($B3142="","",_xll.BDP($B3142,"COUNTRY_FULL_NAME"))</f>
        <v/>
      </c>
    </row>
    <row r="3143" spans="23:26" x14ac:dyDescent="0.25">
      <c r="W3143" t="str">
        <f>IF(B3143="","",_xll.BDP(B3143,"INDUSTRY_SECTOR"))</f>
        <v/>
      </c>
      <c r="X3143" t="str">
        <f>IF($B3143="","",_xll.BDP($B3143,"INDUSTRY_GROUP"))</f>
        <v/>
      </c>
      <c r="Y3143" t="str">
        <f>IF($B3143="","",_xll.BDP($B3143,"INDUSTRY_SUBGROUP"))</f>
        <v/>
      </c>
      <c r="Z3143" t="str">
        <f>IF($B3143="","",_xll.BDP($B3143,"COUNTRY_FULL_NAME"))</f>
        <v/>
      </c>
    </row>
    <row r="3144" spans="23:26" x14ac:dyDescent="0.25">
      <c r="W3144" t="str">
        <f>IF(B3144="","",_xll.BDP(B3144,"INDUSTRY_SECTOR"))</f>
        <v/>
      </c>
      <c r="X3144" t="str">
        <f>IF($B3144="","",_xll.BDP($B3144,"INDUSTRY_GROUP"))</f>
        <v/>
      </c>
      <c r="Y3144" t="str">
        <f>IF($B3144="","",_xll.BDP($B3144,"INDUSTRY_SUBGROUP"))</f>
        <v/>
      </c>
      <c r="Z3144" t="str">
        <f>IF($B3144="","",_xll.BDP($B3144,"COUNTRY_FULL_NAME"))</f>
        <v/>
      </c>
    </row>
    <row r="3145" spans="23:26" x14ac:dyDescent="0.25">
      <c r="W3145" t="str">
        <f>IF(B3145="","",_xll.BDP(B3145,"INDUSTRY_SECTOR"))</f>
        <v/>
      </c>
      <c r="X3145" t="str">
        <f>IF($B3145="","",_xll.BDP($B3145,"INDUSTRY_GROUP"))</f>
        <v/>
      </c>
      <c r="Y3145" t="str">
        <f>IF($B3145="","",_xll.BDP($B3145,"INDUSTRY_SUBGROUP"))</f>
        <v/>
      </c>
      <c r="Z3145" t="str">
        <f>IF($B3145="","",_xll.BDP($B3145,"COUNTRY_FULL_NAME"))</f>
        <v/>
      </c>
    </row>
    <row r="3146" spans="23:26" x14ac:dyDescent="0.25">
      <c r="W3146" t="str">
        <f>IF(B3146="","",_xll.BDP(B3146,"INDUSTRY_SECTOR"))</f>
        <v/>
      </c>
      <c r="X3146" t="str">
        <f>IF($B3146="","",_xll.BDP($B3146,"INDUSTRY_GROUP"))</f>
        <v/>
      </c>
      <c r="Y3146" t="str">
        <f>IF($B3146="","",_xll.BDP($B3146,"INDUSTRY_SUBGROUP"))</f>
        <v/>
      </c>
      <c r="Z3146" t="str">
        <f>IF($B3146="","",_xll.BDP($B3146,"COUNTRY_FULL_NAME"))</f>
        <v/>
      </c>
    </row>
    <row r="3147" spans="23:26" x14ac:dyDescent="0.25">
      <c r="W3147" t="str">
        <f>IF(B3147="","",_xll.BDP(B3147,"INDUSTRY_SECTOR"))</f>
        <v/>
      </c>
      <c r="X3147" t="str">
        <f>IF($B3147="","",_xll.BDP($B3147,"INDUSTRY_GROUP"))</f>
        <v/>
      </c>
      <c r="Y3147" t="str">
        <f>IF($B3147="","",_xll.BDP($B3147,"INDUSTRY_SUBGROUP"))</f>
        <v/>
      </c>
      <c r="Z3147" t="str">
        <f>IF($B3147="","",_xll.BDP($B3147,"COUNTRY_FULL_NAME"))</f>
        <v/>
      </c>
    </row>
    <row r="3148" spans="23:26" x14ac:dyDescent="0.25">
      <c r="W3148" t="str">
        <f>IF(B3148="","",_xll.BDP(B3148,"INDUSTRY_SECTOR"))</f>
        <v/>
      </c>
      <c r="X3148" t="str">
        <f>IF($B3148="","",_xll.BDP($B3148,"INDUSTRY_GROUP"))</f>
        <v/>
      </c>
      <c r="Y3148" t="str">
        <f>IF($B3148="","",_xll.BDP($B3148,"INDUSTRY_SUBGROUP"))</f>
        <v/>
      </c>
      <c r="Z3148" t="str">
        <f>IF($B3148="","",_xll.BDP($B3148,"COUNTRY_FULL_NAME"))</f>
        <v/>
      </c>
    </row>
    <row r="3149" spans="23:26" x14ac:dyDescent="0.25">
      <c r="W3149" t="str">
        <f>IF(B3149="","",_xll.BDP(B3149,"INDUSTRY_SECTOR"))</f>
        <v/>
      </c>
      <c r="X3149" t="str">
        <f>IF($B3149="","",_xll.BDP($B3149,"INDUSTRY_GROUP"))</f>
        <v/>
      </c>
      <c r="Y3149" t="str">
        <f>IF($B3149="","",_xll.BDP($B3149,"INDUSTRY_SUBGROUP"))</f>
        <v/>
      </c>
      <c r="Z3149" t="str">
        <f>IF($B3149="","",_xll.BDP($B3149,"COUNTRY_FULL_NAME"))</f>
        <v/>
      </c>
    </row>
    <row r="3150" spans="23:26" x14ac:dyDescent="0.25">
      <c r="W3150" t="str">
        <f>IF(B3150="","",_xll.BDP(B3150,"INDUSTRY_SECTOR"))</f>
        <v/>
      </c>
      <c r="X3150" t="str">
        <f>IF($B3150="","",_xll.BDP($B3150,"INDUSTRY_GROUP"))</f>
        <v/>
      </c>
      <c r="Y3150" t="str">
        <f>IF($B3150="","",_xll.BDP($B3150,"INDUSTRY_SUBGROUP"))</f>
        <v/>
      </c>
      <c r="Z3150" t="str">
        <f>IF($B3150="","",_xll.BDP($B3150,"COUNTRY_FULL_NAME"))</f>
        <v/>
      </c>
    </row>
    <row r="3151" spans="23:26" x14ac:dyDescent="0.25">
      <c r="W3151" t="str">
        <f>IF(B3151="","",_xll.BDP(B3151,"INDUSTRY_SECTOR"))</f>
        <v/>
      </c>
      <c r="X3151" t="str">
        <f>IF($B3151="","",_xll.BDP($B3151,"INDUSTRY_GROUP"))</f>
        <v/>
      </c>
      <c r="Y3151" t="str">
        <f>IF($B3151="","",_xll.BDP($B3151,"INDUSTRY_SUBGROUP"))</f>
        <v/>
      </c>
      <c r="Z3151" t="str">
        <f>IF($B3151="","",_xll.BDP($B3151,"COUNTRY_FULL_NAME"))</f>
        <v/>
      </c>
    </row>
    <row r="3152" spans="23:26" x14ac:dyDescent="0.25">
      <c r="W3152" t="str">
        <f>IF(B3152="","",_xll.BDP(B3152,"INDUSTRY_SECTOR"))</f>
        <v/>
      </c>
      <c r="X3152" t="str">
        <f>IF($B3152="","",_xll.BDP($B3152,"INDUSTRY_GROUP"))</f>
        <v/>
      </c>
      <c r="Y3152" t="str">
        <f>IF($B3152="","",_xll.BDP($B3152,"INDUSTRY_SUBGROUP"))</f>
        <v/>
      </c>
      <c r="Z3152" t="str">
        <f>IF($B3152="","",_xll.BDP($B3152,"COUNTRY_FULL_NAME"))</f>
        <v/>
      </c>
    </row>
    <row r="3153" spans="23:26" x14ac:dyDescent="0.25">
      <c r="W3153" t="str">
        <f>IF(B3153="","",_xll.BDP(B3153,"INDUSTRY_SECTOR"))</f>
        <v/>
      </c>
      <c r="X3153" t="str">
        <f>IF($B3153="","",_xll.BDP($B3153,"INDUSTRY_GROUP"))</f>
        <v/>
      </c>
      <c r="Y3153" t="str">
        <f>IF($B3153="","",_xll.BDP($B3153,"INDUSTRY_SUBGROUP"))</f>
        <v/>
      </c>
      <c r="Z3153" t="str">
        <f>IF($B3153="","",_xll.BDP($B3153,"COUNTRY_FULL_NAME"))</f>
        <v/>
      </c>
    </row>
    <row r="3154" spans="23:26" x14ac:dyDescent="0.25">
      <c r="W3154" t="str">
        <f>IF(B3154="","",_xll.BDP(B3154,"INDUSTRY_SECTOR"))</f>
        <v/>
      </c>
      <c r="X3154" t="str">
        <f>IF($B3154="","",_xll.BDP($B3154,"INDUSTRY_GROUP"))</f>
        <v/>
      </c>
      <c r="Y3154" t="str">
        <f>IF($B3154="","",_xll.BDP($B3154,"INDUSTRY_SUBGROUP"))</f>
        <v/>
      </c>
      <c r="Z3154" t="str">
        <f>IF($B3154="","",_xll.BDP($B3154,"COUNTRY_FULL_NAME"))</f>
        <v/>
      </c>
    </row>
    <row r="3155" spans="23:26" x14ac:dyDescent="0.25">
      <c r="W3155" t="str">
        <f>IF(B3155="","",_xll.BDP(B3155,"INDUSTRY_SECTOR"))</f>
        <v/>
      </c>
      <c r="X3155" t="str">
        <f>IF($B3155="","",_xll.BDP($B3155,"INDUSTRY_GROUP"))</f>
        <v/>
      </c>
      <c r="Y3155" t="str">
        <f>IF($B3155="","",_xll.BDP($B3155,"INDUSTRY_SUBGROUP"))</f>
        <v/>
      </c>
      <c r="Z3155" t="str">
        <f>IF($B3155="","",_xll.BDP($B3155,"COUNTRY_FULL_NAME"))</f>
        <v/>
      </c>
    </row>
    <row r="3156" spans="23:26" x14ac:dyDescent="0.25">
      <c r="W3156" t="str">
        <f>IF(B3156="","",_xll.BDP(B3156,"INDUSTRY_SECTOR"))</f>
        <v/>
      </c>
      <c r="X3156" t="str">
        <f>IF($B3156="","",_xll.BDP($B3156,"INDUSTRY_GROUP"))</f>
        <v/>
      </c>
      <c r="Y3156" t="str">
        <f>IF($B3156="","",_xll.BDP($B3156,"INDUSTRY_SUBGROUP"))</f>
        <v/>
      </c>
      <c r="Z3156" t="str">
        <f>IF($B3156="","",_xll.BDP($B3156,"COUNTRY_FULL_NAME"))</f>
        <v/>
      </c>
    </row>
    <row r="3157" spans="23:26" x14ac:dyDescent="0.25">
      <c r="W3157" t="str">
        <f>IF(B3157="","",_xll.BDP(B3157,"INDUSTRY_SECTOR"))</f>
        <v/>
      </c>
      <c r="X3157" t="str">
        <f>IF($B3157="","",_xll.BDP($B3157,"INDUSTRY_GROUP"))</f>
        <v/>
      </c>
      <c r="Y3157" t="str">
        <f>IF($B3157="","",_xll.BDP($B3157,"INDUSTRY_SUBGROUP"))</f>
        <v/>
      </c>
      <c r="Z3157" t="str">
        <f>IF($B3157="","",_xll.BDP($B3157,"COUNTRY_FULL_NAME"))</f>
        <v/>
      </c>
    </row>
    <row r="3158" spans="23:26" x14ac:dyDescent="0.25">
      <c r="W3158" t="str">
        <f>IF(B3158="","",_xll.BDP(B3158,"INDUSTRY_SECTOR"))</f>
        <v/>
      </c>
      <c r="X3158" t="str">
        <f>IF($B3158="","",_xll.BDP($B3158,"INDUSTRY_GROUP"))</f>
        <v/>
      </c>
      <c r="Y3158" t="str">
        <f>IF($B3158="","",_xll.BDP($B3158,"INDUSTRY_SUBGROUP"))</f>
        <v/>
      </c>
      <c r="Z3158" t="str">
        <f>IF($B3158="","",_xll.BDP($B3158,"COUNTRY_FULL_NAME"))</f>
        <v/>
      </c>
    </row>
    <row r="3159" spans="23:26" x14ac:dyDescent="0.25">
      <c r="W3159" t="str">
        <f>IF(B3159="","",_xll.BDP(B3159,"INDUSTRY_SECTOR"))</f>
        <v/>
      </c>
      <c r="X3159" t="str">
        <f>IF($B3159="","",_xll.BDP($B3159,"INDUSTRY_GROUP"))</f>
        <v/>
      </c>
      <c r="Y3159" t="str">
        <f>IF($B3159="","",_xll.BDP($B3159,"INDUSTRY_SUBGROUP"))</f>
        <v/>
      </c>
      <c r="Z3159" t="str">
        <f>IF($B3159="","",_xll.BDP($B3159,"COUNTRY_FULL_NAME"))</f>
        <v/>
      </c>
    </row>
    <row r="3160" spans="23:26" x14ac:dyDescent="0.25">
      <c r="W3160" t="str">
        <f>IF(B3160="","",_xll.BDP(B3160,"INDUSTRY_SECTOR"))</f>
        <v/>
      </c>
      <c r="X3160" t="str">
        <f>IF($B3160="","",_xll.BDP($B3160,"INDUSTRY_GROUP"))</f>
        <v/>
      </c>
      <c r="Y3160" t="str">
        <f>IF($B3160="","",_xll.BDP($B3160,"INDUSTRY_SUBGROUP"))</f>
        <v/>
      </c>
      <c r="Z3160" t="str">
        <f>IF($B3160="","",_xll.BDP($B3160,"COUNTRY_FULL_NAME"))</f>
        <v/>
      </c>
    </row>
    <row r="3161" spans="23:26" x14ac:dyDescent="0.25">
      <c r="W3161" t="str">
        <f>IF(B3161="","",_xll.BDP(B3161,"INDUSTRY_SECTOR"))</f>
        <v/>
      </c>
      <c r="X3161" t="str">
        <f>IF($B3161="","",_xll.BDP($B3161,"INDUSTRY_GROUP"))</f>
        <v/>
      </c>
      <c r="Y3161" t="str">
        <f>IF($B3161="","",_xll.BDP($B3161,"INDUSTRY_SUBGROUP"))</f>
        <v/>
      </c>
      <c r="Z3161" t="str">
        <f>IF($B3161="","",_xll.BDP($B3161,"COUNTRY_FULL_NAME"))</f>
        <v/>
      </c>
    </row>
    <row r="3162" spans="23:26" x14ac:dyDescent="0.25">
      <c r="W3162" t="str">
        <f>IF(B3162="","",_xll.BDP(B3162,"INDUSTRY_SECTOR"))</f>
        <v/>
      </c>
      <c r="X3162" t="str">
        <f>IF($B3162="","",_xll.BDP($B3162,"INDUSTRY_GROUP"))</f>
        <v/>
      </c>
      <c r="Y3162" t="str">
        <f>IF($B3162="","",_xll.BDP($B3162,"INDUSTRY_SUBGROUP"))</f>
        <v/>
      </c>
      <c r="Z3162" t="str">
        <f>IF($B3162="","",_xll.BDP($B3162,"COUNTRY_FULL_NAME"))</f>
        <v/>
      </c>
    </row>
    <row r="3163" spans="23:26" x14ac:dyDescent="0.25">
      <c r="W3163" t="str">
        <f>IF(B3163="","",_xll.BDP(B3163,"INDUSTRY_SECTOR"))</f>
        <v/>
      </c>
      <c r="X3163" t="str">
        <f>IF($B3163="","",_xll.BDP($B3163,"INDUSTRY_GROUP"))</f>
        <v/>
      </c>
      <c r="Y3163" t="str">
        <f>IF($B3163="","",_xll.BDP($B3163,"INDUSTRY_SUBGROUP"))</f>
        <v/>
      </c>
      <c r="Z3163" t="str">
        <f>IF($B3163="","",_xll.BDP($B3163,"COUNTRY_FULL_NAME"))</f>
        <v/>
      </c>
    </row>
    <row r="3164" spans="23:26" x14ac:dyDescent="0.25">
      <c r="W3164" t="str">
        <f>IF(B3164="","",_xll.BDP(B3164,"INDUSTRY_SECTOR"))</f>
        <v/>
      </c>
      <c r="X3164" t="str">
        <f>IF($B3164="","",_xll.BDP($B3164,"INDUSTRY_GROUP"))</f>
        <v/>
      </c>
      <c r="Y3164" t="str">
        <f>IF($B3164="","",_xll.BDP($B3164,"INDUSTRY_SUBGROUP"))</f>
        <v/>
      </c>
      <c r="Z3164" t="str">
        <f>IF($B3164="","",_xll.BDP($B3164,"COUNTRY_FULL_NAME"))</f>
        <v/>
      </c>
    </row>
    <row r="3165" spans="23:26" x14ac:dyDescent="0.25">
      <c r="W3165" t="str">
        <f>IF(B3165="","",_xll.BDP(B3165,"INDUSTRY_SECTOR"))</f>
        <v/>
      </c>
      <c r="X3165" t="str">
        <f>IF($B3165="","",_xll.BDP($B3165,"INDUSTRY_GROUP"))</f>
        <v/>
      </c>
      <c r="Y3165" t="str">
        <f>IF($B3165="","",_xll.BDP($B3165,"INDUSTRY_SUBGROUP"))</f>
        <v/>
      </c>
      <c r="Z3165" t="str">
        <f>IF($B3165="","",_xll.BDP($B3165,"COUNTRY_FULL_NAME"))</f>
        <v/>
      </c>
    </row>
    <row r="3166" spans="23:26" x14ac:dyDescent="0.25">
      <c r="W3166" t="str">
        <f>IF(B3166="","",_xll.BDP(B3166,"INDUSTRY_SECTOR"))</f>
        <v/>
      </c>
      <c r="X3166" t="str">
        <f>IF($B3166="","",_xll.BDP($B3166,"INDUSTRY_GROUP"))</f>
        <v/>
      </c>
      <c r="Y3166" t="str">
        <f>IF($B3166="","",_xll.BDP($B3166,"INDUSTRY_SUBGROUP"))</f>
        <v/>
      </c>
      <c r="Z3166" t="str">
        <f>IF($B3166="","",_xll.BDP($B3166,"COUNTRY_FULL_NAME"))</f>
        <v/>
      </c>
    </row>
    <row r="3167" spans="23:26" x14ac:dyDescent="0.25">
      <c r="W3167" t="str">
        <f>IF(B3167="","",_xll.BDP(B3167,"INDUSTRY_SECTOR"))</f>
        <v/>
      </c>
      <c r="X3167" t="str">
        <f>IF($B3167="","",_xll.BDP($B3167,"INDUSTRY_GROUP"))</f>
        <v/>
      </c>
      <c r="Y3167" t="str">
        <f>IF($B3167="","",_xll.BDP($B3167,"INDUSTRY_SUBGROUP"))</f>
        <v/>
      </c>
      <c r="Z3167" t="str">
        <f>IF($B3167="","",_xll.BDP($B3167,"COUNTRY_FULL_NAME"))</f>
        <v/>
      </c>
    </row>
    <row r="3168" spans="23:26" x14ac:dyDescent="0.25">
      <c r="W3168" t="str">
        <f>IF(B3168="","",_xll.BDP(B3168,"INDUSTRY_SECTOR"))</f>
        <v/>
      </c>
      <c r="X3168" t="str">
        <f>IF($B3168="","",_xll.BDP($B3168,"INDUSTRY_GROUP"))</f>
        <v/>
      </c>
      <c r="Y3168" t="str">
        <f>IF($B3168="","",_xll.BDP($B3168,"INDUSTRY_SUBGROUP"))</f>
        <v/>
      </c>
      <c r="Z3168" t="str">
        <f>IF($B3168="","",_xll.BDP($B3168,"COUNTRY_FULL_NAME"))</f>
        <v/>
      </c>
    </row>
    <row r="3169" spans="23:26" x14ac:dyDescent="0.25">
      <c r="W3169" t="str">
        <f>IF(B3169="","",_xll.BDP(B3169,"INDUSTRY_SECTOR"))</f>
        <v/>
      </c>
      <c r="X3169" t="str">
        <f>IF($B3169="","",_xll.BDP($B3169,"INDUSTRY_GROUP"))</f>
        <v/>
      </c>
      <c r="Y3169" t="str">
        <f>IF($B3169="","",_xll.BDP($B3169,"INDUSTRY_SUBGROUP"))</f>
        <v/>
      </c>
      <c r="Z3169" t="str">
        <f>IF($B3169="","",_xll.BDP($B3169,"COUNTRY_FULL_NAME"))</f>
        <v/>
      </c>
    </row>
    <row r="3170" spans="23:26" x14ac:dyDescent="0.25">
      <c r="W3170" t="str">
        <f>IF(B3170="","",_xll.BDP(B3170,"INDUSTRY_SECTOR"))</f>
        <v/>
      </c>
      <c r="X3170" t="str">
        <f>IF($B3170="","",_xll.BDP($B3170,"INDUSTRY_GROUP"))</f>
        <v/>
      </c>
      <c r="Y3170" t="str">
        <f>IF($B3170="","",_xll.BDP($B3170,"INDUSTRY_SUBGROUP"))</f>
        <v/>
      </c>
      <c r="Z3170" t="str">
        <f>IF($B3170="","",_xll.BDP($B3170,"COUNTRY_FULL_NAME"))</f>
        <v/>
      </c>
    </row>
    <row r="3171" spans="23:26" x14ac:dyDescent="0.25">
      <c r="W3171" t="str">
        <f>IF(B3171="","",_xll.BDP(B3171,"INDUSTRY_SECTOR"))</f>
        <v/>
      </c>
      <c r="X3171" t="str">
        <f>IF($B3171="","",_xll.BDP($B3171,"INDUSTRY_GROUP"))</f>
        <v/>
      </c>
      <c r="Y3171" t="str">
        <f>IF($B3171="","",_xll.BDP($B3171,"INDUSTRY_SUBGROUP"))</f>
        <v/>
      </c>
      <c r="Z3171" t="str">
        <f>IF($B3171="","",_xll.BDP($B3171,"COUNTRY_FULL_NAME"))</f>
        <v/>
      </c>
    </row>
    <row r="3172" spans="23:26" x14ac:dyDescent="0.25">
      <c r="W3172" t="str">
        <f>IF(B3172="","",_xll.BDP(B3172,"INDUSTRY_SECTOR"))</f>
        <v/>
      </c>
      <c r="X3172" t="str">
        <f>IF($B3172="","",_xll.BDP($B3172,"INDUSTRY_GROUP"))</f>
        <v/>
      </c>
      <c r="Y3172" t="str">
        <f>IF($B3172="","",_xll.BDP($B3172,"INDUSTRY_SUBGROUP"))</f>
        <v/>
      </c>
      <c r="Z3172" t="str">
        <f>IF($B3172="","",_xll.BDP($B3172,"COUNTRY_FULL_NAME"))</f>
        <v/>
      </c>
    </row>
    <row r="3173" spans="23:26" x14ac:dyDescent="0.25">
      <c r="W3173" t="str">
        <f>IF(B3173="","",_xll.BDP(B3173,"INDUSTRY_SECTOR"))</f>
        <v/>
      </c>
      <c r="X3173" t="str">
        <f>IF($B3173="","",_xll.BDP($B3173,"INDUSTRY_GROUP"))</f>
        <v/>
      </c>
      <c r="Y3173" t="str">
        <f>IF($B3173="","",_xll.BDP($B3173,"INDUSTRY_SUBGROUP"))</f>
        <v/>
      </c>
      <c r="Z3173" t="str">
        <f>IF($B3173="","",_xll.BDP($B3173,"COUNTRY_FULL_NAME"))</f>
        <v/>
      </c>
    </row>
    <row r="3174" spans="23:26" x14ac:dyDescent="0.25">
      <c r="W3174" t="str">
        <f>IF(B3174="","",_xll.BDP(B3174,"INDUSTRY_SECTOR"))</f>
        <v/>
      </c>
      <c r="X3174" t="str">
        <f>IF($B3174="","",_xll.BDP($B3174,"INDUSTRY_GROUP"))</f>
        <v/>
      </c>
      <c r="Y3174" t="str">
        <f>IF($B3174="","",_xll.BDP($B3174,"INDUSTRY_SUBGROUP"))</f>
        <v/>
      </c>
      <c r="Z3174" t="str">
        <f>IF($B3174="","",_xll.BDP($B3174,"COUNTRY_FULL_NAME"))</f>
        <v/>
      </c>
    </row>
    <row r="3175" spans="23:26" x14ac:dyDescent="0.25">
      <c r="W3175" t="str">
        <f>IF(B3175="","",_xll.BDP(B3175,"INDUSTRY_SECTOR"))</f>
        <v/>
      </c>
      <c r="X3175" t="str">
        <f>IF($B3175="","",_xll.BDP($B3175,"INDUSTRY_GROUP"))</f>
        <v/>
      </c>
      <c r="Y3175" t="str">
        <f>IF($B3175="","",_xll.BDP($B3175,"INDUSTRY_SUBGROUP"))</f>
        <v/>
      </c>
      <c r="Z3175" t="str">
        <f>IF($B3175="","",_xll.BDP($B3175,"COUNTRY_FULL_NAME"))</f>
        <v/>
      </c>
    </row>
    <row r="3176" spans="23:26" x14ac:dyDescent="0.25">
      <c r="W3176" t="str">
        <f>IF(B3176="","",_xll.BDP(B3176,"INDUSTRY_SECTOR"))</f>
        <v/>
      </c>
      <c r="X3176" t="str">
        <f>IF($B3176="","",_xll.BDP($B3176,"INDUSTRY_GROUP"))</f>
        <v/>
      </c>
      <c r="Y3176" t="str">
        <f>IF($B3176="","",_xll.BDP($B3176,"INDUSTRY_SUBGROUP"))</f>
        <v/>
      </c>
      <c r="Z3176" t="str">
        <f>IF($B3176="","",_xll.BDP($B3176,"COUNTRY_FULL_NAME"))</f>
        <v/>
      </c>
    </row>
    <row r="3177" spans="23:26" x14ac:dyDescent="0.25">
      <c r="W3177" t="str">
        <f>IF(B3177="","",_xll.BDP(B3177,"INDUSTRY_SECTOR"))</f>
        <v/>
      </c>
      <c r="X3177" t="str">
        <f>IF($B3177="","",_xll.BDP($B3177,"INDUSTRY_GROUP"))</f>
        <v/>
      </c>
      <c r="Y3177" t="str">
        <f>IF($B3177="","",_xll.BDP($B3177,"INDUSTRY_SUBGROUP"))</f>
        <v/>
      </c>
      <c r="Z3177" t="str">
        <f>IF($B3177="","",_xll.BDP($B3177,"COUNTRY_FULL_NAME"))</f>
        <v/>
      </c>
    </row>
    <row r="3178" spans="23:26" x14ac:dyDescent="0.25">
      <c r="W3178" t="str">
        <f>IF(B3178="","",_xll.BDP(B3178,"INDUSTRY_SECTOR"))</f>
        <v/>
      </c>
      <c r="X3178" t="str">
        <f>IF($B3178="","",_xll.BDP($B3178,"INDUSTRY_GROUP"))</f>
        <v/>
      </c>
      <c r="Y3178" t="str">
        <f>IF($B3178="","",_xll.BDP($B3178,"INDUSTRY_SUBGROUP"))</f>
        <v/>
      </c>
      <c r="Z3178" t="str">
        <f>IF($B3178="","",_xll.BDP($B3178,"COUNTRY_FULL_NAME"))</f>
        <v/>
      </c>
    </row>
    <row r="3179" spans="23:26" x14ac:dyDescent="0.25">
      <c r="W3179" t="str">
        <f>IF(B3179="","",_xll.BDP(B3179,"INDUSTRY_SECTOR"))</f>
        <v/>
      </c>
      <c r="X3179" t="str">
        <f>IF($B3179="","",_xll.BDP($B3179,"INDUSTRY_GROUP"))</f>
        <v/>
      </c>
      <c r="Y3179" t="str">
        <f>IF($B3179="","",_xll.BDP($B3179,"INDUSTRY_SUBGROUP"))</f>
        <v/>
      </c>
      <c r="Z3179" t="str">
        <f>IF($B3179="","",_xll.BDP($B3179,"COUNTRY_FULL_NAME"))</f>
        <v/>
      </c>
    </row>
    <row r="3180" spans="23:26" x14ac:dyDescent="0.25">
      <c r="W3180" t="str">
        <f>IF(B3180="","",_xll.BDP(B3180,"INDUSTRY_SECTOR"))</f>
        <v/>
      </c>
      <c r="X3180" t="str">
        <f>IF($B3180="","",_xll.BDP($B3180,"INDUSTRY_GROUP"))</f>
        <v/>
      </c>
      <c r="Y3180" t="str">
        <f>IF($B3180="","",_xll.BDP($B3180,"INDUSTRY_SUBGROUP"))</f>
        <v/>
      </c>
      <c r="Z3180" t="str">
        <f>IF($B3180="","",_xll.BDP($B3180,"COUNTRY_FULL_NAME"))</f>
        <v/>
      </c>
    </row>
    <row r="3181" spans="23:26" x14ac:dyDescent="0.25">
      <c r="W3181" t="str">
        <f>IF(B3181="","",_xll.BDP(B3181,"INDUSTRY_SECTOR"))</f>
        <v/>
      </c>
      <c r="X3181" t="str">
        <f>IF($B3181="","",_xll.BDP($B3181,"INDUSTRY_GROUP"))</f>
        <v/>
      </c>
      <c r="Y3181" t="str">
        <f>IF($B3181="","",_xll.BDP($B3181,"INDUSTRY_SUBGROUP"))</f>
        <v/>
      </c>
      <c r="Z3181" t="str">
        <f>IF($B3181="","",_xll.BDP($B3181,"COUNTRY_FULL_NAME"))</f>
        <v/>
      </c>
    </row>
    <row r="3182" spans="23:26" x14ac:dyDescent="0.25">
      <c r="W3182" t="str">
        <f>IF(B3182="","",_xll.BDP(B3182,"INDUSTRY_SECTOR"))</f>
        <v/>
      </c>
      <c r="X3182" t="str">
        <f>IF($B3182="","",_xll.BDP($B3182,"INDUSTRY_GROUP"))</f>
        <v/>
      </c>
      <c r="Y3182" t="str">
        <f>IF($B3182="","",_xll.BDP($B3182,"INDUSTRY_SUBGROUP"))</f>
        <v/>
      </c>
      <c r="Z3182" t="str">
        <f>IF($B3182="","",_xll.BDP($B3182,"COUNTRY_FULL_NAME"))</f>
        <v/>
      </c>
    </row>
    <row r="3183" spans="23:26" x14ac:dyDescent="0.25">
      <c r="W3183" t="str">
        <f>IF(B3183="","",_xll.BDP(B3183,"INDUSTRY_SECTOR"))</f>
        <v/>
      </c>
      <c r="X3183" t="str">
        <f>IF($B3183="","",_xll.BDP($B3183,"INDUSTRY_GROUP"))</f>
        <v/>
      </c>
      <c r="Y3183" t="str">
        <f>IF($B3183="","",_xll.BDP($B3183,"INDUSTRY_SUBGROUP"))</f>
        <v/>
      </c>
      <c r="Z3183" t="str">
        <f>IF($B3183="","",_xll.BDP($B3183,"COUNTRY_FULL_NAME"))</f>
        <v/>
      </c>
    </row>
    <row r="3184" spans="23:26" x14ac:dyDescent="0.25">
      <c r="W3184" t="str">
        <f>IF(B3184="","",_xll.BDP(B3184,"INDUSTRY_SECTOR"))</f>
        <v/>
      </c>
      <c r="X3184" t="str">
        <f>IF($B3184="","",_xll.BDP($B3184,"INDUSTRY_GROUP"))</f>
        <v/>
      </c>
      <c r="Y3184" t="str">
        <f>IF($B3184="","",_xll.BDP($B3184,"INDUSTRY_SUBGROUP"))</f>
        <v/>
      </c>
      <c r="Z3184" t="str">
        <f>IF($B3184="","",_xll.BDP($B3184,"COUNTRY_FULL_NAME"))</f>
        <v/>
      </c>
    </row>
    <row r="3185" spans="23:26" x14ac:dyDescent="0.25">
      <c r="W3185" t="str">
        <f>IF(B3185="","",_xll.BDP(B3185,"INDUSTRY_SECTOR"))</f>
        <v/>
      </c>
      <c r="X3185" t="str">
        <f>IF($B3185="","",_xll.BDP($B3185,"INDUSTRY_GROUP"))</f>
        <v/>
      </c>
      <c r="Y3185" t="str">
        <f>IF($B3185="","",_xll.BDP($B3185,"INDUSTRY_SUBGROUP"))</f>
        <v/>
      </c>
      <c r="Z3185" t="str">
        <f>IF($B3185="","",_xll.BDP($B3185,"COUNTRY_FULL_NAME"))</f>
        <v/>
      </c>
    </row>
    <row r="3186" spans="23:26" x14ac:dyDescent="0.25">
      <c r="W3186" t="str">
        <f>IF(B3186="","",_xll.BDP(B3186,"INDUSTRY_SECTOR"))</f>
        <v/>
      </c>
      <c r="X3186" t="str">
        <f>IF($B3186="","",_xll.BDP($B3186,"INDUSTRY_GROUP"))</f>
        <v/>
      </c>
      <c r="Y3186" t="str">
        <f>IF($B3186="","",_xll.BDP($B3186,"INDUSTRY_SUBGROUP"))</f>
        <v/>
      </c>
      <c r="Z3186" t="str">
        <f>IF($B3186="","",_xll.BDP($B3186,"COUNTRY_FULL_NAME"))</f>
        <v/>
      </c>
    </row>
    <row r="3187" spans="23:26" x14ac:dyDescent="0.25">
      <c r="W3187" t="str">
        <f>IF(B3187="","",_xll.BDP(B3187,"INDUSTRY_SECTOR"))</f>
        <v/>
      </c>
      <c r="X3187" t="str">
        <f>IF($B3187="","",_xll.BDP($B3187,"INDUSTRY_GROUP"))</f>
        <v/>
      </c>
      <c r="Y3187" t="str">
        <f>IF($B3187="","",_xll.BDP($B3187,"INDUSTRY_SUBGROUP"))</f>
        <v/>
      </c>
      <c r="Z3187" t="str">
        <f>IF($B3187="","",_xll.BDP($B3187,"COUNTRY_FULL_NAME"))</f>
        <v/>
      </c>
    </row>
    <row r="3188" spans="23:26" x14ac:dyDescent="0.25">
      <c r="W3188" t="str">
        <f>IF(B3188="","",_xll.BDP(B3188,"INDUSTRY_SECTOR"))</f>
        <v/>
      </c>
      <c r="X3188" t="str">
        <f>IF($B3188="","",_xll.BDP($B3188,"INDUSTRY_GROUP"))</f>
        <v/>
      </c>
      <c r="Y3188" t="str">
        <f>IF($B3188="","",_xll.BDP($B3188,"INDUSTRY_SUBGROUP"))</f>
        <v/>
      </c>
      <c r="Z3188" t="str">
        <f>IF($B3188="","",_xll.BDP($B3188,"COUNTRY_FULL_NAME"))</f>
        <v/>
      </c>
    </row>
    <row r="3189" spans="23:26" x14ac:dyDescent="0.25">
      <c r="W3189" t="str">
        <f>IF(B3189="","",_xll.BDP(B3189,"INDUSTRY_SECTOR"))</f>
        <v/>
      </c>
      <c r="X3189" t="str">
        <f>IF($B3189="","",_xll.BDP($B3189,"INDUSTRY_GROUP"))</f>
        <v/>
      </c>
      <c r="Y3189" t="str">
        <f>IF($B3189="","",_xll.BDP($B3189,"INDUSTRY_SUBGROUP"))</f>
        <v/>
      </c>
      <c r="Z3189" t="str">
        <f>IF($B3189="","",_xll.BDP($B3189,"COUNTRY_FULL_NAME"))</f>
        <v/>
      </c>
    </row>
    <row r="3190" spans="23:26" x14ac:dyDescent="0.25">
      <c r="W3190" t="str">
        <f>IF(B3190="","",_xll.BDP(B3190,"INDUSTRY_SECTOR"))</f>
        <v/>
      </c>
      <c r="X3190" t="str">
        <f>IF($B3190="","",_xll.BDP($B3190,"INDUSTRY_GROUP"))</f>
        <v/>
      </c>
      <c r="Y3190" t="str">
        <f>IF($B3190="","",_xll.BDP($B3190,"INDUSTRY_SUBGROUP"))</f>
        <v/>
      </c>
      <c r="Z3190" t="str">
        <f>IF($B3190="","",_xll.BDP($B3190,"COUNTRY_FULL_NAME"))</f>
        <v/>
      </c>
    </row>
    <row r="3191" spans="23:26" x14ac:dyDescent="0.25">
      <c r="W3191" t="str">
        <f>IF(B3191="","",_xll.BDP(B3191,"INDUSTRY_SECTOR"))</f>
        <v/>
      </c>
      <c r="X3191" t="str">
        <f>IF($B3191="","",_xll.BDP($B3191,"INDUSTRY_GROUP"))</f>
        <v/>
      </c>
      <c r="Y3191" t="str">
        <f>IF($B3191="","",_xll.BDP($B3191,"INDUSTRY_SUBGROUP"))</f>
        <v/>
      </c>
      <c r="Z3191" t="str">
        <f>IF($B3191="","",_xll.BDP($B3191,"COUNTRY_FULL_NAME"))</f>
        <v/>
      </c>
    </row>
    <row r="3192" spans="23:26" x14ac:dyDescent="0.25">
      <c r="W3192" t="str">
        <f>IF(B3192="","",_xll.BDP(B3192,"INDUSTRY_SECTOR"))</f>
        <v/>
      </c>
      <c r="X3192" t="str">
        <f>IF($B3192="","",_xll.BDP($B3192,"INDUSTRY_GROUP"))</f>
        <v/>
      </c>
      <c r="Y3192" t="str">
        <f>IF($B3192="","",_xll.BDP($B3192,"INDUSTRY_SUBGROUP"))</f>
        <v/>
      </c>
      <c r="Z3192" t="str">
        <f>IF($B3192="","",_xll.BDP($B3192,"COUNTRY_FULL_NAME"))</f>
        <v/>
      </c>
    </row>
    <row r="3193" spans="23:26" x14ac:dyDescent="0.25">
      <c r="W3193" t="str">
        <f>IF(B3193="","",_xll.BDP(B3193,"INDUSTRY_SECTOR"))</f>
        <v/>
      </c>
      <c r="X3193" t="str">
        <f>IF($B3193="","",_xll.BDP($B3193,"INDUSTRY_GROUP"))</f>
        <v/>
      </c>
      <c r="Y3193" t="str">
        <f>IF($B3193="","",_xll.BDP($B3193,"INDUSTRY_SUBGROUP"))</f>
        <v/>
      </c>
      <c r="Z3193" t="str">
        <f>IF($B3193="","",_xll.BDP($B3193,"COUNTRY_FULL_NAME"))</f>
        <v/>
      </c>
    </row>
    <row r="3194" spans="23:26" x14ac:dyDescent="0.25">
      <c r="W3194" t="str">
        <f>IF(B3194="","",_xll.BDP(B3194,"INDUSTRY_SECTOR"))</f>
        <v/>
      </c>
      <c r="X3194" t="str">
        <f>IF($B3194="","",_xll.BDP($B3194,"INDUSTRY_GROUP"))</f>
        <v/>
      </c>
      <c r="Y3194" t="str">
        <f>IF($B3194="","",_xll.BDP($B3194,"INDUSTRY_SUBGROUP"))</f>
        <v/>
      </c>
      <c r="Z3194" t="str">
        <f>IF($B3194="","",_xll.BDP($B3194,"COUNTRY_FULL_NAME"))</f>
        <v/>
      </c>
    </row>
    <row r="3195" spans="23:26" x14ac:dyDescent="0.25">
      <c r="W3195" t="str">
        <f>IF(B3195="","",_xll.BDP(B3195,"INDUSTRY_SECTOR"))</f>
        <v/>
      </c>
      <c r="X3195" t="str">
        <f>IF($B3195="","",_xll.BDP($B3195,"INDUSTRY_GROUP"))</f>
        <v/>
      </c>
      <c r="Y3195" t="str">
        <f>IF($B3195="","",_xll.BDP($B3195,"INDUSTRY_SUBGROUP"))</f>
        <v/>
      </c>
      <c r="Z3195" t="str">
        <f>IF($B3195="","",_xll.BDP($B3195,"COUNTRY_FULL_NAME"))</f>
        <v/>
      </c>
    </row>
    <row r="3196" spans="23:26" x14ac:dyDescent="0.25">
      <c r="W3196" t="str">
        <f>IF(B3196="","",_xll.BDP(B3196,"INDUSTRY_SECTOR"))</f>
        <v/>
      </c>
      <c r="X3196" t="str">
        <f>IF($B3196="","",_xll.BDP($B3196,"INDUSTRY_GROUP"))</f>
        <v/>
      </c>
      <c r="Y3196" t="str">
        <f>IF($B3196="","",_xll.BDP($B3196,"INDUSTRY_SUBGROUP"))</f>
        <v/>
      </c>
      <c r="Z3196" t="str">
        <f>IF($B3196="","",_xll.BDP($B3196,"COUNTRY_FULL_NAME"))</f>
        <v/>
      </c>
    </row>
    <row r="3197" spans="23:26" x14ac:dyDescent="0.25">
      <c r="W3197" t="str">
        <f>IF(B3197="","",_xll.BDP(B3197,"INDUSTRY_SECTOR"))</f>
        <v/>
      </c>
      <c r="X3197" t="str">
        <f>IF($B3197="","",_xll.BDP($B3197,"INDUSTRY_GROUP"))</f>
        <v/>
      </c>
      <c r="Y3197" t="str">
        <f>IF($B3197="","",_xll.BDP($B3197,"INDUSTRY_SUBGROUP"))</f>
        <v/>
      </c>
      <c r="Z3197" t="str">
        <f>IF($B3197="","",_xll.BDP($B3197,"COUNTRY_FULL_NAME"))</f>
        <v/>
      </c>
    </row>
    <row r="3198" spans="23:26" x14ac:dyDescent="0.25">
      <c r="W3198" t="str">
        <f>IF(B3198="","",_xll.BDP(B3198,"INDUSTRY_SECTOR"))</f>
        <v/>
      </c>
      <c r="X3198" t="str">
        <f>IF($B3198="","",_xll.BDP($B3198,"INDUSTRY_GROUP"))</f>
        <v/>
      </c>
      <c r="Y3198" t="str">
        <f>IF($B3198="","",_xll.BDP($B3198,"INDUSTRY_SUBGROUP"))</f>
        <v/>
      </c>
      <c r="Z3198" t="str">
        <f>IF($B3198="","",_xll.BDP($B3198,"COUNTRY_FULL_NAME"))</f>
        <v/>
      </c>
    </row>
    <row r="3199" spans="23:26" x14ac:dyDescent="0.25">
      <c r="W3199" t="str">
        <f>IF(B3199="","",_xll.BDP(B3199,"INDUSTRY_SECTOR"))</f>
        <v/>
      </c>
      <c r="X3199" t="str">
        <f>IF($B3199="","",_xll.BDP($B3199,"INDUSTRY_GROUP"))</f>
        <v/>
      </c>
      <c r="Y3199" t="str">
        <f>IF($B3199="","",_xll.BDP($B3199,"INDUSTRY_SUBGROUP"))</f>
        <v/>
      </c>
      <c r="Z3199" t="str">
        <f>IF($B3199="","",_xll.BDP($B3199,"COUNTRY_FULL_NAME"))</f>
        <v/>
      </c>
    </row>
    <row r="3200" spans="23:26" x14ac:dyDescent="0.25">
      <c r="W3200" t="str">
        <f>IF(B3200="","",_xll.BDP(B3200,"INDUSTRY_SECTOR"))</f>
        <v/>
      </c>
      <c r="X3200" t="str">
        <f>IF($B3200="","",_xll.BDP($B3200,"INDUSTRY_GROUP"))</f>
        <v/>
      </c>
      <c r="Y3200" t="str">
        <f>IF($B3200="","",_xll.BDP($B3200,"INDUSTRY_SUBGROUP"))</f>
        <v/>
      </c>
      <c r="Z3200" t="str">
        <f>IF($B3200="","",_xll.BDP($B3200,"COUNTRY_FULL_NAME"))</f>
        <v/>
      </c>
    </row>
    <row r="3201" spans="23:26" x14ac:dyDescent="0.25">
      <c r="W3201" t="str">
        <f>IF(B3201="","",_xll.BDP(B3201,"INDUSTRY_SECTOR"))</f>
        <v/>
      </c>
      <c r="X3201" t="str">
        <f>IF($B3201="","",_xll.BDP($B3201,"INDUSTRY_GROUP"))</f>
        <v/>
      </c>
      <c r="Y3201" t="str">
        <f>IF($B3201="","",_xll.BDP($B3201,"INDUSTRY_SUBGROUP"))</f>
        <v/>
      </c>
      <c r="Z3201" t="str">
        <f>IF($B3201="","",_xll.BDP($B3201,"COUNTRY_FULL_NAME"))</f>
        <v/>
      </c>
    </row>
    <row r="3202" spans="23:26" x14ac:dyDescent="0.25">
      <c r="W3202" t="str">
        <f>IF(B3202="","",_xll.BDP(B3202,"INDUSTRY_SECTOR"))</f>
        <v/>
      </c>
      <c r="X3202" t="str">
        <f>IF($B3202="","",_xll.BDP($B3202,"INDUSTRY_GROUP"))</f>
        <v/>
      </c>
      <c r="Y3202" t="str">
        <f>IF($B3202="","",_xll.BDP($B3202,"INDUSTRY_SUBGROUP"))</f>
        <v/>
      </c>
      <c r="Z3202" t="str">
        <f>IF($B3202="","",_xll.BDP($B3202,"COUNTRY_FULL_NAME"))</f>
        <v/>
      </c>
    </row>
    <row r="3203" spans="23:26" x14ac:dyDescent="0.25">
      <c r="W3203" t="str">
        <f>IF(B3203="","",_xll.BDP(B3203,"INDUSTRY_SECTOR"))</f>
        <v/>
      </c>
      <c r="X3203" t="str">
        <f>IF($B3203="","",_xll.BDP($B3203,"INDUSTRY_GROUP"))</f>
        <v/>
      </c>
      <c r="Y3203" t="str">
        <f>IF($B3203="","",_xll.BDP($B3203,"INDUSTRY_SUBGROUP"))</f>
        <v/>
      </c>
      <c r="Z3203" t="str">
        <f>IF($B3203="","",_xll.BDP($B3203,"COUNTRY_FULL_NAME"))</f>
        <v/>
      </c>
    </row>
    <row r="3204" spans="23:26" x14ac:dyDescent="0.25">
      <c r="W3204" t="str">
        <f>IF(B3204="","",_xll.BDP(B3204,"INDUSTRY_SECTOR"))</f>
        <v/>
      </c>
      <c r="X3204" t="str">
        <f>IF($B3204="","",_xll.BDP($B3204,"INDUSTRY_GROUP"))</f>
        <v/>
      </c>
      <c r="Y3204" t="str">
        <f>IF($B3204="","",_xll.BDP($B3204,"INDUSTRY_SUBGROUP"))</f>
        <v/>
      </c>
      <c r="Z3204" t="str">
        <f>IF($B3204="","",_xll.BDP($B3204,"COUNTRY_FULL_NAME"))</f>
        <v/>
      </c>
    </row>
    <row r="3205" spans="23:26" x14ac:dyDescent="0.25">
      <c r="W3205" t="str">
        <f>IF(B3205="","",_xll.BDP(B3205,"INDUSTRY_SECTOR"))</f>
        <v/>
      </c>
      <c r="X3205" t="str">
        <f>IF($B3205="","",_xll.BDP($B3205,"INDUSTRY_GROUP"))</f>
        <v/>
      </c>
      <c r="Y3205" t="str">
        <f>IF($B3205="","",_xll.BDP($B3205,"INDUSTRY_SUBGROUP"))</f>
        <v/>
      </c>
      <c r="Z3205" t="str">
        <f>IF($B3205="","",_xll.BDP($B3205,"COUNTRY_FULL_NAME"))</f>
        <v/>
      </c>
    </row>
    <row r="3206" spans="23:26" x14ac:dyDescent="0.25">
      <c r="W3206" t="str">
        <f>IF(B3206="","",_xll.BDP(B3206,"INDUSTRY_SECTOR"))</f>
        <v/>
      </c>
      <c r="X3206" t="str">
        <f>IF($B3206="","",_xll.BDP($B3206,"INDUSTRY_GROUP"))</f>
        <v/>
      </c>
      <c r="Y3206" t="str">
        <f>IF($B3206="","",_xll.BDP($B3206,"INDUSTRY_SUBGROUP"))</f>
        <v/>
      </c>
      <c r="Z3206" t="str">
        <f>IF($B3206="","",_xll.BDP($B3206,"COUNTRY_FULL_NAME"))</f>
        <v/>
      </c>
    </row>
    <row r="3207" spans="23:26" x14ac:dyDescent="0.25">
      <c r="W3207" t="str">
        <f>IF(B3207="","",_xll.BDP(B3207,"INDUSTRY_SECTOR"))</f>
        <v/>
      </c>
      <c r="X3207" t="str">
        <f>IF($B3207="","",_xll.BDP($B3207,"INDUSTRY_GROUP"))</f>
        <v/>
      </c>
      <c r="Y3207" t="str">
        <f>IF($B3207="","",_xll.BDP($B3207,"INDUSTRY_SUBGROUP"))</f>
        <v/>
      </c>
      <c r="Z3207" t="str">
        <f>IF($B3207="","",_xll.BDP($B3207,"COUNTRY_FULL_NAME"))</f>
        <v/>
      </c>
    </row>
    <row r="3208" spans="23:26" x14ac:dyDescent="0.25">
      <c r="W3208" t="str">
        <f>IF(B3208="","",_xll.BDP(B3208,"INDUSTRY_SECTOR"))</f>
        <v/>
      </c>
      <c r="X3208" t="str">
        <f>IF($B3208="","",_xll.BDP($B3208,"INDUSTRY_GROUP"))</f>
        <v/>
      </c>
      <c r="Y3208" t="str">
        <f>IF($B3208="","",_xll.BDP($B3208,"INDUSTRY_SUBGROUP"))</f>
        <v/>
      </c>
      <c r="Z3208" t="str">
        <f>IF($B3208="","",_xll.BDP($B3208,"COUNTRY_FULL_NAME"))</f>
        <v/>
      </c>
    </row>
    <row r="3209" spans="23:26" x14ac:dyDescent="0.25">
      <c r="W3209" t="str">
        <f>IF(B3209="","",_xll.BDP(B3209,"INDUSTRY_SECTOR"))</f>
        <v/>
      </c>
      <c r="X3209" t="str">
        <f>IF($B3209="","",_xll.BDP($B3209,"INDUSTRY_GROUP"))</f>
        <v/>
      </c>
      <c r="Y3209" t="str">
        <f>IF($B3209="","",_xll.BDP($B3209,"INDUSTRY_SUBGROUP"))</f>
        <v/>
      </c>
      <c r="Z3209" t="str">
        <f>IF($B3209="","",_xll.BDP($B3209,"COUNTRY_FULL_NAME"))</f>
        <v/>
      </c>
    </row>
    <row r="3210" spans="23:26" x14ac:dyDescent="0.25">
      <c r="W3210" t="str">
        <f>IF(B3210="","",_xll.BDP(B3210,"INDUSTRY_SECTOR"))</f>
        <v/>
      </c>
      <c r="X3210" t="str">
        <f>IF($B3210="","",_xll.BDP($B3210,"INDUSTRY_GROUP"))</f>
        <v/>
      </c>
      <c r="Y3210" t="str">
        <f>IF($B3210="","",_xll.BDP($B3210,"INDUSTRY_SUBGROUP"))</f>
        <v/>
      </c>
      <c r="Z3210" t="str">
        <f>IF($B3210="","",_xll.BDP($B3210,"COUNTRY_FULL_NAME"))</f>
        <v/>
      </c>
    </row>
    <row r="3211" spans="23:26" x14ac:dyDescent="0.25">
      <c r="W3211" t="str">
        <f>IF(B3211="","",_xll.BDP(B3211,"INDUSTRY_SECTOR"))</f>
        <v/>
      </c>
      <c r="X3211" t="str">
        <f>IF($B3211="","",_xll.BDP($B3211,"INDUSTRY_GROUP"))</f>
        <v/>
      </c>
      <c r="Y3211" t="str">
        <f>IF($B3211="","",_xll.BDP($B3211,"INDUSTRY_SUBGROUP"))</f>
        <v/>
      </c>
      <c r="Z3211" t="str">
        <f>IF($B3211="","",_xll.BDP($B3211,"COUNTRY_FULL_NAME"))</f>
        <v/>
      </c>
    </row>
    <row r="3212" spans="23:26" x14ac:dyDescent="0.25">
      <c r="W3212" t="str">
        <f>IF(B3212="","",_xll.BDP(B3212,"INDUSTRY_SECTOR"))</f>
        <v/>
      </c>
      <c r="X3212" t="str">
        <f>IF($B3212="","",_xll.BDP($B3212,"INDUSTRY_GROUP"))</f>
        <v/>
      </c>
      <c r="Y3212" t="str">
        <f>IF($B3212="","",_xll.BDP($B3212,"INDUSTRY_SUBGROUP"))</f>
        <v/>
      </c>
      <c r="Z3212" t="str">
        <f>IF($B3212="","",_xll.BDP($B3212,"COUNTRY_FULL_NAME"))</f>
        <v/>
      </c>
    </row>
    <row r="3213" spans="23:26" x14ac:dyDescent="0.25">
      <c r="W3213" t="str">
        <f>IF(B3213="","",_xll.BDP(B3213,"INDUSTRY_SECTOR"))</f>
        <v/>
      </c>
      <c r="X3213" t="str">
        <f>IF($B3213="","",_xll.BDP($B3213,"INDUSTRY_GROUP"))</f>
        <v/>
      </c>
      <c r="Y3213" t="str">
        <f>IF($B3213="","",_xll.BDP($B3213,"INDUSTRY_SUBGROUP"))</f>
        <v/>
      </c>
      <c r="Z3213" t="str">
        <f>IF($B3213="","",_xll.BDP($B3213,"COUNTRY_FULL_NAME"))</f>
        <v/>
      </c>
    </row>
    <row r="3214" spans="23:26" x14ac:dyDescent="0.25">
      <c r="W3214" t="str">
        <f>IF(B3214="","",_xll.BDP(B3214,"INDUSTRY_SECTOR"))</f>
        <v/>
      </c>
      <c r="X3214" t="str">
        <f>IF($B3214="","",_xll.BDP($B3214,"INDUSTRY_GROUP"))</f>
        <v/>
      </c>
      <c r="Y3214" t="str">
        <f>IF($B3214="","",_xll.BDP($B3214,"INDUSTRY_SUBGROUP"))</f>
        <v/>
      </c>
      <c r="Z3214" t="str">
        <f>IF($B3214="","",_xll.BDP($B3214,"COUNTRY_FULL_NAME"))</f>
        <v/>
      </c>
    </row>
    <row r="3215" spans="23:26" x14ac:dyDescent="0.25">
      <c r="W3215" t="str">
        <f>IF(B3215="","",_xll.BDP(B3215,"INDUSTRY_SECTOR"))</f>
        <v/>
      </c>
      <c r="X3215" t="str">
        <f>IF($B3215="","",_xll.BDP($B3215,"INDUSTRY_GROUP"))</f>
        <v/>
      </c>
      <c r="Y3215" t="str">
        <f>IF($B3215="","",_xll.BDP($B3215,"INDUSTRY_SUBGROUP"))</f>
        <v/>
      </c>
      <c r="Z3215" t="str">
        <f>IF($B3215="","",_xll.BDP($B3215,"COUNTRY_FULL_NAME"))</f>
        <v/>
      </c>
    </row>
    <row r="3216" spans="23:26" x14ac:dyDescent="0.25">
      <c r="W3216" t="str">
        <f>IF(B3216="","",_xll.BDP(B3216,"INDUSTRY_SECTOR"))</f>
        <v/>
      </c>
      <c r="X3216" t="str">
        <f>IF($B3216="","",_xll.BDP($B3216,"INDUSTRY_GROUP"))</f>
        <v/>
      </c>
      <c r="Y3216" t="str">
        <f>IF($B3216="","",_xll.BDP($B3216,"INDUSTRY_SUBGROUP"))</f>
        <v/>
      </c>
      <c r="Z3216" t="str">
        <f>IF($B3216="","",_xll.BDP($B3216,"COUNTRY_FULL_NAME"))</f>
        <v/>
      </c>
    </row>
    <row r="3217" spans="23:26" x14ac:dyDescent="0.25">
      <c r="W3217" t="str">
        <f>IF(B3217="","",_xll.BDP(B3217,"INDUSTRY_SECTOR"))</f>
        <v/>
      </c>
      <c r="X3217" t="str">
        <f>IF($B3217="","",_xll.BDP($B3217,"INDUSTRY_GROUP"))</f>
        <v/>
      </c>
      <c r="Y3217" t="str">
        <f>IF($B3217="","",_xll.BDP($B3217,"INDUSTRY_SUBGROUP"))</f>
        <v/>
      </c>
      <c r="Z3217" t="str">
        <f>IF($B3217="","",_xll.BDP($B3217,"COUNTRY_FULL_NAME"))</f>
        <v/>
      </c>
    </row>
    <row r="3218" spans="23:26" x14ac:dyDescent="0.25">
      <c r="W3218" t="str">
        <f>IF(B3218="","",_xll.BDP(B3218,"INDUSTRY_SECTOR"))</f>
        <v/>
      </c>
      <c r="X3218" t="str">
        <f>IF($B3218="","",_xll.BDP($B3218,"INDUSTRY_GROUP"))</f>
        <v/>
      </c>
      <c r="Y3218" t="str">
        <f>IF($B3218="","",_xll.BDP($B3218,"INDUSTRY_SUBGROUP"))</f>
        <v/>
      </c>
      <c r="Z3218" t="str">
        <f>IF($B3218="","",_xll.BDP($B3218,"COUNTRY_FULL_NAME"))</f>
        <v/>
      </c>
    </row>
    <row r="3219" spans="23:26" x14ac:dyDescent="0.25">
      <c r="W3219" t="str">
        <f>IF(B3219="","",_xll.BDP(B3219,"INDUSTRY_SECTOR"))</f>
        <v/>
      </c>
      <c r="X3219" t="str">
        <f>IF($B3219="","",_xll.BDP($B3219,"INDUSTRY_GROUP"))</f>
        <v/>
      </c>
      <c r="Y3219" t="str">
        <f>IF($B3219="","",_xll.BDP($B3219,"INDUSTRY_SUBGROUP"))</f>
        <v/>
      </c>
      <c r="Z3219" t="str">
        <f>IF($B3219="","",_xll.BDP($B3219,"COUNTRY_FULL_NAME"))</f>
        <v/>
      </c>
    </row>
    <row r="3220" spans="23:26" x14ac:dyDescent="0.25">
      <c r="W3220" t="str">
        <f>IF(B3220="","",_xll.BDP(B3220,"INDUSTRY_SECTOR"))</f>
        <v/>
      </c>
      <c r="X3220" t="str">
        <f>IF($B3220="","",_xll.BDP($B3220,"INDUSTRY_GROUP"))</f>
        <v/>
      </c>
      <c r="Y3220" t="str">
        <f>IF($B3220="","",_xll.BDP($B3220,"INDUSTRY_SUBGROUP"))</f>
        <v/>
      </c>
      <c r="Z3220" t="str">
        <f>IF($B3220="","",_xll.BDP($B3220,"COUNTRY_FULL_NAME"))</f>
        <v/>
      </c>
    </row>
    <row r="3221" spans="23:26" x14ac:dyDescent="0.25">
      <c r="W3221" t="str">
        <f>IF(B3221="","",_xll.BDP(B3221,"INDUSTRY_SECTOR"))</f>
        <v/>
      </c>
      <c r="X3221" t="str">
        <f>IF($B3221="","",_xll.BDP($B3221,"INDUSTRY_GROUP"))</f>
        <v/>
      </c>
      <c r="Y3221" t="str">
        <f>IF($B3221="","",_xll.BDP($B3221,"INDUSTRY_SUBGROUP"))</f>
        <v/>
      </c>
      <c r="Z3221" t="str">
        <f>IF($B3221="","",_xll.BDP($B3221,"COUNTRY_FULL_NAME"))</f>
        <v/>
      </c>
    </row>
    <row r="3222" spans="23:26" x14ac:dyDescent="0.25">
      <c r="W3222" t="str">
        <f>IF(B3222="","",_xll.BDP(B3222,"INDUSTRY_SECTOR"))</f>
        <v/>
      </c>
      <c r="X3222" t="str">
        <f>IF($B3222="","",_xll.BDP($B3222,"INDUSTRY_GROUP"))</f>
        <v/>
      </c>
      <c r="Y3222" t="str">
        <f>IF($B3222="","",_xll.BDP($B3222,"INDUSTRY_SUBGROUP"))</f>
        <v/>
      </c>
      <c r="Z3222" t="str">
        <f>IF($B3222="","",_xll.BDP($B3222,"COUNTRY_FULL_NAME"))</f>
        <v/>
      </c>
    </row>
    <row r="3223" spans="23:26" x14ac:dyDescent="0.25">
      <c r="W3223" t="str">
        <f>IF(B3223="","",_xll.BDP(B3223,"INDUSTRY_SECTOR"))</f>
        <v/>
      </c>
      <c r="X3223" t="str">
        <f>IF($B3223="","",_xll.BDP($B3223,"INDUSTRY_GROUP"))</f>
        <v/>
      </c>
      <c r="Y3223" t="str">
        <f>IF($B3223="","",_xll.BDP($B3223,"INDUSTRY_SUBGROUP"))</f>
        <v/>
      </c>
      <c r="Z3223" t="str">
        <f>IF($B3223="","",_xll.BDP($B3223,"COUNTRY_FULL_NAME"))</f>
        <v/>
      </c>
    </row>
    <row r="3224" spans="23:26" x14ac:dyDescent="0.25">
      <c r="W3224" t="str">
        <f>IF(B3224="","",_xll.BDP(B3224,"INDUSTRY_SECTOR"))</f>
        <v/>
      </c>
      <c r="X3224" t="str">
        <f>IF($B3224="","",_xll.BDP($B3224,"INDUSTRY_GROUP"))</f>
        <v/>
      </c>
      <c r="Y3224" t="str">
        <f>IF($B3224="","",_xll.BDP($B3224,"INDUSTRY_SUBGROUP"))</f>
        <v/>
      </c>
      <c r="Z3224" t="str">
        <f>IF($B3224="","",_xll.BDP($B3224,"COUNTRY_FULL_NAME"))</f>
        <v/>
      </c>
    </row>
    <row r="3225" spans="23:26" x14ac:dyDescent="0.25">
      <c r="W3225" t="str">
        <f>IF(B3225="","",_xll.BDP(B3225,"INDUSTRY_SECTOR"))</f>
        <v/>
      </c>
      <c r="X3225" t="str">
        <f>IF($B3225="","",_xll.BDP($B3225,"INDUSTRY_GROUP"))</f>
        <v/>
      </c>
      <c r="Y3225" t="str">
        <f>IF($B3225="","",_xll.BDP($B3225,"INDUSTRY_SUBGROUP"))</f>
        <v/>
      </c>
      <c r="Z3225" t="str">
        <f>IF($B3225="","",_xll.BDP($B3225,"COUNTRY_FULL_NAME"))</f>
        <v/>
      </c>
    </row>
    <row r="3226" spans="23:26" x14ac:dyDescent="0.25">
      <c r="W3226" t="str">
        <f>IF(B3226="","",_xll.BDP(B3226,"INDUSTRY_SECTOR"))</f>
        <v/>
      </c>
      <c r="X3226" t="str">
        <f>IF($B3226="","",_xll.BDP($B3226,"INDUSTRY_GROUP"))</f>
        <v/>
      </c>
      <c r="Y3226" t="str">
        <f>IF($B3226="","",_xll.BDP($B3226,"INDUSTRY_SUBGROUP"))</f>
        <v/>
      </c>
      <c r="Z3226" t="str">
        <f>IF($B3226="","",_xll.BDP($B3226,"COUNTRY_FULL_NAME"))</f>
        <v/>
      </c>
    </row>
    <row r="3227" spans="23:26" x14ac:dyDescent="0.25">
      <c r="W3227" t="str">
        <f>IF(B3227="","",_xll.BDP(B3227,"INDUSTRY_SECTOR"))</f>
        <v/>
      </c>
      <c r="X3227" t="str">
        <f>IF($B3227="","",_xll.BDP($B3227,"INDUSTRY_GROUP"))</f>
        <v/>
      </c>
      <c r="Y3227" t="str">
        <f>IF($B3227="","",_xll.BDP($B3227,"INDUSTRY_SUBGROUP"))</f>
        <v/>
      </c>
      <c r="Z3227" t="str">
        <f>IF($B3227="","",_xll.BDP($B3227,"COUNTRY_FULL_NAME"))</f>
        <v/>
      </c>
    </row>
    <row r="3228" spans="23:26" x14ac:dyDescent="0.25">
      <c r="W3228" t="str">
        <f>IF(B3228="","",_xll.BDP(B3228,"INDUSTRY_SECTOR"))</f>
        <v/>
      </c>
      <c r="X3228" t="str">
        <f>IF($B3228="","",_xll.BDP($B3228,"INDUSTRY_GROUP"))</f>
        <v/>
      </c>
      <c r="Y3228" t="str">
        <f>IF($B3228="","",_xll.BDP($B3228,"INDUSTRY_SUBGROUP"))</f>
        <v/>
      </c>
      <c r="Z3228" t="str">
        <f>IF($B3228="","",_xll.BDP($B3228,"COUNTRY_FULL_NAME"))</f>
        <v/>
      </c>
    </row>
    <row r="3229" spans="23:26" x14ac:dyDescent="0.25">
      <c r="W3229" t="str">
        <f>IF(B3229="","",_xll.BDP(B3229,"INDUSTRY_SECTOR"))</f>
        <v/>
      </c>
      <c r="X3229" t="str">
        <f>IF($B3229="","",_xll.BDP($B3229,"INDUSTRY_GROUP"))</f>
        <v/>
      </c>
      <c r="Y3229" t="str">
        <f>IF($B3229="","",_xll.BDP($B3229,"INDUSTRY_SUBGROUP"))</f>
        <v/>
      </c>
      <c r="Z3229" t="str">
        <f>IF($B3229="","",_xll.BDP($B3229,"COUNTRY_FULL_NAME"))</f>
        <v/>
      </c>
    </row>
    <row r="3230" spans="23:26" x14ac:dyDescent="0.25">
      <c r="W3230" t="str">
        <f>IF(B3230="","",_xll.BDP(B3230,"INDUSTRY_SECTOR"))</f>
        <v/>
      </c>
      <c r="X3230" t="str">
        <f>IF($B3230="","",_xll.BDP($B3230,"INDUSTRY_GROUP"))</f>
        <v/>
      </c>
      <c r="Y3230" t="str">
        <f>IF($B3230="","",_xll.BDP($B3230,"INDUSTRY_SUBGROUP"))</f>
        <v/>
      </c>
      <c r="Z3230" t="str">
        <f>IF($B3230="","",_xll.BDP($B3230,"COUNTRY_FULL_NAME"))</f>
        <v/>
      </c>
    </row>
    <row r="3231" spans="23:26" x14ac:dyDescent="0.25">
      <c r="W3231" t="str">
        <f>IF(B3231="","",_xll.BDP(B3231,"INDUSTRY_SECTOR"))</f>
        <v/>
      </c>
      <c r="X3231" t="str">
        <f>IF($B3231="","",_xll.BDP($B3231,"INDUSTRY_GROUP"))</f>
        <v/>
      </c>
      <c r="Y3231" t="str">
        <f>IF($B3231="","",_xll.BDP($B3231,"INDUSTRY_SUBGROUP"))</f>
        <v/>
      </c>
      <c r="Z3231" t="str">
        <f>IF($B3231="","",_xll.BDP($B3231,"COUNTRY_FULL_NAME"))</f>
        <v/>
      </c>
    </row>
    <row r="3232" spans="23:26" x14ac:dyDescent="0.25">
      <c r="W3232" t="str">
        <f>IF(B3232="","",_xll.BDP(B3232,"INDUSTRY_SECTOR"))</f>
        <v/>
      </c>
      <c r="X3232" t="str">
        <f>IF($B3232="","",_xll.BDP($B3232,"INDUSTRY_GROUP"))</f>
        <v/>
      </c>
      <c r="Y3232" t="str">
        <f>IF($B3232="","",_xll.BDP($B3232,"INDUSTRY_SUBGROUP"))</f>
        <v/>
      </c>
      <c r="Z3232" t="str">
        <f>IF($B3232="","",_xll.BDP($B3232,"COUNTRY_FULL_NAME"))</f>
        <v/>
      </c>
    </row>
    <row r="3233" spans="23:26" x14ac:dyDescent="0.25">
      <c r="W3233" t="str">
        <f>IF(B3233="","",_xll.BDP(B3233,"INDUSTRY_SECTOR"))</f>
        <v/>
      </c>
      <c r="X3233" t="str">
        <f>IF($B3233="","",_xll.BDP($B3233,"INDUSTRY_GROUP"))</f>
        <v/>
      </c>
      <c r="Y3233" t="str">
        <f>IF($B3233="","",_xll.BDP($B3233,"INDUSTRY_SUBGROUP"))</f>
        <v/>
      </c>
      <c r="Z3233" t="str">
        <f>IF($B3233="","",_xll.BDP($B3233,"COUNTRY_FULL_NAME"))</f>
        <v/>
      </c>
    </row>
    <row r="3234" spans="23:26" x14ac:dyDescent="0.25">
      <c r="W3234" t="str">
        <f>IF(B3234="","",_xll.BDP(B3234,"INDUSTRY_SECTOR"))</f>
        <v/>
      </c>
      <c r="X3234" t="str">
        <f>IF($B3234="","",_xll.BDP($B3234,"INDUSTRY_GROUP"))</f>
        <v/>
      </c>
      <c r="Y3234" t="str">
        <f>IF($B3234="","",_xll.BDP($B3234,"INDUSTRY_SUBGROUP"))</f>
        <v/>
      </c>
      <c r="Z3234" t="str">
        <f>IF($B3234="","",_xll.BDP($B3234,"COUNTRY_FULL_NAME"))</f>
        <v/>
      </c>
    </row>
    <row r="3235" spans="23:26" x14ac:dyDescent="0.25">
      <c r="W3235" t="str">
        <f>IF(B3235="","",_xll.BDP(B3235,"INDUSTRY_SECTOR"))</f>
        <v/>
      </c>
      <c r="X3235" t="str">
        <f>IF($B3235="","",_xll.BDP($B3235,"INDUSTRY_GROUP"))</f>
        <v/>
      </c>
      <c r="Y3235" t="str">
        <f>IF($B3235="","",_xll.BDP($B3235,"INDUSTRY_SUBGROUP"))</f>
        <v/>
      </c>
      <c r="Z3235" t="str">
        <f>IF($B3235="","",_xll.BDP($B3235,"COUNTRY_FULL_NAME"))</f>
        <v/>
      </c>
    </row>
    <row r="3236" spans="23:26" x14ac:dyDescent="0.25">
      <c r="W3236" t="str">
        <f>IF(B3236="","",_xll.BDP(B3236,"INDUSTRY_SECTOR"))</f>
        <v/>
      </c>
      <c r="X3236" t="str">
        <f>IF($B3236="","",_xll.BDP($B3236,"INDUSTRY_GROUP"))</f>
        <v/>
      </c>
      <c r="Y3236" t="str">
        <f>IF($B3236="","",_xll.BDP($B3236,"INDUSTRY_SUBGROUP"))</f>
        <v/>
      </c>
      <c r="Z3236" t="str">
        <f>IF($B3236="","",_xll.BDP($B3236,"COUNTRY_FULL_NAME"))</f>
        <v/>
      </c>
    </row>
    <row r="3237" spans="23:26" x14ac:dyDescent="0.25">
      <c r="W3237" t="str">
        <f>IF(B3237="","",_xll.BDP(B3237,"INDUSTRY_SECTOR"))</f>
        <v/>
      </c>
      <c r="X3237" t="str">
        <f>IF($B3237="","",_xll.BDP($B3237,"INDUSTRY_GROUP"))</f>
        <v/>
      </c>
      <c r="Y3237" t="str">
        <f>IF($B3237="","",_xll.BDP($B3237,"INDUSTRY_SUBGROUP"))</f>
        <v/>
      </c>
      <c r="Z3237" t="str">
        <f>IF($B3237="","",_xll.BDP($B3237,"COUNTRY_FULL_NAME"))</f>
        <v/>
      </c>
    </row>
    <row r="3238" spans="23:26" x14ac:dyDescent="0.25">
      <c r="W3238" t="str">
        <f>IF(B3238="","",_xll.BDP(B3238,"INDUSTRY_SECTOR"))</f>
        <v/>
      </c>
      <c r="X3238" t="str">
        <f>IF($B3238="","",_xll.BDP($B3238,"INDUSTRY_GROUP"))</f>
        <v/>
      </c>
      <c r="Y3238" t="str">
        <f>IF($B3238="","",_xll.BDP($B3238,"INDUSTRY_SUBGROUP"))</f>
        <v/>
      </c>
      <c r="Z3238" t="str">
        <f>IF($B3238="","",_xll.BDP($B3238,"COUNTRY_FULL_NAME"))</f>
        <v/>
      </c>
    </row>
    <row r="3239" spans="23:26" x14ac:dyDescent="0.25">
      <c r="W3239" t="str">
        <f>IF(B3239="","",_xll.BDP(B3239,"INDUSTRY_SECTOR"))</f>
        <v/>
      </c>
      <c r="X3239" t="str">
        <f>IF($B3239="","",_xll.BDP($B3239,"INDUSTRY_GROUP"))</f>
        <v/>
      </c>
      <c r="Y3239" t="str">
        <f>IF($B3239="","",_xll.BDP($B3239,"INDUSTRY_SUBGROUP"))</f>
        <v/>
      </c>
      <c r="Z3239" t="str">
        <f>IF($B3239="","",_xll.BDP($B3239,"COUNTRY_FULL_NAME"))</f>
        <v/>
      </c>
    </row>
    <row r="3240" spans="23:26" x14ac:dyDescent="0.25">
      <c r="W3240" t="str">
        <f>IF(B3240="","",_xll.BDP(B3240,"INDUSTRY_SECTOR"))</f>
        <v/>
      </c>
      <c r="X3240" t="str">
        <f>IF($B3240="","",_xll.BDP($B3240,"INDUSTRY_GROUP"))</f>
        <v/>
      </c>
      <c r="Y3240" t="str">
        <f>IF($B3240="","",_xll.BDP($B3240,"INDUSTRY_SUBGROUP"))</f>
        <v/>
      </c>
      <c r="Z3240" t="str">
        <f>IF($B3240="","",_xll.BDP($B3240,"COUNTRY_FULL_NAME"))</f>
        <v/>
      </c>
    </row>
    <row r="3241" spans="23:26" x14ac:dyDescent="0.25">
      <c r="W3241" t="str">
        <f>IF(B3241="","",_xll.BDP(B3241,"INDUSTRY_SECTOR"))</f>
        <v/>
      </c>
      <c r="X3241" t="str">
        <f>IF($B3241="","",_xll.BDP($B3241,"INDUSTRY_GROUP"))</f>
        <v/>
      </c>
      <c r="Y3241" t="str">
        <f>IF($B3241="","",_xll.BDP($B3241,"INDUSTRY_SUBGROUP"))</f>
        <v/>
      </c>
      <c r="Z3241" t="str">
        <f>IF($B3241="","",_xll.BDP($B3241,"COUNTRY_FULL_NAME"))</f>
        <v/>
      </c>
    </row>
    <row r="3242" spans="23:26" x14ac:dyDescent="0.25">
      <c r="W3242" t="str">
        <f>IF(B3242="","",_xll.BDP(B3242,"INDUSTRY_SECTOR"))</f>
        <v/>
      </c>
      <c r="X3242" t="str">
        <f>IF($B3242="","",_xll.BDP($B3242,"INDUSTRY_GROUP"))</f>
        <v/>
      </c>
      <c r="Y3242" t="str">
        <f>IF($B3242="","",_xll.BDP($B3242,"INDUSTRY_SUBGROUP"))</f>
        <v/>
      </c>
      <c r="Z3242" t="str">
        <f>IF($B3242="","",_xll.BDP($B3242,"COUNTRY_FULL_NAME"))</f>
        <v/>
      </c>
    </row>
    <row r="3243" spans="23:26" x14ac:dyDescent="0.25">
      <c r="W3243" t="str">
        <f>IF(B3243="","",_xll.BDP(B3243,"INDUSTRY_SECTOR"))</f>
        <v/>
      </c>
      <c r="X3243" t="str">
        <f>IF($B3243="","",_xll.BDP($B3243,"INDUSTRY_GROUP"))</f>
        <v/>
      </c>
      <c r="Y3243" t="str">
        <f>IF($B3243="","",_xll.BDP($B3243,"INDUSTRY_SUBGROUP"))</f>
        <v/>
      </c>
      <c r="Z3243" t="str">
        <f>IF($B3243="","",_xll.BDP($B3243,"COUNTRY_FULL_NAME"))</f>
        <v/>
      </c>
    </row>
    <row r="3244" spans="23:26" x14ac:dyDescent="0.25">
      <c r="W3244" t="str">
        <f>IF(B3244="","",_xll.BDP(B3244,"INDUSTRY_SECTOR"))</f>
        <v/>
      </c>
      <c r="X3244" t="str">
        <f>IF($B3244="","",_xll.BDP($B3244,"INDUSTRY_GROUP"))</f>
        <v/>
      </c>
      <c r="Y3244" t="str">
        <f>IF($B3244="","",_xll.BDP($B3244,"INDUSTRY_SUBGROUP"))</f>
        <v/>
      </c>
      <c r="Z3244" t="str">
        <f>IF($B3244="","",_xll.BDP($B3244,"COUNTRY_FULL_NAME"))</f>
        <v/>
      </c>
    </row>
    <row r="3245" spans="23:26" x14ac:dyDescent="0.25">
      <c r="W3245" t="str">
        <f>IF(B3245="","",_xll.BDP(B3245,"INDUSTRY_SECTOR"))</f>
        <v/>
      </c>
      <c r="X3245" t="str">
        <f>IF($B3245="","",_xll.BDP($B3245,"INDUSTRY_GROUP"))</f>
        <v/>
      </c>
      <c r="Y3245" t="str">
        <f>IF($B3245="","",_xll.BDP($B3245,"INDUSTRY_SUBGROUP"))</f>
        <v/>
      </c>
      <c r="Z3245" t="str">
        <f>IF($B3245="","",_xll.BDP($B3245,"COUNTRY_FULL_NAME"))</f>
        <v/>
      </c>
    </row>
    <row r="3246" spans="23:26" x14ac:dyDescent="0.25">
      <c r="W3246" t="str">
        <f>IF(B3246="","",_xll.BDP(B3246,"INDUSTRY_SECTOR"))</f>
        <v/>
      </c>
      <c r="X3246" t="str">
        <f>IF($B3246="","",_xll.BDP($B3246,"INDUSTRY_GROUP"))</f>
        <v/>
      </c>
      <c r="Y3246" t="str">
        <f>IF($B3246="","",_xll.BDP($B3246,"INDUSTRY_SUBGROUP"))</f>
        <v/>
      </c>
      <c r="Z3246" t="str">
        <f>IF($B3246="","",_xll.BDP($B3246,"COUNTRY_FULL_NAME"))</f>
        <v/>
      </c>
    </row>
    <row r="3247" spans="23:26" x14ac:dyDescent="0.25">
      <c r="W3247" t="str">
        <f>IF(B3247="","",_xll.BDP(B3247,"INDUSTRY_SECTOR"))</f>
        <v/>
      </c>
      <c r="X3247" t="str">
        <f>IF($B3247="","",_xll.BDP($B3247,"INDUSTRY_GROUP"))</f>
        <v/>
      </c>
      <c r="Y3247" t="str">
        <f>IF($B3247="","",_xll.BDP($B3247,"INDUSTRY_SUBGROUP"))</f>
        <v/>
      </c>
      <c r="Z3247" t="str">
        <f>IF($B3247="","",_xll.BDP($B3247,"COUNTRY_FULL_NAME"))</f>
        <v/>
      </c>
    </row>
    <row r="3248" spans="23:26" x14ac:dyDescent="0.25">
      <c r="W3248" t="str">
        <f>IF(B3248="","",_xll.BDP(B3248,"INDUSTRY_SECTOR"))</f>
        <v/>
      </c>
      <c r="X3248" t="str">
        <f>IF($B3248="","",_xll.BDP($B3248,"INDUSTRY_GROUP"))</f>
        <v/>
      </c>
      <c r="Y3248" t="str">
        <f>IF($B3248="","",_xll.BDP($B3248,"INDUSTRY_SUBGROUP"))</f>
        <v/>
      </c>
      <c r="Z3248" t="str">
        <f>IF($B3248="","",_xll.BDP($B3248,"COUNTRY_FULL_NAME"))</f>
        <v/>
      </c>
    </row>
    <row r="3249" spans="23:26" x14ac:dyDescent="0.25">
      <c r="W3249" t="str">
        <f>IF(B3249="","",_xll.BDP(B3249,"INDUSTRY_SECTOR"))</f>
        <v/>
      </c>
      <c r="X3249" t="str">
        <f>IF($B3249="","",_xll.BDP($B3249,"INDUSTRY_GROUP"))</f>
        <v/>
      </c>
      <c r="Y3249" t="str">
        <f>IF($B3249="","",_xll.BDP($B3249,"INDUSTRY_SUBGROUP"))</f>
        <v/>
      </c>
      <c r="Z3249" t="str">
        <f>IF($B3249="","",_xll.BDP($B3249,"COUNTRY_FULL_NAME"))</f>
        <v/>
      </c>
    </row>
    <row r="3250" spans="23:26" x14ac:dyDescent="0.25">
      <c r="W3250" t="str">
        <f>IF(B3250="","",_xll.BDP(B3250,"INDUSTRY_SECTOR"))</f>
        <v/>
      </c>
      <c r="X3250" t="str">
        <f>IF($B3250="","",_xll.BDP($B3250,"INDUSTRY_GROUP"))</f>
        <v/>
      </c>
      <c r="Y3250" t="str">
        <f>IF($B3250="","",_xll.BDP($B3250,"INDUSTRY_SUBGROUP"))</f>
        <v/>
      </c>
      <c r="Z3250" t="str">
        <f>IF($B3250="","",_xll.BDP($B3250,"COUNTRY_FULL_NAME"))</f>
        <v/>
      </c>
    </row>
    <row r="3251" spans="23:26" x14ac:dyDescent="0.25">
      <c r="W3251" t="str">
        <f>IF(B3251="","",_xll.BDP(B3251,"INDUSTRY_SECTOR"))</f>
        <v/>
      </c>
      <c r="X3251" t="str">
        <f>IF($B3251="","",_xll.BDP($B3251,"INDUSTRY_GROUP"))</f>
        <v/>
      </c>
      <c r="Y3251" t="str">
        <f>IF($B3251="","",_xll.BDP($B3251,"INDUSTRY_SUBGROUP"))</f>
        <v/>
      </c>
      <c r="Z3251" t="str">
        <f>IF($B3251="","",_xll.BDP($B3251,"COUNTRY_FULL_NAME"))</f>
        <v/>
      </c>
    </row>
    <row r="3252" spans="23:26" x14ac:dyDescent="0.25">
      <c r="W3252" t="str">
        <f>IF(B3252="","",_xll.BDP(B3252,"INDUSTRY_SECTOR"))</f>
        <v/>
      </c>
      <c r="X3252" t="str">
        <f>IF($B3252="","",_xll.BDP($B3252,"INDUSTRY_GROUP"))</f>
        <v/>
      </c>
      <c r="Y3252" t="str">
        <f>IF($B3252="","",_xll.BDP($B3252,"INDUSTRY_SUBGROUP"))</f>
        <v/>
      </c>
      <c r="Z3252" t="str">
        <f>IF($B3252="","",_xll.BDP($B3252,"COUNTRY_FULL_NAME"))</f>
        <v/>
      </c>
    </row>
    <row r="3253" spans="23:26" x14ac:dyDescent="0.25">
      <c r="W3253" t="str">
        <f>IF(B3253="","",_xll.BDP(B3253,"INDUSTRY_SECTOR"))</f>
        <v/>
      </c>
      <c r="X3253" t="str">
        <f>IF($B3253="","",_xll.BDP($B3253,"INDUSTRY_GROUP"))</f>
        <v/>
      </c>
      <c r="Y3253" t="str">
        <f>IF($B3253="","",_xll.BDP($B3253,"INDUSTRY_SUBGROUP"))</f>
        <v/>
      </c>
      <c r="Z3253" t="str">
        <f>IF($B3253="","",_xll.BDP($B3253,"COUNTRY_FULL_NAME"))</f>
        <v/>
      </c>
    </row>
    <row r="3254" spans="23:26" x14ac:dyDescent="0.25">
      <c r="W3254" t="str">
        <f>IF(B3254="","",_xll.BDP(B3254,"INDUSTRY_SECTOR"))</f>
        <v/>
      </c>
      <c r="X3254" t="str">
        <f>IF($B3254="","",_xll.BDP($B3254,"INDUSTRY_GROUP"))</f>
        <v/>
      </c>
      <c r="Y3254" t="str">
        <f>IF($B3254="","",_xll.BDP($B3254,"INDUSTRY_SUBGROUP"))</f>
        <v/>
      </c>
      <c r="Z3254" t="str">
        <f>IF($B3254="","",_xll.BDP($B3254,"COUNTRY_FULL_NAME"))</f>
        <v/>
      </c>
    </row>
    <row r="3255" spans="23:26" x14ac:dyDescent="0.25">
      <c r="W3255" t="str">
        <f>IF(B3255="","",_xll.BDP(B3255,"INDUSTRY_SECTOR"))</f>
        <v/>
      </c>
      <c r="X3255" t="str">
        <f>IF($B3255="","",_xll.BDP($B3255,"INDUSTRY_GROUP"))</f>
        <v/>
      </c>
      <c r="Y3255" t="str">
        <f>IF($B3255="","",_xll.BDP($B3255,"INDUSTRY_SUBGROUP"))</f>
        <v/>
      </c>
      <c r="Z3255" t="str">
        <f>IF($B3255="","",_xll.BDP($B3255,"COUNTRY_FULL_NAME"))</f>
        <v/>
      </c>
    </row>
    <row r="3256" spans="23:26" x14ac:dyDescent="0.25">
      <c r="W3256" t="str">
        <f>IF(B3256="","",_xll.BDP(B3256,"INDUSTRY_SECTOR"))</f>
        <v/>
      </c>
      <c r="X3256" t="str">
        <f>IF($B3256="","",_xll.BDP($B3256,"INDUSTRY_GROUP"))</f>
        <v/>
      </c>
      <c r="Y3256" t="str">
        <f>IF($B3256="","",_xll.BDP($B3256,"INDUSTRY_SUBGROUP"))</f>
        <v/>
      </c>
      <c r="Z3256" t="str">
        <f>IF($B3256="","",_xll.BDP($B3256,"COUNTRY_FULL_NAME"))</f>
        <v/>
      </c>
    </row>
    <row r="3257" spans="23:26" x14ac:dyDescent="0.25">
      <c r="W3257" t="str">
        <f>IF(B3257="","",_xll.BDP(B3257,"INDUSTRY_SECTOR"))</f>
        <v/>
      </c>
      <c r="X3257" t="str">
        <f>IF($B3257="","",_xll.BDP($B3257,"INDUSTRY_GROUP"))</f>
        <v/>
      </c>
      <c r="Y3257" t="str">
        <f>IF($B3257="","",_xll.BDP($B3257,"INDUSTRY_SUBGROUP"))</f>
        <v/>
      </c>
      <c r="Z3257" t="str">
        <f>IF($B3257="","",_xll.BDP($B3257,"COUNTRY_FULL_NAME"))</f>
        <v/>
      </c>
    </row>
    <row r="3258" spans="23:26" x14ac:dyDescent="0.25">
      <c r="W3258" t="str">
        <f>IF(B3258="","",_xll.BDP(B3258,"INDUSTRY_SECTOR"))</f>
        <v/>
      </c>
      <c r="X3258" t="str">
        <f>IF($B3258="","",_xll.BDP($B3258,"INDUSTRY_GROUP"))</f>
        <v/>
      </c>
      <c r="Y3258" t="str">
        <f>IF($B3258="","",_xll.BDP($B3258,"INDUSTRY_SUBGROUP"))</f>
        <v/>
      </c>
      <c r="Z3258" t="str">
        <f>IF($B3258="","",_xll.BDP($B3258,"COUNTRY_FULL_NAME"))</f>
        <v/>
      </c>
    </row>
    <row r="3259" spans="23:26" x14ac:dyDescent="0.25">
      <c r="W3259" t="str">
        <f>IF(B3259="","",_xll.BDP(B3259,"INDUSTRY_SECTOR"))</f>
        <v/>
      </c>
      <c r="X3259" t="str">
        <f>IF($B3259="","",_xll.BDP($B3259,"INDUSTRY_GROUP"))</f>
        <v/>
      </c>
      <c r="Y3259" t="str">
        <f>IF($B3259="","",_xll.BDP($B3259,"INDUSTRY_SUBGROUP"))</f>
        <v/>
      </c>
      <c r="Z3259" t="str">
        <f>IF($B3259="","",_xll.BDP($B3259,"COUNTRY_FULL_NAME"))</f>
        <v/>
      </c>
    </row>
    <row r="3260" spans="23:26" x14ac:dyDescent="0.25">
      <c r="W3260" t="str">
        <f>IF(B3260="","",_xll.BDP(B3260,"INDUSTRY_SECTOR"))</f>
        <v/>
      </c>
      <c r="X3260" t="str">
        <f>IF($B3260="","",_xll.BDP($B3260,"INDUSTRY_GROUP"))</f>
        <v/>
      </c>
      <c r="Y3260" t="str">
        <f>IF($B3260="","",_xll.BDP($B3260,"INDUSTRY_SUBGROUP"))</f>
        <v/>
      </c>
      <c r="Z3260" t="str">
        <f>IF($B3260="","",_xll.BDP($B3260,"COUNTRY_FULL_NAME"))</f>
        <v/>
      </c>
    </row>
    <row r="3261" spans="23:26" x14ac:dyDescent="0.25">
      <c r="W3261" t="str">
        <f>IF(B3261="","",_xll.BDP(B3261,"INDUSTRY_SECTOR"))</f>
        <v/>
      </c>
      <c r="X3261" t="str">
        <f>IF($B3261="","",_xll.BDP($B3261,"INDUSTRY_GROUP"))</f>
        <v/>
      </c>
      <c r="Y3261" t="str">
        <f>IF($B3261="","",_xll.BDP($B3261,"INDUSTRY_SUBGROUP"))</f>
        <v/>
      </c>
      <c r="Z3261" t="str">
        <f>IF($B3261="","",_xll.BDP($B3261,"COUNTRY_FULL_NAME"))</f>
        <v/>
      </c>
    </row>
    <row r="3262" spans="23:26" x14ac:dyDescent="0.25">
      <c r="W3262" t="str">
        <f>IF(B3262="","",_xll.BDP(B3262,"INDUSTRY_SECTOR"))</f>
        <v/>
      </c>
      <c r="X3262" t="str">
        <f>IF($B3262="","",_xll.BDP($B3262,"INDUSTRY_GROUP"))</f>
        <v/>
      </c>
      <c r="Y3262" t="str">
        <f>IF($B3262="","",_xll.BDP($B3262,"INDUSTRY_SUBGROUP"))</f>
        <v/>
      </c>
      <c r="Z3262" t="str">
        <f>IF($B3262="","",_xll.BDP($B3262,"COUNTRY_FULL_NAME"))</f>
        <v/>
      </c>
    </row>
    <row r="3263" spans="23:26" x14ac:dyDescent="0.25">
      <c r="W3263" t="str">
        <f>IF(B3263="","",_xll.BDP(B3263,"INDUSTRY_SECTOR"))</f>
        <v/>
      </c>
      <c r="X3263" t="str">
        <f>IF($B3263="","",_xll.BDP($B3263,"INDUSTRY_GROUP"))</f>
        <v/>
      </c>
      <c r="Y3263" t="str">
        <f>IF($B3263="","",_xll.BDP($B3263,"INDUSTRY_SUBGROUP"))</f>
        <v/>
      </c>
      <c r="Z3263" t="str">
        <f>IF($B3263="","",_xll.BDP($B3263,"COUNTRY_FULL_NAME"))</f>
        <v/>
      </c>
    </row>
    <row r="3264" spans="23:26" x14ac:dyDescent="0.25">
      <c r="W3264" t="str">
        <f>IF(B3264="","",_xll.BDP(B3264,"INDUSTRY_SECTOR"))</f>
        <v/>
      </c>
      <c r="X3264" t="str">
        <f>IF($B3264="","",_xll.BDP($B3264,"INDUSTRY_GROUP"))</f>
        <v/>
      </c>
      <c r="Y3264" t="str">
        <f>IF($B3264="","",_xll.BDP($B3264,"INDUSTRY_SUBGROUP"))</f>
        <v/>
      </c>
      <c r="Z3264" t="str">
        <f>IF($B3264="","",_xll.BDP($B3264,"COUNTRY_FULL_NAME"))</f>
        <v/>
      </c>
    </row>
    <row r="3265" spans="23:26" x14ac:dyDescent="0.25">
      <c r="W3265" t="str">
        <f>IF(B3265="","",_xll.BDP(B3265,"INDUSTRY_SECTOR"))</f>
        <v/>
      </c>
      <c r="X3265" t="str">
        <f>IF($B3265="","",_xll.BDP($B3265,"INDUSTRY_GROUP"))</f>
        <v/>
      </c>
      <c r="Y3265" t="str">
        <f>IF($B3265="","",_xll.BDP($B3265,"INDUSTRY_SUBGROUP"))</f>
        <v/>
      </c>
      <c r="Z3265" t="str">
        <f>IF($B3265="","",_xll.BDP($B3265,"COUNTRY_FULL_NAME"))</f>
        <v/>
      </c>
    </row>
    <row r="3266" spans="23:26" x14ac:dyDescent="0.25">
      <c r="W3266" t="str">
        <f>IF(B3266="","",_xll.BDP(B3266,"INDUSTRY_SECTOR"))</f>
        <v/>
      </c>
      <c r="X3266" t="str">
        <f>IF($B3266="","",_xll.BDP($B3266,"INDUSTRY_GROUP"))</f>
        <v/>
      </c>
      <c r="Y3266" t="str">
        <f>IF($B3266="","",_xll.BDP($B3266,"INDUSTRY_SUBGROUP"))</f>
        <v/>
      </c>
      <c r="Z3266" t="str">
        <f>IF($B3266="","",_xll.BDP($B3266,"COUNTRY_FULL_NAME"))</f>
        <v/>
      </c>
    </row>
    <row r="3267" spans="23:26" x14ac:dyDescent="0.25">
      <c r="W3267" t="str">
        <f>IF(B3267="","",_xll.BDP(B3267,"INDUSTRY_SECTOR"))</f>
        <v/>
      </c>
      <c r="X3267" t="str">
        <f>IF($B3267="","",_xll.BDP($B3267,"INDUSTRY_GROUP"))</f>
        <v/>
      </c>
      <c r="Y3267" t="str">
        <f>IF($B3267="","",_xll.BDP($B3267,"INDUSTRY_SUBGROUP"))</f>
        <v/>
      </c>
      <c r="Z3267" t="str">
        <f>IF($B3267="","",_xll.BDP($B3267,"COUNTRY_FULL_NAME"))</f>
        <v/>
      </c>
    </row>
    <row r="3268" spans="23:26" x14ac:dyDescent="0.25">
      <c r="W3268" t="str">
        <f>IF(B3268="","",_xll.BDP(B3268,"INDUSTRY_SECTOR"))</f>
        <v/>
      </c>
      <c r="X3268" t="str">
        <f>IF($B3268="","",_xll.BDP($B3268,"INDUSTRY_GROUP"))</f>
        <v/>
      </c>
      <c r="Y3268" t="str">
        <f>IF($B3268="","",_xll.BDP($B3268,"INDUSTRY_SUBGROUP"))</f>
        <v/>
      </c>
      <c r="Z3268" t="str">
        <f>IF($B3268="","",_xll.BDP($B3268,"COUNTRY_FULL_NAME"))</f>
        <v/>
      </c>
    </row>
    <row r="3269" spans="23:26" x14ac:dyDescent="0.25">
      <c r="W3269" t="str">
        <f>IF(B3269="","",_xll.BDP(B3269,"INDUSTRY_SECTOR"))</f>
        <v/>
      </c>
      <c r="X3269" t="str">
        <f>IF($B3269="","",_xll.BDP($B3269,"INDUSTRY_GROUP"))</f>
        <v/>
      </c>
      <c r="Y3269" t="str">
        <f>IF($B3269="","",_xll.BDP($B3269,"INDUSTRY_SUBGROUP"))</f>
        <v/>
      </c>
      <c r="Z3269" t="str">
        <f>IF($B3269="","",_xll.BDP($B3269,"COUNTRY_FULL_NAME"))</f>
        <v/>
      </c>
    </row>
    <row r="3270" spans="23:26" x14ac:dyDescent="0.25">
      <c r="W3270" t="str">
        <f>IF(B3270="","",_xll.BDP(B3270,"INDUSTRY_SECTOR"))</f>
        <v/>
      </c>
      <c r="X3270" t="str">
        <f>IF($B3270="","",_xll.BDP($B3270,"INDUSTRY_GROUP"))</f>
        <v/>
      </c>
      <c r="Y3270" t="str">
        <f>IF($B3270="","",_xll.BDP($B3270,"INDUSTRY_SUBGROUP"))</f>
        <v/>
      </c>
      <c r="Z3270" t="str">
        <f>IF($B3270="","",_xll.BDP($B3270,"COUNTRY_FULL_NAME"))</f>
        <v/>
      </c>
    </row>
    <row r="3271" spans="23:26" x14ac:dyDescent="0.25">
      <c r="W3271" t="str">
        <f>IF(B3271="","",_xll.BDP(B3271,"INDUSTRY_SECTOR"))</f>
        <v/>
      </c>
      <c r="X3271" t="str">
        <f>IF($B3271="","",_xll.BDP($B3271,"INDUSTRY_GROUP"))</f>
        <v/>
      </c>
      <c r="Y3271" t="str">
        <f>IF($B3271="","",_xll.BDP($B3271,"INDUSTRY_SUBGROUP"))</f>
        <v/>
      </c>
      <c r="Z3271" t="str">
        <f>IF($B3271="","",_xll.BDP($B3271,"COUNTRY_FULL_NAME"))</f>
        <v/>
      </c>
    </row>
    <row r="3272" spans="23:26" x14ac:dyDescent="0.25">
      <c r="W3272" t="str">
        <f>IF(B3272="","",_xll.BDP(B3272,"INDUSTRY_SECTOR"))</f>
        <v/>
      </c>
      <c r="X3272" t="str">
        <f>IF($B3272="","",_xll.BDP($B3272,"INDUSTRY_GROUP"))</f>
        <v/>
      </c>
      <c r="Y3272" t="str">
        <f>IF($B3272="","",_xll.BDP($B3272,"INDUSTRY_SUBGROUP"))</f>
        <v/>
      </c>
      <c r="Z3272" t="str">
        <f>IF($B3272="","",_xll.BDP($B3272,"COUNTRY_FULL_NAME"))</f>
        <v/>
      </c>
    </row>
    <row r="3273" spans="23:26" x14ac:dyDescent="0.25">
      <c r="W3273" t="str">
        <f>IF(B3273="","",_xll.BDP(B3273,"INDUSTRY_SECTOR"))</f>
        <v/>
      </c>
      <c r="X3273" t="str">
        <f>IF($B3273="","",_xll.BDP($B3273,"INDUSTRY_GROUP"))</f>
        <v/>
      </c>
      <c r="Y3273" t="str">
        <f>IF($B3273="","",_xll.BDP($B3273,"INDUSTRY_SUBGROUP"))</f>
        <v/>
      </c>
      <c r="Z3273" t="str">
        <f>IF($B3273="","",_xll.BDP($B3273,"COUNTRY_FULL_NAME"))</f>
        <v/>
      </c>
    </row>
    <row r="3274" spans="23:26" x14ac:dyDescent="0.25">
      <c r="W3274" t="str">
        <f>IF(B3274="","",_xll.BDP(B3274,"INDUSTRY_SECTOR"))</f>
        <v/>
      </c>
      <c r="X3274" t="str">
        <f>IF($B3274="","",_xll.BDP($B3274,"INDUSTRY_GROUP"))</f>
        <v/>
      </c>
      <c r="Y3274" t="str">
        <f>IF($B3274="","",_xll.BDP($B3274,"INDUSTRY_SUBGROUP"))</f>
        <v/>
      </c>
      <c r="Z3274" t="str">
        <f>IF($B3274="","",_xll.BDP($B3274,"COUNTRY_FULL_NAME"))</f>
        <v/>
      </c>
    </row>
    <row r="3275" spans="23:26" x14ac:dyDescent="0.25">
      <c r="W3275" t="str">
        <f>IF(B3275="","",_xll.BDP(B3275,"INDUSTRY_SECTOR"))</f>
        <v/>
      </c>
      <c r="X3275" t="str">
        <f>IF($B3275="","",_xll.BDP($B3275,"INDUSTRY_GROUP"))</f>
        <v/>
      </c>
      <c r="Y3275" t="str">
        <f>IF($B3275="","",_xll.BDP($B3275,"INDUSTRY_SUBGROUP"))</f>
        <v/>
      </c>
      <c r="Z3275" t="str">
        <f>IF($B3275="","",_xll.BDP($B3275,"COUNTRY_FULL_NAME"))</f>
        <v/>
      </c>
    </row>
    <row r="3276" spans="23:26" x14ac:dyDescent="0.25">
      <c r="W3276" t="str">
        <f>IF(B3276="","",_xll.BDP(B3276,"INDUSTRY_SECTOR"))</f>
        <v/>
      </c>
      <c r="X3276" t="str">
        <f>IF($B3276="","",_xll.BDP($B3276,"INDUSTRY_GROUP"))</f>
        <v/>
      </c>
      <c r="Y3276" t="str">
        <f>IF($B3276="","",_xll.BDP($B3276,"INDUSTRY_SUBGROUP"))</f>
        <v/>
      </c>
      <c r="Z3276" t="str">
        <f>IF($B3276="","",_xll.BDP($B3276,"COUNTRY_FULL_NAME"))</f>
        <v/>
      </c>
    </row>
    <row r="3277" spans="23:26" x14ac:dyDescent="0.25">
      <c r="W3277" t="str">
        <f>IF(B3277="","",_xll.BDP(B3277,"INDUSTRY_SECTOR"))</f>
        <v/>
      </c>
      <c r="X3277" t="str">
        <f>IF($B3277="","",_xll.BDP($B3277,"INDUSTRY_GROUP"))</f>
        <v/>
      </c>
      <c r="Y3277" t="str">
        <f>IF($B3277="","",_xll.BDP($B3277,"INDUSTRY_SUBGROUP"))</f>
        <v/>
      </c>
      <c r="Z3277" t="str">
        <f>IF($B3277="","",_xll.BDP($B3277,"COUNTRY_FULL_NAME"))</f>
        <v/>
      </c>
    </row>
    <row r="3278" spans="23:26" x14ac:dyDescent="0.25">
      <c r="W3278" t="str">
        <f>IF(B3278="","",_xll.BDP(B3278,"INDUSTRY_SECTOR"))</f>
        <v/>
      </c>
      <c r="X3278" t="str">
        <f>IF($B3278="","",_xll.BDP($B3278,"INDUSTRY_GROUP"))</f>
        <v/>
      </c>
      <c r="Y3278" t="str">
        <f>IF($B3278="","",_xll.BDP($B3278,"INDUSTRY_SUBGROUP"))</f>
        <v/>
      </c>
      <c r="Z3278" t="str">
        <f>IF($B3278="","",_xll.BDP($B3278,"COUNTRY_FULL_NAME"))</f>
        <v/>
      </c>
    </row>
    <row r="3279" spans="23:26" x14ac:dyDescent="0.25">
      <c r="W3279" t="str">
        <f>IF(B3279="","",_xll.BDP(B3279,"INDUSTRY_SECTOR"))</f>
        <v/>
      </c>
      <c r="X3279" t="str">
        <f>IF($B3279="","",_xll.BDP($B3279,"INDUSTRY_GROUP"))</f>
        <v/>
      </c>
      <c r="Y3279" t="str">
        <f>IF($B3279="","",_xll.BDP($B3279,"INDUSTRY_SUBGROUP"))</f>
        <v/>
      </c>
      <c r="Z3279" t="str">
        <f>IF($B3279="","",_xll.BDP($B3279,"COUNTRY_FULL_NAME"))</f>
        <v/>
      </c>
    </row>
    <row r="3280" spans="23:26" x14ac:dyDescent="0.25">
      <c r="W3280" t="str">
        <f>IF(B3280="","",_xll.BDP(B3280,"INDUSTRY_SECTOR"))</f>
        <v/>
      </c>
      <c r="X3280" t="str">
        <f>IF($B3280="","",_xll.BDP($B3280,"INDUSTRY_GROUP"))</f>
        <v/>
      </c>
      <c r="Y3280" t="str">
        <f>IF($B3280="","",_xll.BDP($B3280,"INDUSTRY_SUBGROUP"))</f>
        <v/>
      </c>
      <c r="Z3280" t="str">
        <f>IF($B3280="","",_xll.BDP($B3280,"COUNTRY_FULL_NAME"))</f>
        <v/>
      </c>
    </row>
    <row r="3281" spans="23:26" x14ac:dyDescent="0.25">
      <c r="W3281" t="str">
        <f>IF(B3281="","",_xll.BDP(B3281,"INDUSTRY_SECTOR"))</f>
        <v/>
      </c>
      <c r="X3281" t="str">
        <f>IF($B3281="","",_xll.BDP($B3281,"INDUSTRY_GROUP"))</f>
        <v/>
      </c>
      <c r="Y3281" t="str">
        <f>IF($B3281="","",_xll.BDP($B3281,"INDUSTRY_SUBGROUP"))</f>
        <v/>
      </c>
      <c r="Z3281" t="str">
        <f>IF($B3281="","",_xll.BDP($B3281,"COUNTRY_FULL_NAME"))</f>
        <v/>
      </c>
    </row>
    <row r="3282" spans="23:26" x14ac:dyDescent="0.25">
      <c r="W3282" t="str">
        <f>IF(B3282="","",_xll.BDP(B3282,"INDUSTRY_SECTOR"))</f>
        <v/>
      </c>
      <c r="X3282" t="str">
        <f>IF($B3282="","",_xll.BDP($B3282,"INDUSTRY_GROUP"))</f>
        <v/>
      </c>
      <c r="Y3282" t="str">
        <f>IF($B3282="","",_xll.BDP($B3282,"INDUSTRY_SUBGROUP"))</f>
        <v/>
      </c>
      <c r="Z3282" t="str">
        <f>IF($B3282="","",_xll.BDP($B3282,"COUNTRY_FULL_NAME"))</f>
        <v/>
      </c>
    </row>
    <row r="3283" spans="23:26" x14ac:dyDescent="0.25">
      <c r="W3283" t="str">
        <f>IF(B3283="","",_xll.BDP(B3283,"INDUSTRY_SECTOR"))</f>
        <v/>
      </c>
      <c r="X3283" t="str">
        <f>IF($B3283="","",_xll.BDP($B3283,"INDUSTRY_GROUP"))</f>
        <v/>
      </c>
      <c r="Y3283" t="str">
        <f>IF($B3283="","",_xll.BDP($B3283,"INDUSTRY_SUBGROUP"))</f>
        <v/>
      </c>
      <c r="Z3283" t="str">
        <f>IF($B3283="","",_xll.BDP($B3283,"COUNTRY_FULL_NAME"))</f>
        <v/>
      </c>
    </row>
    <row r="3284" spans="23:26" x14ac:dyDescent="0.25">
      <c r="W3284" t="str">
        <f>IF(B3284="","",_xll.BDP(B3284,"INDUSTRY_SECTOR"))</f>
        <v/>
      </c>
      <c r="X3284" t="str">
        <f>IF($B3284="","",_xll.BDP($B3284,"INDUSTRY_GROUP"))</f>
        <v/>
      </c>
      <c r="Y3284" t="str">
        <f>IF($B3284="","",_xll.BDP($B3284,"INDUSTRY_SUBGROUP"))</f>
        <v/>
      </c>
      <c r="Z3284" t="str">
        <f>IF($B3284="","",_xll.BDP($B3284,"COUNTRY_FULL_NAME"))</f>
        <v/>
      </c>
    </row>
    <row r="3285" spans="23:26" x14ac:dyDescent="0.25">
      <c r="W3285" t="str">
        <f>IF(B3285="","",_xll.BDP(B3285,"INDUSTRY_SECTOR"))</f>
        <v/>
      </c>
      <c r="X3285" t="str">
        <f>IF($B3285="","",_xll.BDP($B3285,"INDUSTRY_GROUP"))</f>
        <v/>
      </c>
      <c r="Y3285" t="str">
        <f>IF($B3285="","",_xll.BDP($B3285,"INDUSTRY_SUBGROUP"))</f>
        <v/>
      </c>
      <c r="Z3285" t="str">
        <f>IF($B3285="","",_xll.BDP($B3285,"COUNTRY_FULL_NAME"))</f>
        <v/>
      </c>
    </row>
    <row r="3286" spans="23:26" x14ac:dyDescent="0.25">
      <c r="W3286" t="str">
        <f>IF(B3286="","",_xll.BDP(B3286,"INDUSTRY_SECTOR"))</f>
        <v/>
      </c>
      <c r="X3286" t="str">
        <f>IF($B3286="","",_xll.BDP($B3286,"INDUSTRY_GROUP"))</f>
        <v/>
      </c>
      <c r="Y3286" t="str">
        <f>IF($B3286="","",_xll.BDP($B3286,"INDUSTRY_SUBGROUP"))</f>
        <v/>
      </c>
      <c r="Z3286" t="str">
        <f>IF($B3286="","",_xll.BDP($B3286,"COUNTRY_FULL_NAME"))</f>
        <v/>
      </c>
    </row>
    <row r="3287" spans="23:26" x14ac:dyDescent="0.25">
      <c r="W3287" t="str">
        <f>IF(B3287="","",_xll.BDP(B3287,"INDUSTRY_SECTOR"))</f>
        <v/>
      </c>
      <c r="X3287" t="str">
        <f>IF($B3287="","",_xll.BDP($B3287,"INDUSTRY_GROUP"))</f>
        <v/>
      </c>
      <c r="Y3287" t="str">
        <f>IF($B3287="","",_xll.BDP($B3287,"INDUSTRY_SUBGROUP"))</f>
        <v/>
      </c>
      <c r="Z3287" t="str">
        <f>IF($B3287="","",_xll.BDP($B3287,"COUNTRY_FULL_NAME"))</f>
        <v/>
      </c>
    </row>
    <row r="3288" spans="23:26" x14ac:dyDescent="0.25">
      <c r="W3288" t="str">
        <f>IF(B3288="","",_xll.BDP(B3288,"INDUSTRY_SECTOR"))</f>
        <v/>
      </c>
      <c r="X3288" t="str">
        <f>IF($B3288="","",_xll.BDP($B3288,"INDUSTRY_GROUP"))</f>
        <v/>
      </c>
      <c r="Y3288" t="str">
        <f>IF($B3288="","",_xll.BDP($B3288,"INDUSTRY_SUBGROUP"))</f>
        <v/>
      </c>
      <c r="Z3288" t="str">
        <f>IF($B3288="","",_xll.BDP($B3288,"COUNTRY_FULL_NAME"))</f>
        <v/>
      </c>
    </row>
    <row r="3289" spans="23:26" x14ac:dyDescent="0.25">
      <c r="W3289" t="str">
        <f>IF(B3289="","",_xll.BDP(B3289,"INDUSTRY_SECTOR"))</f>
        <v/>
      </c>
      <c r="X3289" t="str">
        <f>IF($B3289="","",_xll.BDP($B3289,"INDUSTRY_GROUP"))</f>
        <v/>
      </c>
      <c r="Y3289" t="str">
        <f>IF($B3289="","",_xll.BDP($B3289,"INDUSTRY_SUBGROUP"))</f>
        <v/>
      </c>
      <c r="Z3289" t="str">
        <f>IF($B3289="","",_xll.BDP($B3289,"COUNTRY_FULL_NAME"))</f>
        <v/>
      </c>
    </row>
    <row r="3290" spans="23:26" x14ac:dyDescent="0.25">
      <c r="W3290" t="str">
        <f>IF(B3290="","",_xll.BDP(B3290,"INDUSTRY_SECTOR"))</f>
        <v/>
      </c>
      <c r="X3290" t="str">
        <f>IF($B3290="","",_xll.BDP($B3290,"INDUSTRY_GROUP"))</f>
        <v/>
      </c>
      <c r="Y3290" t="str">
        <f>IF($B3290="","",_xll.BDP($B3290,"INDUSTRY_SUBGROUP"))</f>
        <v/>
      </c>
      <c r="Z3290" t="str">
        <f>IF($B3290="","",_xll.BDP($B3290,"COUNTRY_FULL_NAME"))</f>
        <v/>
      </c>
    </row>
    <row r="3291" spans="23:26" x14ac:dyDescent="0.25">
      <c r="W3291" t="str">
        <f>IF(B3291="","",_xll.BDP(B3291,"INDUSTRY_SECTOR"))</f>
        <v/>
      </c>
      <c r="X3291" t="str">
        <f>IF($B3291="","",_xll.BDP($B3291,"INDUSTRY_GROUP"))</f>
        <v/>
      </c>
      <c r="Y3291" t="str">
        <f>IF($B3291="","",_xll.BDP($B3291,"INDUSTRY_SUBGROUP"))</f>
        <v/>
      </c>
      <c r="Z3291" t="str">
        <f>IF($B3291="","",_xll.BDP($B3291,"COUNTRY_FULL_NAME"))</f>
        <v/>
      </c>
    </row>
    <row r="3292" spans="23:26" x14ac:dyDescent="0.25">
      <c r="W3292" t="str">
        <f>IF(B3292="","",_xll.BDP(B3292,"INDUSTRY_SECTOR"))</f>
        <v/>
      </c>
      <c r="X3292" t="str">
        <f>IF($B3292="","",_xll.BDP($B3292,"INDUSTRY_GROUP"))</f>
        <v/>
      </c>
      <c r="Y3292" t="str">
        <f>IF($B3292="","",_xll.BDP($B3292,"INDUSTRY_SUBGROUP"))</f>
        <v/>
      </c>
      <c r="Z3292" t="str">
        <f>IF($B3292="","",_xll.BDP($B3292,"COUNTRY_FULL_NAME"))</f>
        <v/>
      </c>
    </row>
    <row r="3293" spans="23:26" x14ac:dyDescent="0.25">
      <c r="W3293" t="str">
        <f>IF(B3293="","",_xll.BDP(B3293,"INDUSTRY_SECTOR"))</f>
        <v/>
      </c>
      <c r="X3293" t="str">
        <f>IF($B3293="","",_xll.BDP($B3293,"INDUSTRY_GROUP"))</f>
        <v/>
      </c>
      <c r="Y3293" t="str">
        <f>IF($B3293="","",_xll.BDP($B3293,"INDUSTRY_SUBGROUP"))</f>
        <v/>
      </c>
      <c r="Z3293" t="str">
        <f>IF($B3293="","",_xll.BDP($B3293,"COUNTRY_FULL_NAME"))</f>
        <v/>
      </c>
    </row>
    <row r="3294" spans="23:26" x14ac:dyDescent="0.25">
      <c r="W3294" t="str">
        <f>IF(B3294="","",_xll.BDP(B3294,"INDUSTRY_SECTOR"))</f>
        <v/>
      </c>
      <c r="X3294" t="str">
        <f>IF($B3294="","",_xll.BDP($B3294,"INDUSTRY_GROUP"))</f>
        <v/>
      </c>
      <c r="Y3294" t="str">
        <f>IF($B3294="","",_xll.BDP($B3294,"INDUSTRY_SUBGROUP"))</f>
        <v/>
      </c>
      <c r="Z3294" t="str">
        <f>IF($B3294="","",_xll.BDP($B3294,"COUNTRY_FULL_NAME"))</f>
        <v/>
      </c>
    </row>
    <row r="3295" spans="23:26" x14ac:dyDescent="0.25">
      <c r="W3295" t="str">
        <f>IF(B3295="","",_xll.BDP(B3295,"INDUSTRY_SECTOR"))</f>
        <v/>
      </c>
      <c r="X3295" t="str">
        <f>IF($B3295="","",_xll.BDP($B3295,"INDUSTRY_GROUP"))</f>
        <v/>
      </c>
      <c r="Y3295" t="str">
        <f>IF($B3295="","",_xll.BDP($B3295,"INDUSTRY_SUBGROUP"))</f>
        <v/>
      </c>
      <c r="Z3295" t="str">
        <f>IF($B3295="","",_xll.BDP($B3295,"COUNTRY_FULL_NAME"))</f>
        <v/>
      </c>
    </row>
    <row r="3296" spans="23:26" x14ac:dyDescent="0.25">
      <c r="W3296" t="str">
        <f>IF(B3296="","",_xll.BDP(B3296,"INDUSTRY_SECTOR"))</f>
        <v/>
      </c>
      <c r="X3296" t="str">
        <f>IF($B3296="","",_xll.BDP($B3296,"INDUSTRY_GROUP"))</f>
        <v/>
      </c>
      <c r="Y3296" t="str">
        <f>IF($B3296="","",_xll.BDP($B3296,"INDUSTRY_SUBGROUP"))</f>
        <v/>
      </c>
      <c r="Z3296" t="str">
        <f>IF($B3296="","",_xll.BDP($B3296,"COUNTRY_FULL_NAME"))</f>
        <v/>
      </c>
    </row>
    <row r="3297" spans="23:26" x14ac:dyDescent="0.25">
      <c r="W3297" t="str">
        <f>IF(B3297="","",_xll.BDP(B3297,"INDUSTRY_SECTOR"))</f>
        <v/>
      </c>
      <c r="X3297" t="str">
        <f>IF($B3297="","",_xll.BDP($B3297,"INDUSTRY_GROUP"))</f>
        <v/>
      </c>
      <c r="Y3297" t="str">
        <f>IF($B3297="","",_xll.BDP($B3297,"INDUSTRY_SUBGROUP"))</f>
        <v/>
      </c>
      <c r="Z3297" t="str">
        <f>IF($B3297="","",_xll.BDP($B3297,"COUNTRY_FULL_NAME"))</f>
        <v/>
      </c>
    </row>
    <row r="3298" spans="23:26" x14ac:dyDescent="0.25">
      <c r="W3298" t="str">
        <f>IF(B3298="","",_xll.BDP(B3298,"INDUSTRY_SECTOR"))</f>
        <v/>
      </c>
      <c r="X3298" t="str">
        <f>IF($B3298="","",_xll.BDP($B3298,"INDUSTRY_GROUP"))</f>
        <v/>
      </c>
      <c r="Y3298" t="str">
        <f>IF($B3298="","",_xll.BDP($B3298,"INDUSTRY_SUBGROUP"))</f>
        <v/>
      </c>
      <c r="Z3298" t="str">
        <f>IF($B3298="","",_xll.BDP($B3298,"COUNTRY_FULL_NAME"))</f>
        <v/>
      </c>
    </row>
    <row r="3299" spans="23:26" x14ac:dyDescent="0.25">
      <c r="W3299" t="str">
        <f>IF(B3299="","",_xll.BDP(B3299,"INDUSTRY_SECTOR"))</f>
        <v/>
      </c>
      <c r="X3299" t="str">
        <f>IF($B3299="","",_xll.BDP($B3299,"INDUSTRY_GROUP"))</f>
        <v/>
      </c>
      <c r="Y3299" t="str">
        <f>IF($B3299="","",_xll.BDP($B3299,"INDUSTRY_SUBGROUP"))</f>
        <v/>
      </c>
      <c r="Z3299" t="str">
        <f>IF($B3299="","",_xll.BDP($B3299,"COUNTRY_FULL_NAME"))</f>
        <v/>
      </c>
    </row>
    <row r="3300" spans="23:26" x14ac:dyDescent="0.25">
      <c r="W3300" t="str">
        <f>IF(B3300="","",_xll.BDP(B3300,"INDUSTRY_SECTOR"))</f>
        <v/>
      </c>
      <c r="X3300" t="str">
        <f>IF($B3300="","",_xll.BDP($B3300,"INDUSTRY_GROUP"))</f>
        <v/>
      </c>
      <c r="Y3300" t="str">
        <f>IF($B3300="","",_xll.BDP($B3300,"INDUSTRY_SUBGROUP"))</f>
        <v/>
      </c>
      <c r="Z3300" t="str">
        <f>IF($B3300="","",_xll.BDP($B3300,"COUNTRY_FULL_NAME"))</f>
        <v/>
      </c>
    </row>
    <row r="3301" spans="23:26" x14ac:dyDescent="0.25">
      <c r="W3301" t="str">
        <f>IF(B3301="","",_xll.BDP(B3301,"INDUSTRY_SECTOR"))</f>
        <v/>
      </c>
      <c r="X3301" t="str">
        <f>IF($B3301="","",_xll.BDP($B3301,"INDUSTRY_GROUP"))</f>
        <v/>
      </c>
      <c r="Y3301" t="str">
        <f>IF($B3301="","",_xll.BDP($B3301,"INDUSTRY_SUBGROUP"))</f>
        <v/>
      </c>
      <c r="Z3301" t="str">
        <f>IF($B3301="","",_xll.BDP($B3301,"COUNTRY_FULL_NAME"))</f>
        <v/>
      </c>
    </row>
    <row r="3302" spans="23:26" x14ac:dyDescent="0.25">
      <c r="W3302" t="str">
        <f>IF(B3302="","",_xll.BDP(B3302,"INDUSTRY_SECTOR"))</f>
        <v/>
      </c>
      <c r="X3302" t="str">
        <f>IF($B3302="","",_xll.BDP($B3302,"INDUSTRY_GROUP"))</f>
        <v/>
      </c>
      <c r="Y3302" t="str">
        <f>IF($B3302="","",_xll.BDP($B3302,"INDUSTRY_SUBGROUP"))</f>
        <v/>
      </c>
      <c r="Z3302" t="str">
        <f>IF($B3302="","",_xll.BDP($B3302,"COUNTRY_FULL_NAME"))</f>
        <v/>
      </c>
    </row>
    <row r="3303" spans="23:26" x14ac:dyDescent="0.25">
      <c r="W3303" t="str">
        <f>IF(B3303="","",_xll.BDP(B3303,"INDUSTRY_SECTOR"))</f>
        <v/>
      </c>
      <c r="X3303" t="str">
        <f>IF($B3303="","",_xll.BDP($B3303,"INDUSTRY_GROUP"))</f>
        <v/>
      </c>
      <c r="Y3303" t="str">
        <f>IF($B3303="","",_xll.BDP($B3303,"INDUSTRY_SUBGROUP"))</f>
        <v/>
      </c>
      <c r="Z3303" t="str">
        <f>IF($B3303="","",_xll.BDP($B3303,"COUNTRY_FULL_NAME"))</f>
        <v/>
      </c>
    </row>
    <row r="3304" spans="23:26" x14ac:dyDescent="0.25">
      <c r="W3304" t="str">
        <f>IF(B3304="","",_xll.BDP(B3304,"INDUSTRY_SECTOR"))</f>
        <v/>
      </c>
      <c r="X3304" t="str">
        <f>IF($B3304="","",_xll.BDP($B3304,"INDUSTRY_GROUP"))</f>
        <v/>
      </c>
      <c r="Y3304" t="str">
        <f>IF($B3304="","",_xll.BDP($B3304,"INDUSTRY_SUBGROUP"))</f>
        <v/>
      </c>
      <c r="Z3304" t="str">
        <f>IF($B3304="","",_xll.BDP($B3304,"COUNTRY_FULL_NAME"))</f>
        <v/>
      </c>
    </row>
    <row r="3305" spans="23:26" x14ac:dyDescent="0.25">
      <c r="W3305" t="str">
        <f>IF(B3305="","",_xll.BDP(B3305,"INDUSTRY_SECTOR"))</f>
        <v/>
      </c>
      <c r="X3305" t="str">
        <f>IF($B3305="","",_xll.BDP($B3305,"INDUSTRY_GROUP"))</f>
        <v/>
      </c>
      <c r="Y3305" t="str">
        <f>IF($B3305="","",_xll.BDP($B3305,"INDUSTRY_SUBGROUP"))</f>
        <v/>
      </c>
      <c r="Z3305" t="str">
        <f>IF($B3305="","",_xll.BDP($B3305,"COUNTRY_FULL_NAME"))</f>
        <v/>
      </c>
    </row>
    <row r="3306" spans="23:26" x14ac:dyDescent="0.25">
      <c r="W3306" t="str">
        <f>IF(B3306="","",_xll.BDP(B3306,"INDUSTRY_SECTOR"))</f>
        <v/>
      </c>
      <c r="X3306" t="str">
        <f>IF($B3306="","",_xll.BDP($B3306,"INDUSTRY_GROUP"))</f>
        <v/>
      </c>
      <c r="Y3306" t="str">
        <f>IF($B3306="","",_xll.BDP($B3306,"INDUSTRY_SUBGROUP"))</f>
        <v/>
      </c>
      <c r="Z3306" t="str">
        <f>IF($B3306="","",_xll.BDP($B3306,"COUNTRY_FULL_NAME"))</f>
        <v/>
      </c>
    </row>
    <row r="3307" spans="23:26" x14ac:dyDescent="0.25">
      <c r="W3307" t="str">
        <f>IF(B3307="","",_xll.BDP(B3307,"INDUSTRY_SECTOR"))</f>
        <v/>
      </c>
      <c r="X3307" t="str">
        <f>IF($B3307="","",_xll.BDP($B3307,"INDUSTRY_GROUP"))</f>
        <v/>
      </c>
      <c r="Y3307" t="str">
        <f>IF($B3307="","",_xll.BDP($B3307,"INDUSTRY_SUBGROUP"))</f>
        <v/>
      </c>
      <c r="Z3307" t="str">
        <f>IF($B3307="","",_xll.BDP($B3307,"COUNTRY_FULL_NAME"))</f>
        <v/>
      </c>
    </row>
    <row r="3308" spans="23:26" x14ac:dyDescent="0.25">
      <c r="W3308" t="str">
        <f>IF(B3308="","",_xll.BDP(B3308,"INDUSTRY_SECTOR"))</f>
        <v/>
      </c>
      <c r="X3308" t="str">
        <f>IF($B3308="","",_xll.BDP($B3308,"INDUSTRY_GROUP"))</f>
        <v/>
      </c>
      <c r="Y3308" t="str">
        <f>IF($B3308="","",_xll.BDP($B3308,"INDUSTRY_SUBGROUP"))</f>
        <v/>
      </c>
      <c r="Z3308" t="str">
        <f>IF($B3308="","",_xll.BDP($B3308,"COUNTRY_FULL_NAME"))</f>
        <v/>
      </c>
    </row>
    <row r="3309" spans="23:26" x14ac:dyDescent="0.25">
      <c r="W3309" t="str">
        <f>IF(B3309="","",_xll.BDP(B3309,"INDUSTRY_SECTOR"))</f>
        <v/>
      </c>
      <c r="X3309" t="str">
        <f>IF($B3309="","",_xll.BDP($B3309,"INDUSTRY_GROUP"))</f>
        <v/>
      </c>
      <c r="Y3309" t="str">
        <f>IF($B3309="","",_xll.BDP($B3309,"INDUSTRY_SUBGROUP"))</f>
        <v/>
      </c>
      <c r="Z3309" t="str">
        <f>IF($B3309="","",_xll.BDP($B3309,"COUNTRY_FULL_NAME"))</f>
        <v/>
      </c>
    </row>
    <row r="3310" spans="23:26" x14ac:dyDescent="0.25">
      <c r="W3310" t="str">
        <f>IF(B3310="","",_xll.BDP(B3310,"INDUSTRY_SECTOR"))</f>
        <v/>
      </c>
      <c r="X3310" t="str">
        <f>IF($B3310="","",_xll.BDP($B3310,"INDUSTRY_GROUP"))</f>
        <v/>
      </c>
      <c r="Y3310" t="str">
        <f>IF($B3310="","",_xll.BDP($B3310,"INDUSTRY_SUBGROUP"))</f>
        <v/>
      </c>
      <c r="Z3310" t="str">
        <f>IF($B3310="","",_xll.BDP($B3310,"COUNTRY_FULL_NAME"))</f>
        <v/>
      </c>
    </row>
    <row r="3311" spans="23:26" x14ac:dyDescent="0.25">
      <c r="W3311" t="str">
        <f>IF(B3311="","",_xll.BDP(B3311,"INDUSTRY_SECTOR"))</f>
        <v/>
      </c>
      <c r="X3311" t="str">
        <f>IF($B3311="","",_xll.BDP($B3311,"INDUSTRY_GROUP"))</f>
        <v/>
      </c>
      <c r="Y3311" t="str">
        <f>IF($B3311="","",_xll.BDP($B3311,"INDUSTRY_SUBGROUP"))</f>
        <v/>
      </c>
      <c r="Z3311" t="str">
        <f>IF($B3311="","",_xll.BDP($B3311,"COUNTRY_FULL_NAME"))</f>
        <v/>
      </c>
    </row>
    <row r="3312" spans="23:26" x14ac:dyDescent="0.25">
      <c r="W3312" t="str">
        <f>IF(B3312="","",_xll.BDP(B3312,"INDUSTRY_SECTOR"))</f>
        <v/>
      </c>
      <c r="X3312" t="str">
        <f>IF($B3312="","",_xll.BDP($B3312,"INDUSTRY_GROUP"))</f>
        <v/>
      </c>
      <c r="Y3312" t="str">
        <f>IF($B3312="","",_xll.BDP($B3312,"INDUSTRY_SUBGROUP"))</f>
        <v/>
      </c>
      <c r="Z3312" t="str">
        <f>IF($B3312="","",_xll.BDP($B3312,"COUNTRY_FULL_NAME"))</f>
        <v/>
      </c>
    </row>
    <row r="3313" spans="23:26" x14ac:dyDescent="0.25">
      <c r="W3313" t="str">
        <f>IF(B3313="","",_xll.BDP(B3313,"INDUSTRY_SECTOR"))</f>
        <v/>
      </c>
      <c r="X3313" t="str">
        <f>IF($B3313="","",_xll.BDP($B3313,"INDUSTRY_GROUP"))</f>
        <v/>
      </c>
      <c r="Y3313" t="str">
        <f>IF($B3313="","",_xll.BDP($B3313,"INDUSTRY_SUBGROUP"))</f>
        <v/>
      </c>
      <c r="Z3313" t="str">
        <f>IF($B3313="","",_xll.BDP($B3313,"COUNTRY_FULL_NAME"))</f>
        <v/>
      </c>
    </row>
    <row r="3314" spans="23:26" x14ac:dyDescent="0.25">
      <c r="W3314" t="str">
        <f>IF(B3314="","",_xll.BDP(B3314,"INDUSTRY_SECTOR"))</f>
        <v/>
      </c>
      <c r="X3314" t="str">
        <f>IF($B3314="","",_xll.BDP($B3314,"INDUSTRY_GROUP"))</f>
        <v/>
      </c>
      <c r="Y3314" t="str">
        <f>IF($B3314="","",_xll.BDP($B3314,"INDUSTRY_SUBGROUP"))</f>
        <v/>
      </c>
      <c r="Z3314" t="str">
        <f>IF($B3314="","",_xll.BDP($B3314,"COUNTRY_FULL_NAME"))</f>
        <v/>
      </c>
    </row>
    <row r="3315" spans="23:26" x14ac:dyDescent="0.25">
      <c r="W3315" t="str">
        <f>IF(B3315="","",_xll.BDP(B3315,"INDUSTRY_SECTOR"))</f>
        <v/>
      </c>
      <c r="X3315" t="str">
        <f>IF($B3315="","",_xll.BDP($B3315,"INDUSTRY_GROUP"))</f>
        <v/>
      </c>
      <c r="Y3315" t="str">
        <f>IF($B3315="","",_xll.BDP($B3315,"INDUSTRY_SUBGROUP"))</f>
        <v/>
      </c>
      <c r="Z3315" t="str">
        <f>IF($B3315="","",_xll.BDP($B3315,"COUNTRY_FULL_NAME"))</f>
        <v/>
      </c>
    </row>
    <row r="3316" spans="23:26" x14ac:dyDescent="0.25">
      <c r="W3316" t="str">
        <f>IF(B3316="","",_xll.BDP(B3316,"INDUSTRY_SECTOR"))</f>
        <v/>
      </c>
      <c r="X3316" t="str">
        <f>IF($B3316="","",_xll.BDP($B3316,"INDUSTRY_GROUP"))</f>
        <v/>
      </c>
      <c r="Y3316" t="str">
        <f>IF($B3316="","",_xll.BDP($B3316,"INDUSTRY_SUBGROUP"))</f>
        <v/>
      </c>
      <c r="Z3316" t="str">
        <f>IF($B3316="","",_xll.BDP($B3316,"COUNTRY_FULL_NAME"))</f>
        <v/>
      </c>
    </row>
    <row r="3317" spans="23:26" x14ac:dyDescent="0.25">
      <c r="W3317" t="str">
        <f>IF(B3317="","",_xll.BDP(B3317,"INDUSTRY_SECTOR"))</f>
        <v/>
      </c>
      <c r="X3317" t="str">
        <f>IF($B3317="","",_xll.BDP($B3317,"INDUSTRY_GROUP"))</f>
        <v/>
      </c>
      <c r="Y3317" t="str">
        <f>IF($B3317="","",_xll.BDP($B3317,"INDUSTRY_SUBGROUP"))</f>
        <v/>
      </c>
      <c r="Z3317" t="str">
        <f>IF($B3317="","",_xll.BDP($B3317,"COUNTRY_FULL_NAME"))</f>
        <v/>
      </c>
    </row>
    <row r="3318" spans="23:26" x14ac:dyDescent="0.25">
      <c r="W3318" t="str">
        <f>IF(B3318="","",_xll.BDP(B3318,"INDUSTRY_SECTOR"))</f>
        <v/>
      </c>
      <c r="X3318" t="str">
        <f>IF($B3318="","",_xll.BDP($B3318,"INDUSTRY_GROUP"))</f>
        <v/>
      </c>
      <c r="Y3318" t="str">
        <f>IF($B3318="","",_xll.BDP($B3318,"INDUSTRY_SUBGROUP"))</f>
        <v/>
      </c>
      <c r="Z3318" t="str">
        <f>IF($B3318="","",_xll.BDP($B3318,"COUNTRY_FULL_NAME"))</f>
        <v/>
      </c>
    </row>
    <row r="3319" spans="23:26" x14ac:dyDescent="0.25">
      <c r="W3319" t="str">
        <f>IF(B3319="","",_xll.BDP(B3319,"INDUSTRY_SECTOR"))</f>
        <v/>
      </c>
      <c r="X3319" t="str">
        <f>IF($B3319="","",_xll.BDP($B3319,"INDUSTRY_GROUP"))</f>
        <v/>
      </c>
      <c r="Y3319" t="str">
        <f>IF($B3319="","",_xll.BDP($B3319,"INDUSTRY_SUBGROUP"))</f>
        <v/>
      </c>
      <c r="Z3319" t="str">
        <f>IF($B3319="","",_xll.BDP($B3319,"COUNTRY_FULL_NAME"))</f>
        <v/>
      </c>
    </row>
    <row r="3320" spans="23:26" x14ac:dyDescent="0.25">
      <c r="W3320" t="str">
        <f>IF(B3320="","",_xll.BDP(B3320,"INDUSTRY_SECTOR"))</f>
        <v/>
      </c>
      <c r="X3320" t="str">
        <f>IF($B3320="","",_xll.BDP($B3320,"INDUSTRY_GROUP"))</f>
        <v/>
      </c>
      <c r="Y3320" t="str">
        <f>IF($B3320="","",_xll.BDP($B3320,"INDUSTRY_SUBGROUP"))</f>
        <v/>
      </c>
      <c r="Z3320" t="str">
        <f>IF($B3320="","",_xll.BDP($B3320,"COUNTRY_FULL_NAME"))</f>
        <v/>
      </c>
    </row>
    <row r="3321" spans="23:26" x14ac:dyDescent="0.25">
      <c r="W3321" t="str">
        <f>IF(B3321="","",_xll.BDP(B3321,"INDUSTRY_SECTOR"))</f>
        <v/>
      </c>
      <c r="X3321" t="str">
        <f>IF($B3321="","",_xll.BDP($B3321,"INDUSTRY_GROUP"))</f>
        <v/>
      </c>
      <c r="Y3321" t="str">
        <f>IF($B3321="","",_xll.BDP($B3321,"INDUSTRY_SUBGROUP"))</f>
        <v/>
      </c>
      <c r="Z3321" t="str">
        <f>IF($B3321="","",_xll.BDP($B3321,"COUNTRY_FULL_NAME"))</f>
        <v/>
      </c>
    </row>
    <row r="3322" spans="23:26" x14ac:dyDescent="0.25">
      <c r="W3322" t="str">
        <f>IF(B3322="","",_xll.BDP(B3322,"INDUSTRY_SECTOR"))</f>
        <v/>
      </c>
      <c r="X3322" t="str">
        <f>IF($B3322="","",_xll.BDP($B3322,"INDUSTRY_GROUP"))</f>
        <v/>
      </c>
      <c r="Y3322" t="str">
        <f>IF($B3322="","",_xll.BDP($B3322,"INDUSTRY_SUBGROUP"))</f>
        <v/>
      </c>
      <c r="Z3322" t="str">
        <f>IF($B3322="","",_xll.BDP($B3322,"COUNTRY_FULL_NAME"))</f>
        <v/>
      </c>
    </row>
    <row r="3323" spans="23:26" x14ac:dyDescent="0.25">
      <c r="W3323" t="str">
        <f>IF(B3323="","",_xll.BDP(B3323,"INDUSTRY_SECTOR"))</f>
        <v/>
      </c>
      <c r="X3323" t="str">
        <f>IF($B3323="","",_xll.BDP($B3323,"INDUSTRY_GROUP"))</f>
        <v/>
      </c>
      <c r="Y3323" t="str">
        <f>IF($B3323="","",_xll.BDP($B3323,"INDUSTRY_SUBGROUP"))</f>
        <v/>
      </c>
      <c r="Z3323" t="str">
        <f>IF($B3323="","",_xll.BDP($B3323,"COUNTRY_FULL_NAME"))</f>
        <v/>
      </c>
    </row>
    <row r="3324" spans="23:26" x14ac:dyDescent="0.25">
      <c r="W3324" t="str">
        <f>IF(B3324="","",_xll.BDP(B3324,"INDUSTRY_SECTOR"))</f>
        <v/>
      </c>
      <c r="X3324" t="str">
        <f>IF($B3324="","",_xll.BDP($B3324,"INDUSTRY_GROUP"))</f>
        <v/>
      </c>
      <c r="Y3324" t="str">
        <f>IF($B3324="","",_xll.BDP($B3324,"INDUSTRY_SUBGROUP"))</f>
        <v/>
      </c>
      <c r="Z3324" t="str">
        <f>IF($B3324="","",_xll.BDP($B3324,"COUNTRY_FULL_NAME"))</f>
        <v/>
      </c>
    </row>
    <row r="3325" spans="23:26" x14ac:dyDescent="0.25">
      <c r="W3325" t="str">
        <f>IF(B3325="","",_xll.BDP(B3325,"INDUSTRY_SECTOR"))</f>
        <v/>
      </c>
      <c r="X3325" t="str">
        <f>IF($B3325="","",_xll.BDP($B3325,"INDUSTRY_GROUP"))</f>
        <v/>
      </c>
      <c r="Y3325" t="str">
        <f>IF($B3325="","",_xll.BDP($B3325,"INDUSTRY_SUBGROUP"))</f>
        <v/>
      </c>
      <c r="Z3325" t="str">
        <f>IF($B3325="","",_xll.BDP($B3325,"COUNTRY_FULL_NAME"))</f>
        <v/>
      </c>
    </row>
    <row r="3326" spans="23:26" x14ac:dyDescent="0.25">
      <c r="W3326" t="str">
        <f>IF(B3326="","",_xll.BDP(B3326,"INDUSTRY_SECTOR"))</f>
        <v/>
      </c>
      <c r="X3326" t="str">
        <f>IF($B3326="","",_xll.BDP($B3326,"INDUSTRY_GROUP"))</f>
        <v/>
      </c>
      <c r="Y3326" t="str">
        <f>IF($B3326="","",_xll.BDP($B3326,"INDUSTRY_SUBGROUP"))</f>
        <v/>
      </c>
      <c r="Z3326" t="str">
        <f>IF($B3326="","",_xll.BDP($B3326,"COUNTRY_FULL_NAME"))</f>
        <v/>
      </c>
    </row>
    <row r="3327" spans="23:26" x14ac:dyDescent="0.25">
      <c r="W3327" t="str">
        <f>IF(B3327="","",_xll.BDP(B3327,"INDUSTRY_SECTOR"))</f>
        <v/>
      </c>
      <c r="X3327" t="str">
        <f>IF($B3327="","",_xll.BDP($B3327,"INDUSTRY_GROUP"))</f>
        <v/>
      </c>
      <c r="Y3327" t="str">
        <f>IF($B3327="","",_xll.BDP($B3327,"INDUSTRY_SUBGROUP"))</f>
        <v/>
      </c>
      <c r="Z3327" t="str">
        <f>IF($B3327="","",_xll.BDP($B3327,"COUNTRY_FULL_NAME"))</f>
        <v/>
      </c>
    </row>
    <row r="3328" spans="23:26" x14ac:dyDescent="0.25">
      <c r="W3328" t="str">
        <f>IF(B3328="","",_xll.BDP(B3328,"INDUSTRY_SECTOR"))</f>
        <v/>
      </c>
      <c r="X3328" t="str">
        <f>IF($B3328="","",_xll.BDP($B3328,"INDUSTRY_GROUP"))</f>
        <v/>
      </c>
      <c r="Y3328" t="str">
        <f>IF($B3328="","",_xll.BDP($B3328,"INDUSTRY_SUBGROUP"))</f>
        <v/>
      </c>
      <c r="Z3328" t="str">
        <f>IF($B3328="","",_xll.BDP($B3328,"COUNTRY_FULL_NAME"))</f>
        <v/>
      </c>
    </row>
    <row r="3329" spans="23:26" x14ac:dyDescent="0.25">
      <c r="W3329" t="str">
        <f>IF(B3329="","",_xll.BDP(B3329,"INDUSTRY_SECTOR"))</f>
        <v/>
      </c>
      <c r="X3329" t="str">
        <f>IF($B3329="","",_xll.BDP($B3329,"INDUSTRY_GROUP"))</f>
        <v/>
      </c>
      <c r="Y3329" t="str">
        <f>IF($B3329="","",_xll.BDP($B3329,"INDUSTRY_SUBGROUP"))</f>
        <v/>
      </c>
      <c r="Z3329" t="str">
        <f>IF($B3329="","",_xll.BDP($B3329,"COUNTRY_FULL_NAME"))</f>
        <v/>
      </c>
    </row>
    <row r="3330" spans="23:26" x14ac:dyDescent="0.25">
      <c r="W3330" t="str">
        <f>IF(B3330="","",_xll.BDP(B3330,"INDUSTRY_SECTOR"))</f>
        <v/>
      </c>
      <c r="X3330" t="str">
        <f>IF($B3330="","",_xll.BDP($B3330,"INDUSTRY_GROUP"))</f>
        <v/>
      </c>
      <c r="Y3330" t="str">
        <f>IF($B3330="","",_xll.BDP($B3330,"INDUSTRY_SUBGROUP"))</f>
        <v/>
      </c>
      <c r="Z3330" t="str">
        <f>IF($B3330="","",_xll.BDP($B3330,"COUNTRY_FULL_NAME"))</f>
        <v/>
      </c>
    </row>
    <row r="3331" spans="23:26" x14ac:dyDescent="0.25">
      <c r="W3331" t="str">
        <f>IF(B3331="","",_xll.BDP(B3331,"INDUSTRY_SECTOR"))</f>
        <v/>
      </c>
      <c r="X3331" t="str">
        <f>IF($B3331="","",_xll.BDP($B3331,"INDUSTRY_GROUP"))</f>
        <v/>
      </c>
      <c r="Y3331" t="str">
        <f>IF($B3331="","",_xll.BDP($B3331,"INDUSTRY_SUBGROUP"))</f>
        <v/>
      </c>
      <c r="Z3331" t="str">
        <f>IF($B3331="","",_xll.BDP($B3331,"COUNTRY_FULL_NAME"))</f>
        <v/>
      </c>
    </row>
    <row r="3332" spans="23:26" x14ac:dyDescent="0.25">
      <c r="W3332" t="str">
        <f>IF(B3332="","",_xll.BDP(B3332,"INDUSTRY_SECTOR"))</f>
        <v/>
      </c>
      <c r="X3332" t="str">
        <f>IF($B3332="","",_xll.BDP($B3332,"INDUSTRY_GROUP"))</f>
        <v/>
      </c>
      <c r="Y3332" t="str">
        <f>IF($B3332="","",_xll.BDP($B3332,"INDUSTRY_SUBGROUP"))</f>
        <v/>
      </c>
      <c r="Z3332" t="str">
        <f>IF($B3332="","",_xll.BDP($B3332,"COUNTRY_FULL_NAME"))</f>
        <v/>
      </c>
    </row>
    <row r="3333" spans="23:26" x14ac:dyDescent="0.25">
      <c r="W3333" t="str">
        <f>IF(B3333="","",_xll.BDP(B3333,"INDUSTRY_SECTOR"))</f>
        <v/>
      </c>
      <c r="X3333" t="str">
        <f>IF($B3333="","",_xll.BDP($B3333,"INDUSTRY_GROUP"))</f>
        <v/>
      </c>
      <c r="Y3333" t="str">
        <f>IF($B3333="","",_xll.BDP($B3333,"INDUSTRY_SUBGROUP"))</f>
        <v/>
      </c>
      <c r="Z3333" t="str">
        <f>IF($B3333="","",_xll.BDP($B3333,"COUNTRY_FULL_NAME"))</f>
        <v/>
      </c>
    </row>
    <row r="3334" spans="23:26" x14ac:dyDescent="0.25">
      <c r="W3334" t="str">
        <f>IF(B3334="","",_xll.BDP(B3334,"INDUSTRY_SECTOR"))</f>
        <v/>
      </c>
      <c r="X3334" t="str">
        <f>IF($B3334="","",_xll.BDP($B3334,"INDUSTRY_GROUP"))</f>
        <v/>
      </c>
      <c r="Y3334" t="str">
        <f>IF($B3334="","",_xll.BDP($B3334,"INDUSTRY_SUBGROUP"))</f>
        <v/>
      </c>
      <c r="Z3334" t="str">
        <f>IF($B3334="","",_xll.BDP($B3334,"COUNTRY_FULL_NAME"))</f>
        <v/>
      </c>
    </row>
    <row r="3335" spans="23:26" x14ac:dyDescent="0.25">
      <c r="W3335" t="str">
        <f>IF(B3335="","",_xll.BDP(B3335,"INDUSTRY_SECTOR"))</f>
        <v/>
      </c>
      <c r="X3335" t="str">
        <f>IF($B3335="","",_xll.BDP($B3335,"INDUSTRY_GROUP"))</f>
        <v/>
      </c>
      <c r="Y3335" t="str">
        <f>IF($B3335="","",_xll.BDP($B3335,"INDUSTRY_SUBGROUP"))</f>
        <v/>
      </c>
      <c r="Z3335" t="str">
        <f>IF($B3335="","",_xll.BDP($B3335,"COUNTRY_FULL_NAME"))</f>
        <v/>
      </c>
    </row>
    <row r="3336" spans="23:26" x14ac:dyDescent="0.25">
      <c r="W3336" t="str">
        <f>IF(B3336="","",_xll.BDP(B3336,"INDUSTRY_SECTOR"))</f>
        <v/>
      </c>
      <c r="X3336" t="str">
        <f>IF($B3336="","",_xll.BDP($B3336,"INDUSTRY_GROUP"))</f>
        <v/>
      </c>
      <c r="Y3336" t="str">
        <f>IF($B3336="","",_xll.BDP($B3336,"INDUSTRY_SUBGROUP"))</f>
        <v/>
      </c>
      <c r="Z3336" t="str">
        <f>IF($B3336="","",_xll.BDP($B3336,"COUNTRY_FULL_NAME"))</f>
        <v/>
      </c>
    </row>
    <row r="3337" spans="23:26" x14ac:dyDescent="0.25">
      <c r="W3337" t="str">
        <f>IF(B3337="","",_xll.BDP(B3337,"INDUSTRY_SECTOR"))</f>
        <v/>
      </c>
      <c r="X3337" t="str">
        <f>IF($B3337="","",_xll.BDP($B3337,"INDUSTRY_GROUP"))</f>
        <v/>
      </c>
      <c r="Y3337" t="str">
        <f>IF($B3337="","",_xll.BDP($B3337,"INDUSTRY_SUBGROUP"))</f>
        <v/>
      </c>
      <c r="Z3337" t="str">
        <f>IF($B3337="","",_xll.BDP($B3337,"COUNTRY_FULL_NAME"))</f>
        <v/>
      </c>
    </row>
    <row r="3338" spans="23:26" x14ac:dyDescent="0.25">
      <c r="W3338" t="str">
        <f>IF(B3338="","",_xll.BDP(B3338,"INDUSTRY_SECTOR"))</f>
        <v/>
      </c>
      <c r="X3338" t="str">
        <f>IF($B3338="","",_xll.BDP($B3338,"INDUSTRY_GROUP"))</f>
        <v/>
      </c>
      <c r="Y3338" t="str">
        <f>IF($B3338="","",_xll.BDP($B3338,"INDUSTRY_SUBGROUP"))</f>
        <v/>
      </c>
      <c r="Z3338" t="str">
        <f>IF($B3338="","",_xll.BDP($B3338,"COUNTRY_FULL_NAME"))</f>
        <v/>
      </c>
    </row>
    <row r="3339" spans="23:26" x14ac:dyDescent="0.25">
      <c r="W3339" t="str">
        <f>IF(B3339="","",_xll.BDP(B3339,"INDUSTRY_SECTOR"))</f>
        <v/>
      </c>
      <c r="X3339" t="str">
        <f>IF($B3339="","",_xll.BDP($B3339,"INDUSTRY_GROUP"))</f>
        <v/>
      </c>
      <c r="Y3339" t="str">
        <f>IF($B3339="","",_xll.BDP($B3339,"INDUSTRY_SUBGROUP"))</f>
        <v/>
      </c>
      <c r="Z3339" t="str">
        <f>IF($B3339="","",_xll.BDP($B3339,"COUNTRY_FULL_NAME"))</f>
        <v/>
      </c>
    </row>
    <row r="3340" spans="23:26" x14ac:dyDescent="0.25">
      <c r="W3340" t="str">
        <f>IF(B3340="","",_xll.BDP(B3340,"INDUSTRY_SECTOR"))</f>
        <v/>
      </c>
      <c r="X3340" t="str">
        <f>IF($B3340="","",_xll.BDP($B3340,"INDUSTRY_GROUP"))</f>
        <v/>
      </c>
      <c r="Y3340" t="str">
        <f>IF($B3340="","",_xll.BDP($B3340,"INDUSTRY_SUBGROUP"))</f>
        <v/>
      </c>
      <c r="Z3340" t="str">
        <f>IF($B3340="","",_xll.BDP($B3340,"COUNTRY_FULL_NAME"))</f>
        <v/>
      </c>
    </row>
    <row r="3341" spans="23:26" x14ac:dyDescent="0.25">
      <c r="W3341" t="str">
        <f>IF(B3341="","",_xll.BDP(B3341,"INDUSTRY_SECTOR"))</f>
        <v/>
      </c>
      <c r="X3341" t="str">
        <f>IF($B3341="","",_xll.BDP($B3341,"INDUSTRY_GROUP"))</f>
        <v/>
      </c>
      <c r="Y3341" t="str">
        <f>IF($B3341="","",_xll.BDP($B3341,"INDUSTRY_SUBGROUP"))</f>
        <v/>
      </c>
      <c r="Z3341" t="str">
        <f>IF($B3341="","",_xll.BDP($B3341,"COUNTRY_FULL_NAME"))</f>
        <v/>
      </c>
    </row>
    <row r="3342" spans="23:26" x14ac:dyDescent="0.25">
      <c r="W3342" t="str">
        <f>IF(B3342="","",_xll.BDP(B3342,"INDUSTRY_SECTOR"))</f>
        <v/>
      </c>
      <c r="X3342" t="str">
        <f>IF($B3342="","",_xll.BDP($B3342,"INDUSTRY_GROUP"))</f>
        <v/>
      </c>
      <c r="Y3342" t="str">
        <f>IF($B3342="","",_xll.BDP($B3342,"INDUSTRY_SUBGROUP"))</f>
        <v/>
      </c>
      <c r="Z3342" t="str">
        <f>IF($B3342="","",_xll.BDP($B3342,"COUNTRY_FULL_NAME"))</f>
        <v/>
      </c>
    </row>
    <row r="3343" spans="23:26" x14ac:dyDescent="0.25">
      <c r="W3343" t="str">
        <f>IF(B3343="","",_xll.BDP(B3343,"INDUSTRY_SECTOR"))</f>
        <v/>
      </c>
      <c r="X3343" t="str">
        <f>IF($B3343="","",_xll.BDP($B3343,"INDUSTRY_GROUP"))</f>
        <v/>
      </c>
      <c r="Y3343" t="str">
        <f>IF($B3343="","",_xll.BDP($B3343,"INDUSTRY_SUBGROUP"))</f>
        <v/>
      </c>
      <c r="Z3343" t="str">
        <f>IF($B3343="","",_xll.BDP($B3343,"COUNTRY_FULL_NAME"))</f>
        <v/>
      </c>
    </row>
    <row r="3344" spans="23:26" x14ac:dyDescent="0.25">
      <c r="W3344" t="str">
        <f>IF(B3344="","",_xll.BDP(B3344,"INDUSTRY_SECTOR"))</f>
        <v/>
      </c>
      <c r="X3344" t="str">
        <f>IF($B3344="","",_xll.BDP($B3344,"INDUSTRY_GROUP"))</f>
        <v/>
      </c>
      <c r="Y3344" t="str">
        <f>IF($B3344="","",_xll.BDP($B3344,"INDUSTRY_SUBGROUP"))</f>
        <v/>
      </c>
      <c r="Z3344" t="str">
        <f>IF($B3344="","",_xll.BDP($B3344,"COUNTRY_FULL_NAME"))</f>
        <v/>
      </c>
    </row>
    <row r="3345" spans="23:26" x14ac:dyDescent="0.25">
      <c r="W3345" t="str">
        <f>IF(B3345="","",_xll.BDP(B3345,"INDUSTRY_SECTOR"))</f>
        <v/>
      </c>
      <c r="X3345" t="str">
        <f>IF($B3345="","",_xll.BDP($B3345,"INDUSTRY_GROUP"))</f>
        <v/>
      </c>
      <c r="Y3345" t="str">
        <f>IF($B3345="","",_xll.BDP($B3345,"INDUSTRY_SUBGROUP"))</f>
        <v/>
      </c>
      <c r="Z3345" t="str">
        <f>IF($B3345="","",_xll.BDP($B3345,"COUNTRY_FULL_NAME"))</f>
        <v/>
      </c>
    </row>
    <row r="3346" spans="23:26" x14ac:dyDescent="0.25">
      <c r="W3346" t="str">
        <f>IF(B3346="","",_xll.BDP(B3346,"INDUSTRY_SECTOR"))</f>
        <v/>
      </c>
      <c r="X3346" t="str">
        <f>IF($B3346="","",_xll.BDP($B3346,"INDUSTRY_GROUP"))</f>
        <v/>
      </c>
      <c r="Y3346" t="str">
        <f>IF($B3346="","",_xll.BDP($B3346,"INDUSTRY_SUBGROUP"))</f>
        <v/>
      </c>
      <c r="Z3346" t="str">
        <f>IF($B3346="","",_xll.BDP($B3346,"COUNTRY_FULL_NAME"))</f>
        <v/>
      </c>
    </row>
    <row r="3347" spans="23:26" x14ac:dyDescent="0.25">
      <c r="W3347" t="str">
        <f>IF(B3347="","",_xll.BDP(B3347,"INDUSTRY_SECTOR"))</f>
        <v/>
      </c>
      <c r="X3347" t="str">
        <f>IF($B3347="","",_xll.BDP($B3347,"INDUSTRY_GROUP"))</f>
        <v/>
      </c>
      <c r="Y3347" t="str">
        <f>IF($B3347="","",_xll.BDP($B3347,"INDUSTRY_SUBGROUP"))</f>
        <v/>
      </c>
      <c r="Z3347" t="str">
        <f>IF($B3347="","",_xll.BDP($B3347,"COUNTRY_FULL_NAME"))</f>
        <v/>
      </c>
    </row>
    <row r="3348" spans="23:26" x14ac:dyDescent="0.25">
      <c r="W3348" t="str">
        <f>IF(B3348="","",_xll.BDP(B3348,"INDUSTRY_SECTOR"))</f>
        <v/>
      </c>
      <c r="X3348" t="str">
        <f>IF($B3348="","",_xll.BDP($B3348,"INDUSTRY_GROUP"))</f>
        <v/>
      </c>
      <c r="Y3348" t="str">
        <f>IF($B3348="","",_xll.BDP($B3348,"INDUSTRY_SUBGROUP"))</f>
        <v/>
      </c>
      <c r="Z3348" t="str">
        <f>IF($B3348="","",_xll.BDP($B3348,"COUNTRY_FULL_NAME"))</f>
        <v/>
      </c>
    </row>
    <row r="3349" spans="23:26" x14ac:dyDescent="0.25">
      <c r="W3349" t="str">
        <f>IF(B3349="","",_xll.BDP(B3349,"INDUSTRY_SECTOR"))</f>
        <v/>
      </c>
      <c r="X3349" t="str">
        <f>IF($B3349="","",_xll.BDP($B3349,"INDUSTRY_GROUP"))</f>
        <v/>
      </c>
      <c r="Y3349" t="str">
        <f>IF($B3349="","",_xll.BDP($B3349,"INDUSTRY_SUBGROUP"))</f>
        <v/>
      </c>
      <c r="Z3349" t="str">
        <f>IF($B3349="","",_xll.BDP($B3349,"COUNTRY_FULL_NAME"))</f>
        <v/>
      </c>
    </row>
    <row r="3350" spans="23:26" x14ac:dyDescent="0.25">
      <c r="W3350" t="str">
        <f>IF(B3350="","",_xll.BDP(B3350,"INDUSTRY_SECTOR"))</f>
        <v/>
      </c>
      <c r="X3350" t="str">
        <f>IF($B3350="","",_xll.BDP($B3350,"INDUSTRY_GROUP"))</f>
        <v/>
      </c>
      <c r="Y3350" t="str">
        <f>IF($B3350="","",_xll.BDP($B3350,"INDUSTRY_SUBGROUP"))</f>
        <v/>
      </c>
      <c r="Z3350" t="str">
        <f>IF($B3350="","",_xll.BDP($B3350,"COUNTRY_FULL_NAME"))</f>
        <v/>
      </c>
    </row>
    <row r="3351" spans="23:26" x14ac:dyDescent="0.25">
      <c r="W3351" t="str">
        <f>IF(B3351="","",_xll.BDP(B3351,"INDUSTRY_SECTOR"))</f>
        <v/>
      </c>
      <c r="X3351" t="str">
        <f>IF($B3351="","",_xll.BDP($B3351,"INDUSTRY_GROUP"))</f>
        <v/>
      </c>
      <c r="Y3351" t="str">
        <f>IF($B3351="","",_xll.BDP($B3351,"INDUSTRY_SUBGROUP"))</f>
        <v/>
      </c>
      <c r="Z3351" t="str">
        <f>IF($B3351="","",_xll.BDP($B3351,"COUNTRY_FULL_NAME"))</f>
        <v/>
      </c>
    </row>
    <row r="3352" spans="23:26" x14ac:dyDescent="0.25">
      <c r="W3352" t="str">
        <f>IF(B3352="","",_xll.BDP(B3352,"INDUSTRY_SECTOR"))</f>
        <v/>
      </c>
      <c r="X3352" t="str">
        <f>IF($B3352="","",_xll.BDP($B3352,"INDUSTRY_GROUP"))</f>
        <v/>
      </c>
      <c r="Y3352" t="str">
        <f>IF($B3352="","",_xll.BDP($B3352,"INDUSTRY_SUBGROUP"))</f>
        <v/>
      </c>
      <c r="Z3352" t="str">
        <f>IF($B3352="","",_xll.BDP($B3352,"COUNTRY_FULL_NAME"))</f>
        <v/>
      </c>
    </row>
    <row r="3353" spans="23:26" x14ac:dyDescent="0.25">
      <c r="W3353" t="str">
        <f>IF(B3353="","",_xll.BDP(B3353,"INDUSTRY_SECTOR"))</f>
        <v/>
      </c>
      <c r="X3353" t="str">
        <f>IF($B3353="","",_xll.BDP($B3353,"INDUSTRY_GROUP"))</f>
        <v/>
      </c>
      <c r="Y3353" t="str">
        <f>IF($B3353="","",_xll.BDP($B3353,"INDUSTRY_SUBGROUP"))</f>
        <v/>
      </c>
      <c r="Z3353" t="str">
        <f>IF($B3353="","",_xll.BDP($B3353,"COUNTRY_FULL_NAME"))</f>
        <v/>
      </c>
    </row>
    <row r="3354" spans="23:26" x14ac:dyDescent="0.25">
      <c r="W3354" t="str">
        <f>IF(B3354="","",_xll.BDP(B3354,"INDUSTRY_SECTOR"))</f>
        <v/>
      </c>
      <c r="X3354" t="str">
        <f>IF($B3354="","",_xll.BDP($B3354,"INDUSTRY_GROUP"))</f>
        <v/>
      </c>
      <c r="Y3354" t="str">
        <f>IF($B3354="","",_xll.BDP($B3354,"INDUSTRY_SUBGROUP"))</f>
        <v/>
      </c>
      <c r="Z3354" t="str">
        <f>IF($B3354="","",_xll.BDP($B3354,"COUNTRY_FULL_NAME"))</f>
        <v/>
      </c>
    </row>
    <row r="3355" spans="23:26" x14ac:dyDescent="0.25">
      <c r="W3355" t="str">
        <f>IF(B3355="","",_xll.BDP(B3355,"INDUSTRY_SECTOR"))</f>
        <v/>
      </c>
      <c r="X3355" t="str">
        <f>IF($B3355="","",_xll.BDP($B3355,"INDUSTRY_GROUP"))</f>
        <v/>
      </c>
      <c r="Y3355" t="str">
        <f>IF($B3355="","",_xll.BDP($B3355,"INDUSTRY_SUBGROUP"))</f>
        <v/>
      </c>
      <c r="Z3355" t="str">
        <f>IF($B3355="","",_xll.BDP($B3355,"COUNTRY_FULL_NAME"))</f>
        <v/>
      </c>
    </row>
    <row r="3356" spans="23:26" x14ac:dyDescent="0.25">
      <c r="W3356" t="str">
        <f>IF(B3356="","",_xll.BDP(B3356,"INDUSTRY_SECTOR"))</f>
        <v/>
      </c>
      <c r="X3356" t="str">
        <f>IF($B3356="","",_xll.BDP($B3356,"INDUSTRY_GROUP"))</f>
        <v/>
      </c>
      <c r="Y3356" t="str">
        <f>IF($B3356="","",_xll.BDP($B3356,"INDUSTRY_SUBGROUP"))</f>
        <v/>
      </c>
      <c r="Z3356" t="str">
        <f>IF($B3356="","",_xll.BDP($B3356,"COUNTRY_FULL_NAME"))</f>
        <v/>
      </c>
    </row>
    <row r="3357" spans="23:26" x14ac:dyDescent="0.25">
      <c r="W3357" t="str">
        <f>IF(B3357="","",_xll.BDP(B3357,"INDUSTRY_SECTOR"))</f>
        <v/>
      </c>
      <c r="X3357" t="str">
        <f>IF($B3357="","",_xll.BDP($B3357,"INDUSTRY_GROUP"))</f>
        <v/>
      </c>
      <c r="Y3357" t="str">
        <f>IF($B3357="","",_xll.BDP($B3357,"INDUSTRY_SUBGROUP"))</f>
        <v/>
      </c>
      <c r="Z3357" t="str">
        <f>IF($B3357="","",_xll.BDP($B3357,"COUNTRY_FULL_NAME"))</f>
        <v/>
      </c>
    </row>
    <row r="3358" spans="23:26" x14ac:dyDescent="0.25">
      <c r="W3358" t="str">
        <f>IF(B3358="","",_xll.BDP(B3358,"INDUSTRY_SECTOR"))</f>
        <v/>
      </c>
      <c r="X3358" t="str">
        <f>IF($B3358="","",_xll.BDP($B3358,"INDUSTRY_GROUP"))</f>
        <v/>
      </c>
      <c r="Y3358" t="str">
        <f>IF($B3358="","",_xll.BDP($B3358,"INDUSTRY_SUBGROUP"))</f>
        <v/>
      </c>
      <c r="Z3358" t="str">
        <f>IF($B3358="","",_xll.BDP($B3358,"COUNTRY_FULL_NAME"))</f>
        <v/>
      </c>
    </row>
    <row r="3359" spans="23:26" x14ac:dyDescent="0.25">
      <c r="W3359" t="str">
        <f>IF(B3359="","",_xll.BDP(B3359,"INDUSTRY_SECTOR"))</f>
        <v/>
      </c>
      <c r="X3359" t="str">
        <f>IF($B3359="","",_xll.BDP($B3359,"INDUSTRY_GROUP"))</f>
        <v/>
      </c>
      <c r="Y3359" t="str">
        <f>IF($B3359="","",_xll.BDP($B3359,"INDUSTRY_SUBGROUP"))</f>
        <v/>
      </c>
      <c r="Z3359" t="str">
        <f>IF($B3359="","",_xll.BDP($B3359,"COUNTRY_FULL_NAME"))</f>
        <v/>
      </c>
    </row>
    <row r="3360" spans="23:26" x14ac:dyDescent="0.25">
      <c r="W3360" t="str">
        <f>IF(B3360="","",_xll.BDP(B3360,"INDUSTRY_SECTOR"))</f>
        <v/>
      </c>
      <c r="X3360" t="str">
        <f>IF($B3360="","",_xll.BDP($B3360,"INDUSTRY_GROUP"))</f>
        <v/>
      </c>
      <c r="Y3360" t="str">
        <f>IF($B3360="","",_xll.BDP($B3360,"INDUSTRY_SUBGROUP"))</f>
        <v/>
      </c>
      <c r="Z3360" t="str">
        <f>IF($B3360="","",_xll.BDP($B3360,"COUNTRY_FULL_NAME"))</f>
        <v/>
      </c>
    </row>
    <row r="3361" spans="23:26" x14ac:dyDescent="0.25">
      <c r="W3361" t="str">
        <f>IF(B3361="","",_xll.BDP(B3361,"INDUSTRY_SECTOR"))</f>
        <v/>
      </c>
      <c r="X3361" t="str">
        <f>IF($B3361="","",_xll.BDP($B3361,"INDUSTRY_GROUP"))</f>
        <v/>
      </c>
      <c r="Y3361" t="str">
        <f>IF($B3361="","",_xll.BDP($B3361,"INDUSTRY_SUBGROUP"))</f>
        <v/>
      </c>
      <c r="Z3361" t="str">
        <f>IF($B3361="","",_xll.BDP($B3361,"COUNTRY_FULL_NAME"))</f>
        <v/>
      </c>
    </row>
    <row r="3362" spans="23:26" x14ac:dyDescent="0.25">
      <c r="W3362" t="str">
        <f>IF(B3362="","",_xll.BDP(B3362,"INDUSTRY_SECTOR"))</f>
        <v/>
      </c>
      <c r="X3362" t="str">
        <f>IF($B3362="","",_xll.BDP($B3362,"INDUSTRY_GROUP"))</f>
        <v/>
      </c>
      <c r="Y3362" t="str">
        <f>IF($B3362="","",_xll.BDP($B3362,"INDUSTRY_SUBGROUP"))</f>
        <v/>
      </c>
      <c r="Z3362" t="str">
        <f>IF($B3362="","",_xll.BDP($B3362,"COUNTRY_FULL_NAME"))</f>
        <v/>
      </c>
    </row>
    <row r="3363" spans="23:26" x14ac:dyDescent="0.25">
      <c r="W3363" t="str">
        <f>IF(B3363="","",_xll.BDP(B3363,"INDUSTRY_SECTOR"))</f>
        <v/>
      </c>
      <c r="X3363" t="str">
        <f>IF($B3363="","",_xll.BDP($B3363,"INDUSTRY_GROUP"))</f>
        <v/>
      </c>
      <c r="Y3363" t="str">
        <f>IF($B3363="","",_xll.BDP($B3363,"INDUSTRY_SUBGROUP"))</f>
        <v/>
      </c>
      <c r="Z3363" t="str">
        <f>IF($B3363="","",_xll.BDP($B3363,"COUNTRY_FULL_NAME"))</f>
        <v/>
      </c>
    </row>
    <row r="3364" spans="23:26" x14ac:dyDescent="0.25">
      <c r="W3364" t="str">
        <f>IF(B3364="","",_xll.BDP(B3364,"INDUSTRY_SECTOR"))</f>
        <v/>
      </c>
      <c r="X3364" t="str">
        <f>IF($B3364="","",_xll.BDP($B3364,"INDUSTRY_GROUP"))</f>
        <v/>
      </c>
      <c r="Y3364" t="str">
        <f>IF($B3364="","",_xll.BDP($B3364,"INDUSTRY_SUBGROUP"))</f>
        <v/>
      </c>
      <c r="Z3364" t="str">
        <f>IF($B3364="","",_xll.BDP($B3364,"COUNTRY_FULL_NAME"))</f>
        <v/>
      </c>
    </row>
    <row r="3365" spans="23:26" x14ac:dyDescent="0.25">
      <c r="W3365" t="str">
        <f>IF(B3365="","",_xll.BDP(B3365,"INDUSTRY_SECTOR"))</f>
        <v/>
      </c>
      <c r="X3365" t="str">
        <f>IF($B3365="","",_xll.BDP($B3365,"INDUSTRY_GROUP"))</f>
        <v/>
      </c>
      <c r="Y3365" t="str">
        <f>IF($B3365="","",_xll.BDP($B3365,"INDUSTRY_SUBGROUP"))</f>
        <v/>
      </c>
      <c r="Z3365" t="str">
        <f>IF($B3365="","",_xll.BDP($B3365,"COUNTRY_FULL_NAME"))</f>
        <v/>
      </c>
    </row>
    <row r="3366" spans="23:26" x14ac:dyDescent="0.25">
      <c r="W3366" t="str">
        <f>IF(B3366="","",_xll.BDP(B3366,"INDUSTRY_SECTOR"))</f>
        <v/>
      </c>
      <c r="X3366" t="str">
        <f>IF($B3366="","",_xll.BDP($B3366,"INDUSTRY_GROUP"))</f>
        <v/>
      </c>
      <c r="Y3366" t="str">
        <f>IF($B3366="","",_xll.BDP($B3366,"INDUSTRY_SUBGROUP"))</f>
        <v/>
      </c>
      <c r="Z3366" t="str">
        <f>IF($B3366="","",_xll.BDP($B3366,"COUNTRY_FULL_NAME"))</f>
        <v/>
      </c>
    </row>
    <row r="3367" spans="23:26" x14ac:dyDescent="0.25">
      <c r="W3367" t="str">
        <f>IF(B3367="","",_xll.BDP(B3367,"INDUSTRY_SECTOR"))</f>
        <v/>
      </c>
      <c r="X3367" t="str">
        <f>IF($B3367="","",_xll.BDP($B3367,"INDUSTRY_GROUP"))</f>
        <v/>
      </c>
      <c r="Y3367" t="str">
        <f>IF($B3367="","",_xll.BDP($B3367,"INDUSTRY_SUBGROUP"))</f>
        <v/>
      </c>
      <c r="Z3367" t="str">
        <f>IF($B3367="","",_xll.BDP($B3367,"COUNTRY_FULL_NAME"))</f>
        <v/>
      </c>
    </row>
    <row r="3368" spans="23:26" x14ac:dyDescent="0.25">
      <c r="W3368" t="str">
        <f>IF(B3368="","",_xll.BDP(B3368,"INDUSTRY_SECTOR"))</f>
        <v/>
      </c>
      <c r="X3368" t="str">
        <f>IF($B3368="","",_xll.BDP($B3368,"INDUSTRY_GROUP"))</f>
        <v/>
      </c>
      <c r="Y3368" t="str">
        <f>IF($B3368="","",_xll.BDP($B3368,"INDUSTRY_SUBGROUP"))</f>
        <v/>
      </c>
      <c r="Z3368" t="str">
        <f>IF($B3368="","",_xll.BDP($B3368,"COUNTRY_FULL_NAME"))</f>
        <v/>
      </c>
    </row>
    <row r="3369" spans="23:26" x14ac:dyDescent="0.25">
      <c r="W3369" t="str">
        <f>IF(B3369="","",_xll.BDP(B3369,"INDUSTRY_SECTOR"))</f>
        <v/>
      </c>
      <c r="X3369" t="str">
        <f>IF($B3369="","",_xll.BDP($B3369,"INDUSTRY_GROUP"))</f>
        <v/>
      </c>
      <c r="Y3369" t="str">
        <f>IF($B3369="","",_xll.BDP($B3369,"INDUSTRY_SUBGROUP"))</f>
        <v/>
      </c>
      <c r="Z3369" t="str">
        <f>IF($B3369="","",_xll.BDP($B3369,"COUNTRY_FULL_NAME"))</f>
        <v/>
      </c>
    </row>
    <row r="3370" spans="23:26" x14ac:dyDescent="0.25">
      <c r="W3370" t="str">
        <f>IF(B3370="","",_xll.BDP(B3370,"INDUSTRY_SECTOR"))</f>
        <v/>
      </c>
      <c r="X3370" t="str">
        <f>IF($B3370="","",_xll.BDP($B3370,"INDUSTRY_GROUP"))</f>
        <v/>
      </c>
      <c r="Y3370" t="str">
        <f>IF($B3370="","",_xll.BDP($B3370,"INDUSTRY_SUBGROUP"))</f>
        <v/>
      </c>
      <c r="Z3370" t="str">
        <f>IF($B3370="","",_xll.BDP($B3370,"COUNTRY_FULL_NAME"))</f>
        <v/>
      </c>
    </row>
    <row r="3371" spans="23:26" x14ac:dyDescent="0.25">
      <c r="W3371" t="str">
        <f>IF(B3371="","",_xll.BDP(B3371,"INDUSTRY_SECTOR"))</f>
        <v/>
      </c>
      <c r="X3371" t="str">
        <f>IF($B3371="","",_xll.BDP($B3371,"INDUSTRY_GROUP"))</f>
        <v/>
      </c>
      <c r="Y3371" t="str">
        <f>IF($B3371="","",_xll.BDP($B3371,"INDUSTRY_SUBGROUP"))</f>
        <v/>
      </c>
      <c r="Z3371" t="str">
        <f>IF($B3371="","",_xll.BDP($B3371,"COUNTRY_FULL_NAME"))</f>
        <v/>
      </c>
    </row>
    <row r="3372" spans="23:26" x14ac:dyDescent="0.25">
      <c r="W3372" t="str">
        <f>IF(B3372="","",_xll.BDP(B3372,"INDUSTRY_SECTOR"))</f>
        <v/>
      </c>
      <c r="X3372" t="str">
        <f>IF($B3372="","",_xll.BDP($B3372,"INDUSTRY_GROUP"))</f>
        <v/>
      </c>
      <c r="Y3372" t="str">
        <f>IF($B3372="","",_xll.BDP($B3372,"INDUSTRY_SUBGROUP"))</f>
        <v/>
      </c>
      <c r="Z3372" t="str">
        <f>IF($B3372="","",_xll.BDP($B3372,"COUNTRY_FULL_NAME"))</f>
        <v/>
      </c>
    </row>
    <row r="3373" spans="23:26" x14ac:dyDescent="0.25">
      <c r="W3373" t="str">
        <f>IF(B3373="","",_xll.BDP(B3373,"INDUSTRY_SECTOR"))</f>
        <v/>
      </c>
      <c r="X3373" t="str">
        <f>IF($B3373="","",_xll.BDP($B3373,"INDUSTRY_GROUP"))</f>
        <v/>
      </c>
      <c r="Y3373" t="str">
        <f>IF($B3373="","",_xll.BDP($B3373,"INDUSTRY_SUBGROUP"))</f>
        <v/>
      </c>
      <c r="Z3373" t="str">
        <f>IF($B3373="","",_xll.BDP($B3373,"COUNTRY_FULL_NAME"))</f>
        <v/>
      </c>
    </row>
    <row r="3374" spans="23:26" x14ac:dyDescent="0.25">
      <c r="W3374" t="str">
        <f>IF(B3374="","",_xll.BDP(B3374,"INDUSTRY_SECTOR"))</f>
        <v/>
      </c>
      <c r="X3374" t="str">
        <f>IF($B3374="","",_xll.BDP($B3374,"INDUSTRY_GROUP"))</f>
        <v/>
      </c>
      <c r="Y3374" t="str">
        <f>IF($B3374="","",_xll.BDP($B3374,"INDUSTRY_SUBGROUP"))</f>
        <v/>
      </c>
      <c r="Z3374" t="str">
        <f>IF($B3374="","",_xll.BDP($B3374,"COUNTRY_FULL_NAME"))</f>
        <v/>
      </c>
    </row>
    <row r="3375" spans="23:26" x14ac:dyDescent="0.25">
      <c r="W3375" t="str">
        <f>IF(B3375="","",_xll.BDP(B3375,"INDUSTRY_SECTOR"))</f>
        <v/>
      </c>
      <c r="X3375" t="str">
        <f>IF($B3375="","",_xll.BDP($B3375,"INDUSTRY_GROUP"))</f>
        <v/>
      </c>
      <c r="Y3375" t="str">
        <f>IF($B3375="","",_xll.BDP($B3375,"INDUSTRY_SUBGROUP"))</f>
        <v/>
      </c>
      <c r="Z3375" t="str">
        <f>IF($B3375="","",_xll.BDP($B3375,"COUNTRY_FULL_NAME"))</f>
        <v/>
      </c>
    </row>
    <row r="3376" spans="23:26" x14ac:dyDescent="0.25">
      <c r="W3376" t="str">
        <f>IF(B3376="","",_xll.BDP(B3376,"INDUSTRY_SECTOR"))</f>
        <v/>
      </c>
      <c r="X3376" t="str">
        <f>IF($B3376="","",_xll.BDP($B3376,"INDUSTRY_GROUP"))</f>
        <v/>
      </c>
      <c r="Y3376" t="str">
        <f>IF($B3376="","",_xll.BDP($B3376,"INDUSTRY_SUBGROUP"))</f>
        <v/>
      </c>
      <c r="Z3376" t="str">
        <f>IF($B3376="","",_xll.BDP($B3376,"COUNTRY_FULL_NAME"))</f>
        <v/>
      </c>
    </row>
    <row r="3377" spans="23:26" x14ac:dyDescent="0.25">
      <c r="W3377" t="str">
        <f>IF(B3377="","",_xll.BDP(B3377,"INDUSTRY_SECTOR"))</f>
        <v/>
      </c>
      <c r="X3377" t="str">
        <f>IF($B3377="","",_xll.BDP($B3377,"INDUSTRY_GROUP"))</f>
        <v/>
      </c>
      <c r="Y3377" t="str">
        <f>IF($B3377="","",_xll.BDP($B3377,"INDUSTRY_SUBGROUP"))</f>
        <v/>
      </c>
      <c r="Z3377" t="str">
        <f>IF($B3377="","",_xll.BDP($B3377,"COUNTRY_FULL_NAME"))</f>
        <v/>
      </c>
    </row>
    <row r="3378" spans="23:26" x14ac:dyDescent="0.25">
      <c r="W3378" t="str">
        <f>IF(B3378="","",_xll.BDP(B3378,"INDUSTRY_SECTOR"))</f>
        <v/>
      </c>
      <c r="X3378" t="str">
        <f>IF($B3378="","",_xll.BDP($B3378,"INDUSTRY_GROUP"))</f>
        <v/>
      </c>
      <c r="Y3378" t="str">
        <f>IF($B3378="","",_xll.BDP($B3378,"INDUSTRY_SUBGROUP"))</f>
        <v/>
      </c>
      <c r="Z3378" t="str">
        <f>IF($B3378="","",_xll.BDP($B3378,"COUNTRY_FULL_NAME"))</f>
        <v/>
      </c>
    </row>
    <row r="3379" spans="23:26" x14ac:dyDescent="0.25">
      <c r="W3379" t="str">
        <f>IF(B3379="","",_xll.BDP(B3379,"INDUSTRY_SECTOR"))</f>
        <v/>
      </c>
      <c r="X3379" t="str">
        <f>IF($B3379="","",_xll.BDP($B3379,"INDUSTRY_GROUP"))</f>
        <v/>
      </c>
      <c r="Y3379" t="str">
        <f>IF($B3379="","",_xll.BDP($B3379,"INDUSTRY_SUBGROUP"))</f>
        <v/>
      </c>
      <c r="Z3379" t="str">
        <f>IF($B3379="","",_xll.BDP($B3379,"COUNTRY_FULL_NAME"))</f>
        <v/>
      </c>
    </row>
    <row r="3380" spans="23:26" x14ac:dyDescent="0.25">
      <c r="W3380" t="str">
        <f>IF(B3380="","",_xll.BDP(B3380,"INDUSTRY_SECTOR"))</f>
        <v/>
      </c>
      <c r="X3380" t="str">
        <f>IF($B3380="","",_xll.BDP($B3380,"INDUSTRY_GROUP"))</f>
        <v/>
      </c>
      <c r="Y3380" t="str">
        <f>IF($B3380="","",_xll.BDP($B3380,"INDUSTRY_SUBGROUP"))</f>
        <v/>
      </c>
      <c r="Z3380" t="str">
        <f>IF($B3380="","",_xll.BDP($B3380,"COUNTRY_FULL_NAME"))</f>
        <v/>
      </c>
    </row>
    <row r="3381" spans="23:26" x14ac:dyDescent="0.25">
      <c r="W3381" t="str">
        <f>IF(B3381="","",_xll.BDP(B3381,"INDUSTRY_SECTOR"))</f>
        <v/>
      </c>
      <c r="X3381" t="str">
        <f>IF($B3381="","",_xll.BDP($B3381,"INDUSTRY_GROUP"))</f>
        <v/>
      </c>
      <c r="Y3381" t="str">
        <f>IF($B3381="","",_xll.BDP($B3381,"INDUSTRY_SUBGROUP"))</f>
        <v/>
      </c>
      <c r="Z3381" t="str">
        <f>IF($B3381="","",_xll.BDP($B3381,"COUNTRY_FULL_NAME"))</f>
        <v/>
      </c>
    </row>
    <row r="3382" spans="23:26" x14ac:dyDescent="0.25">
      <c r="W3382" t="str">
        <f>IF(B3382="","",_xll.BDP(B3382,"INDUSTRY_SECTOR"))</f>
        <v/>
      </c>
      <c r="X3382" t="str">
        <f>IF($B3382="","",_xll.BDP($B3382,"INDUSTRY_GROUP"))</f>
        <v/>
      </c>
      <c r="Y3382" t="str">
        <f>IF($B3382="","",_xll.BDP($B3382,"INDUSTRY_SUBGROUP"))</f>
        <v/>
      </c>
      <c r="Z3382" t="str">
        <f>IF($B3382="","",_xll.BDP($B3382,"COUNTRY_FULL_NAME"))</f>
        <v/>
      </c>
    </row>
    <row r="3383" spans="23:26" x14ac:dyDescent="0.25">
      <c r="W3383" t="str">
        <f>IF(B3383="","",_xll.BDP(B3383,"INDUSTRY_SECTOR"))</f>
        <v/>
      </c>
      <c r="X3383" t="str">
        <f>IF($B3383="","",_xll.BDP($B3383,"INDUSTRY_GROUP"))</f>
        <v/>
      </c>
      <c r="Y3383" t="str">
        <f>IF($B3383="","",_xll.BDP($B3383,"INDUSTRY_SUBGROUP"))</f>
        <v/>
      </c>
      <c r="Z3383" t="str">
        <f>IF($B3383="","",_xll.BDP($B3383,"COUNTRY_FULL_NAME"))</f>
        <v/>
      </c>
    </row>
    <row r="3384" spans="23:26" x14ac:dyDescent="0.25">
      <c r="W3384" t="str">
        <f>IF(B3384="","",_xll.BDP(B3384,"INDUSTRY_SECTOR"))</f>
        <v/>
      </c>
      <c r="X3384" t="str">
        <f>IF($B3384="","",_xll.BDP($B3384,"INDUSTRY_GROUP"))</f>
        <v/>
      </c>
      <c r="Y3384" t="str">
        <f>IF($B3384="","",_xll.BDP($B3384,"INDUSTRY_SUBGROUP"))</f>
        <v/>
      </c>
      <c r="Z3384" t="str">
        <f>IF($B3384="","",_xll.BDP($B3384,"COUNTRY_FULL_NAME"))</f>
        <v/>
      </c>
    </row>
    <row r="3385" spans="23:26" x14ac:dyDescent="0.25">
      <c r="W3385" t="str">
        <f>IF(B3385="","",_xll.BDP(B3385,"INDUSTRY_SECTOR"))</f>
        <v/>
      </c>
      <c r="X3385" t="str">
        <f>IF($B3385="","",_xll.BDP($B3385,"INDUSTRY_GROUP"))</f>
        <v/>
      </c>
      <c r="Y3385" t="str">
        <f>IF($B3385="","",_xll.BDP($B3385,"INDUSTRY_SUBGROUP"))</f>
        <v/>
      </c>
      <c r="Z3385" t="str">
        <f>IF($B3385="","",_xll.BDP($B3385,"COUNTRY_FULL_NAME"))</f>
        <v/>
      </c>
    </row>
    <row r="3386" spans="23:26" x14ac:dyDescent="0.25">
      <c r="W3386" t="str">
        <f>IF(B3386="","",_xll.BDP(B3386,"INDUSTRY_SECTOR"))</f>
        <v/>
      </c>
      <c r="X3386" t="str">
        <f>IF($B3386="","",_xll.BDP($B3386,"INDUSTRY_GROUP"))</f>
        <v/>
      </c>
      <c r="Y3386" t="str">
        <f>IF($B3386="","",_xll.BDP($B3386,"INDUSTRY_SUBGROUP"))</f>
        <v/>
      </c>
      <c r="Z3386" t="str">
        <f>IF($B3386="","",_xll.BDP($B3386,"COUNTRY_FULL_NAME"))</f>
        <v/>
      </c>
    </row>
    <row r="3387" spans="23:26" x14ac:dyDescent="0.25">
      <c r="W3387" t="str">
        <f>IF(B3387="","",_xll.BDP(B3387,"INDUSTRY_SECTOR"))</f>
        <v/>
      </c>
      <c r="X3387" t="str">
        <f>IF($B3387="","",_xll.BDP($B3387,"INDUSTRY_GROUP"))</f>
        <v/>
      </c>
      <c r="Y3387" t="str">
        <f>IF($B3387="","",_xll.BDP($B3387,"INDUSTRY_SUBGROUP"))</f>
        <v/>
      </c>
      <c r="Z3387" t="str">
        <f>IF($B3387="","",_xll.BDP($B3387,"COUNTRY_FULL_NAME"))</f>
        <v/>
      </c>
    </row>
    <row r="3388" spans="23:26" x14ac:dyDescent="0.25">
      <c r="W3388" t="str">
        <f>IF(B3388="","",_xll.BDP(B3388,"INDUSTRY_SECTOR"))</f>
        <v/>
      </c>
      <c r="X3388" t="str">
        <f>IF($B3388="","",_xll.BDP($B3388,"INDUSTRY_GROUP"))</f>
        <v/>
      </c>
      <c r="Y3388" t="str">
        <f>IF($B3388="","",_xll.BDP($B3388,"INDUSTRY_SUBGROUP"))</f>
        <v/>
      </c>
      <c r="Z3388" t="str">
        <f>IF($B3388="","",_xll.BDP($B3388,"COUNTRY_FULL_NAME"))</f>
        <v/>
      </c>
    </row>
    <row r="3389" spans="23:26" x14ac:dyDescent="0.25">
      <c r="W3389" t="str">
        <f>IF(B3389="","",_xll.BDP(B3389,"INDUSTRY_SECTOR"))</f>
        <v/>
      </c>
      <c r="X3389" t="str">
        <f>IF($B3389="","",_xll.BDP($B3389,"INDUSTRY_GROUP"))</f>
        <v/>
      </c>
      <c r="Y3389" t="str">
        <f>IF($B3389="","",_xll.BDP($B3389,"INDUSTRY_SUBGROUP"))</f>
        <v/>
      </c>
      <c r="Z3389" t="str">
        <f>IF($B3389="","",_xll.BDP($B3389,"COUNTRY_FULL_NAME"))</f>
        <v/>
      </c>
    </row>
    <row r="3390" spans="23:26" x14ac:dyDescent="0.25">
      <c r="W3390" t="str">
        <f>IF(B3390="","",_xll.BDP(B3390,"INDUSTRY_SECTOR"))</f>
        <v/>
      </c>
      <c r="X3390" t="str">
        <f>IF($B3390="","",_xll.BDP($B3390,"INDUSTRY_GROUP"))</f>
        <v/>
      </c>
      <c r="Y3390" t="str">
        <f>IF($B3390="","",_xll.BDP($B3390,"INDUSTRY_SUBGROUP"))</f>
        <v/>
      </c>
      <c r="Z3390" t="str">
        <f>IF($B3390="","",_xll.BDP($B3390,"COUNTRY_FULL_NAME"))</f>
        <v/>
      </c>
    </row>
    <row r="3391" spans="23:26" x14ac:dyDescent="0.25">
      <c r="W3391" t="str">
        <f>IF(B3391="","",_xll.BDP(B3391,"INDUSTRY_SECTOR"))</f>
        <v/>
      </c>
      <c r="X3391" t="str">
        <f>IF($B3391="","",_xll.BDP($B3391,"INDUSTRY_GROUP"))</f>
        <v/>
      </c>
      <c r="Y3391" t="str">
        <f>IF($B3391="","",_xll.BDP($B3391,"INDUSTRY_SUBGROUP"))</f>
        <v/>
      </c>
      <c r="Z3391" t="str">
        <f>IF($B3391="","",_xll.BDP($B3391,"COUNTRY_FULL_NAME"))</f>
        <v/>
      </c>
    </row>
    <row r="3392" spans="23:26" x14ac:dyDescent="0.25">
      <c r="W3392" t="str">
        <f>IF(B3392="","",_xll.BDP(B3392,"INDUSTRY_SECTOR"))</f>
        <v/>
      </c>
      <c r="X3392" t="str">
        <f>IF($B3392="","",_xll.BDP($B3392,"INDUSTRY_GROUP"))</f>
        <v/>
      </c>
      <c r="Y3392" t="str">
        <f>IF($B3392="","",_xll.BDP($B3392,"INDUSTRY_SUBGROUP"))</f>
        <v/>
      </c>
      <c r="Z3392" t="str">
        <f>IF($B3392="","",_xll.BDP($B3392,"COUNTRY_FULL_NAME"))</f>
        <v/>
      </c>
    </row>
    <row r="3393" spans="23:26" x14ac:dyDescent="0.25">
      <c r="W3393" t="str">
        <f>IF(B3393="","",_xll.BDP(B3393,"INDUSTRY_SECTOR"))</f>
        <v/>
      </c>
      <c r="X3393" t="str">
        <f>IF($B3393="","",_xll.BDP($B3393,"INDUSTRY_GROUP"))</f>
        <v/>
      </c>
      <c r="Y3393" t="str">
        <f>IF($B3393="","",_xll.BDP($B3393,"INDUSTRY_SUBGROUP"))</f>
        <v/>
      </c>
      <c r="Z3393" t="str">
        <f>IF($B3393="","",_xll.BDP($B3393,"COUNTRY_FULL_NAME"))</f>
        <v/>
      </c>
    </row>
    <row r="3394" spans="23:26" x14ac:dyDescent="0.25">
      <c r="W3394" t="str">
        <f>IF(B3394="","",_xll.BDP(B3394,"INDUSTRY_SECTOR"))</f>
        <v/>
      </c>
      <c r="X3394" t="str">
        <f>IF($B3394="","",_xll.BDP($B3394,"INDUSTRY_GROUP"))</f>
        <v/>
      </c>
      <c r="Y3394" t="str">
        <f>IF($B3394="","",_xll.BDP($B3394,"INDUSTRY_SUBGROUP"))</f>
        <v/>
      </c>
      <c r="Z3394" t="str">
        <f>IF($B3394="","",_xll.BDP($B3394,"COUNTRY_FULL_NAME"))</f>
        <v/>
      </c>
    </row>
    <row r="3395" spans="23:26" x14ac:dyDescent="0.25">
      <c r="W3395" t="str">
        <f>IF(B3395="","",_xll.BDP(B3395,"INDUSTRY_SECTOR"))</f>
        <v/>
      </c>
      <c r="X3395" t="str">
        <f>IF($B3395="","",_xll.BDP($B3395,"INDUSTRY_GROUP"))</f>
        <v/>
      </c>
      <c r="Y3395" t="str">
        <f>IF($B3395="","",_xll.BDP($B3395,"INDUSTRY_SUBGROUP"))</f>
        <v/>
      </c>
      <c r="Z3395" t="str">
        <f>IF($B3395="","",_xll.BDP($B3395,"COUNTRY_FULL_NAME"))</f>
        <v/>
      </c>
    </row>
    <row r="3396" spans="23:26" x14ac:dyDescent="0.25">
      <c r="W3396" t="str">
        <f>IF(B3396="","",_xll.BDP(B3396,"INDUSTRY_SECTOR"))</f>
        <v/>
      </c>
      <c r="X3396" t="str">
        <f>IF($B3396="","",_xll.BDP($B3396,"INDUSTRY_GROUP"))</f>
        <v/>
      </c>
      <c r="Y3396" t="str">
        <f>IF($B3396="","",_xll.BDP($B3396,"INDUSTRY_SUBGROUP"))</f>
        <v/>
      </c>
      <c r="Z3396" t="str">
        <f>IF($B3396="","",_xll.BDP($B3396,"COUNTRY_FULL_NAME"))</f>
        <v/>
      </c>
    </row>
    <row r="3397" spans="23:26" x14ac:dyDescent="0.25">
      <c r="W3397" t="str">
        <f>IF(B3397="","",_xll.BDP(B3397,"INDUSTRY_SECTOR"))</f>
        <v/>
      </c>
      <c r="X3397" t="str">
        <f>IF($B3397="","",_xll.BDP($B3397,"INDUSTRY_GROUP"))</f>
        <v/>
      </c>
      <c r="Y3397" t="str">
        <f>IF($B3397="","",_xll.BDP($B3397,"INDUSTRY_SUBGROUP"))</f>
        <v/>
      </c>
      <c r="Z3397" t="str">
        <f>IF($B3397="","",_xll.BDP($B3397,"COUNTRY_FULL_NAME"))</f>
        <v/>
      </c>
    </row>
    <row r="3398" spans="23:26" x14ac:dyDescent="0.25">
      <c r="W3398" t="str">
        <f>IF(B3398="","",_xll.BDP(B3398,"INDUSTRY_SECTOR"))</f>
        <v/>
      </c>
      <c r="X3398" t="str">
        <f>IF($B3398="","",_xll.BDP($B3398,"INDUSTRY_GROUP"))</f>
        <v/>
      </c>
      <c r="Y3398" t="str">
        <f>IF($B3398="","",_xll.BDP($B3398,"INDUSTRY_SUBGROUP"))</f>
        <v/>
      </c>
      <c r="Z3398" t="str">
        <f>IF($B3398="","",_xll.BDP($B3398,"COUNTRY_FULL_NAME"))</f>
        <v/>
      </c>
    </row>
    <row r="3399" spans="23:26" x14ac:dyDescent="0.25">
      <c r="W3399" t="str">
        <f>IF(B3399="","",_xll.BDP(B3399,"INDUSTRY_SECTOR"))</f>
        <v/>
      </c>
      <c r="X3399" t="str">
        <f>IF($B3399="","",_xll.BDP($B3399,"INDUSTRY_GROUP"))</f>
        <v/>
      </c>
      <c r="Y3399" t="str">
        <f>IF($B3399="","",_xll.BDP($B3399,"INDUSTRY_SUBGROUP"))</f>
        <v/>
      </c>
      <c r="Z3399" t="str">
        <f>IF($B3399="","",_xll.BDP($B3399,"COUNTRY_FULL_NAME"))</f>
        <v/>
      </c>
    </row>
    <row r="3400" spans="23:26" x14ac:dyDescent="0.25">
      <c r="W3400" t="str">
        <f>IF(B3400="","",_xll.BDP(B3400,"INDUSTRY_SECTOR"))</f>
        <v/>
      </c>
      <c r="X3400" t="str">
        <f>IF($B3400="","",_xll.BDP($B3400,"INDUSTRY_GROUP"))</f>
        <v/>
      </c>
      <c r="Y3400" t="str">
        <f>IF($B3400="","",_xll.BDP($B3400,"INDUSTRY_SUBGROUP"))</f>
        <v/>
      </c>
      <c r="Z3400" t="str">
        <f>IF($B3400="","",_xll.BDP($B3400,"COUNTRY_FULL_NAME"))</f>
        <v/>
      </c>
    </row>
    <row r="3401" spans="23:26" x14ac:dyDescent="0.25">
      <c r="W3401" t="str">
        <f>IF(B3401="","",_xll.BDP(B3401,"INDUSTRY_SECTOR"))</f>
        <v/>
      </c>
      <c r="X3401" t="str">
        <f>IF($B3401="","",_xll.BDP($B3401,"INDUSTRY_GROUP"))</f>
        <v/>
      </c>
      <c r="Y3401" t="str">
        <f>IF($B3401="","",_xll.BDP($B3401,"INDUSTRY_SUBGROUP"))</f>
        <v/>
      </c>
      <c r="Z3401" t="str">
        <f>IF($B3401="","",_xll.BDP($B3401,"COUNTRY_FULL_NAME"))</f>
        <v/>
      </c>
    </row>
    <row r="3402" spans="23:26" x14ac:dyDescent="0.25">
      <c r="W3402" t="str">
        <f>IF(B3402="","",_xll.BDP(B3402,"INDUSTRY_SECTOR"))</f>
        <v/>
      </c>
      <c r="X3402" t="str">
        <f>IF($B3402="","",_xll.BDP($B3402,"INDUSTRY_GROUP"))</f>
        <v/>
      </c>
      <c r="Y3402" t="str">
        <f>IF($B3402="","",_xll.BDP($B3402,"INDUSTRY_SUBGROUP"))</f>
        <v/>
      </c>
      <c r="Z3402" t="str">
        <f>IF($B3402="","",_xll.BDP($B3402,"COUNTRY_FULL_NAME"))</f>
        <v/>
      </c>
    </row>
    <row r="3403" spans="23:26" x14ac:dyDescent="0.25">
      <c r="W3403" t="str">
        <f>IF(B3403="","",_xll.BDP(B3403,"INDUSTRY_SECTOR"))</f>
        <v/>
      </c>
      <c r="X3403" t="str">
        <f>IF($B3403="","",_xll.BDP($B3403,"INDUSTRY_GROUP"))</f>
        <v/>
      </c>
      <c r="Y3403" t="str">
        <f>IF($B3403="","",_xll.BDP($B3403,"INDUSTRY_SUBGROUP"))</f>
        <v/>
      </c>
      <c r="Z3403" t="str">
        <f>IF($B3403="","",_xll.BDP($B3403,"COUNTRY_FULL_NAME"))</f>
        <v/>
      </c>
    </row>
    <row r="3404" spans="23:26" x14ac:dyDescent="0.25">
      <c r="W3404" t="str">
        <f>IF(B3404="","",_xll.BDP(B3404,"INDUSTRY_SECTOR"))</f>
        <v/>
      </c>
      <c r="X3404" t="str">
        <f>IF($B3404="","",_xll.BDP($B3404,"INDUSTRY_GROUP"))</f>
        <v/>
      </c>
      <c r="Y3404" t="str">
        <f>IF($B3404="","",_xll.BDP($B3404,"INDUSTRY_SUBGROUP"))</f>
        <v/>
      </c>
      <c r="Z3404" t="str">
        <f>IF($B3404="","",_xll.BDP($B3404,"COUNTRY_FULL_NAME"))</f>
        <v/>
      </c>
    </row>
    <row r="3405" spans="23:26" x14ac:dyDescent="0.25">
      <c r="W3405" t="str">
        <f>IF(B3405="","",_xll.BDP(B3405,"INDUSTRY_SECTOR"))</f>
        <v/>
      </c>
      <c r="X3405" t="str">
        <f>IF($B3405="","",_xll.BDP($B3405,"INDUSTRY_GROUP"))</f>
        <v/>
      </c>
      <c r="Y3405" t="str">
        <f>IF($B3405="","",_xll.BDP($B3405,"INDUSTRY_SUBGROUP"))</f>
        <v/>
      </c>
      <c r="Z3405" t="str">
        <f>IF($B3405="","",_xll.BDP($B3405,"COUNTRY_FULL_NAME"))</f>
        <v/>
      </c>
    </row>
    <row r="3406" spans="23:26" x14ac:dyDescent="0.25">
      <c r="W3406" t="str">
        <f>IF(B3406="","",_xll.BDP(B3406,"INDUSTRY_SECTOR"))</f>
        <v/>
      </c>
      <c r="X3406" t="str">
        <f>IF($B3406="","",_xll.BDP($B3406,"INDUSTRY_GROUP"))</f>
        <v/>
      </c>
      <c r="Y3406" t="str">
        <f>IF($B3406="","",_xll.BDP($B3406,"INDUSTRY_SUBGROUP"))</f>
        <v/>
      </c>
      <c r="Z3406" t="str">
        <f>IF($B3406="","",_xll.BDP($B3406,"COUNTRY_FULL_NAME"))</f>
        <v/>
      </c>
    </row>
    <row r="3407" spans="23:26" x14ac:dyDescent="0.25">
      <c r="W3407" t="str">
        <f>IF(B3407="","",_xll.BDP(B3407,"INDUSTRY_SECTOR"))</f>
        <v/>
      </c>
      <c r="X3407" t="str">
        <f>IF($B3407="","",_xll.BDP($B3407,"INDUSTRY_GROUP"))</f>
        <v/>
      </c>
      <c r="Y3407" t="str">
        <f>IF($B3407="","",_xll.BDP($B3407,"INDUSTRY_SUBGROUP"))</f>
        <v/>
      </c>
      <c r="Z3407" t="str">
        <f>IF($B3407="","",_xll.BDP($B3407,"COUNTRY_FULL_NAME"))</f>
        <v/>
      </c>
    </row>
    <row r="3408" spans="23:26" x14ac:dyDescent="0.25">
      <c r="W3408" t="str">
        <f>IF(B3408="","",_xll.BDP(B3408,"INDUSTRY_SECTOR"))</f>
        <v/>
      </c>
      <c r="X3408" t="str">
        <f>IF($B3408="","",_xll.BDP($B3408,"INDUSTRY_GROUP"))</f>
        <v/>
      </c>
      <c r="Y3408" t="str">
        <f>IF($B3408="","",_xll.BDP($B3408,"INDUSTRY_SUBGROUP"))</f>
        <v/>
      </c>
      <c r="Z3408" t="str">
        <f>IF($B3408="","",_xll.BDP($B3408,"COUNTRY_FULL_NAME"))</f>
        <v/>
      </c>
    </row>
    <row r="3409" spans="23:26" x14ac:dyDescent="0.25">
      <c r="W3409" t="str">
        <f>IF(B3409="","",_xll.BDP(B3409,"INDUSTRY_SECTOR"))</f>
        <v/>
      </c>
      <c r="X3409" t="str">
        <f>IF($B3409="","",_xll.BDP($B3409,"INDUSTRY_GROUP"))</f>
        <v/>
      </c>
      <c r="Y3409" t="str">
        <f>IF($B3409="","",_xll.BDP($B3409,"INDUSTRY_SUBGROUP"))</f>
        <v/>
      </c>
      <c r="Z3409" t="str">
        <f>IF($B3409="","",_xll.BDP($B3409,"COUNTRY_FULL_NAME"))</f>
        <v/>
      </c>
    </row>
    <row r="3410" spans="23:26" x14ac:dyDescent="0.25">
      <c r="W3410" t="str">
        <f>IF(B3410="","",_xll.BDP(B3410,"INDUSTRY_SECTOR"))</f>
        <v/>
      </c>
      <c r="X3410" t="str">
        <f>IF($B3410="","",_xll.BDP($B3410,"INDUSTRY_GROUP"))</f>
        <v/>
      </c>
      <c r="Y3410" t="str">
        <f>IF($B3410="","",_xll.BDP($B3410,"INDUSTRY_SUBGROUP"))</f>
        <v/>
      </c>
      <c r="Z3410" t="str">
        <f>IF($B3410="","",_xll.BDP($B3410,"COUNTRY_FULL_NAME"))</f>
        <v/>
      </c>
    </row>
    <row r="3411" spans="23:26" x14ac:dyDescent="0.25">
      <c r="W3411" t="str">
        <f>IF(B3411="","",_xll.BDP(B3411,"INDUSTRY_SECTOR"))</f>
        <v/>
      </c>
      <c r="X3411" t="str">
        <f>IF($B3411="","",_xll.BDP($B3411,"INDUSTRY_GROUP"))</f>
        <v/>
      </c>
      <c r="Y3411" t="str">
        <f>IF($B3411="","",_xll.BDP($B3411,"INDUSTRY_SUBGROUP"))</f>
        <v/>
      </c>
      <c r="Z3411" t="str">
        <f>IF($B3411="","",_xll.BDP($B3411,"COUNTRY_FULL_NAME"))</f>
        <v/>
      </c>
    </row>
    <row r="3412" spans="23:26" x14ac:dyDescent="0.25">
      <c r="W3412" t="str">
        <f>IF(B3412="","",_xll.BDP(B3412,"INDUSTRY_SECTOR"))</f>
        <v/>
      </c>
      <c r="X3412" t="str">
        <f>IF($B3412="","",_xll.BDP($B3412,"INDUSTRY_GROUP"))</f>
        <v/>
      </c>
      <c r="Y3412" t="str">
        <f>IF($B3412="","",_xll.BDP($B3412,"INDUSTRY_SUBGROUP"))</f>
        <v/>
      </c>
      <c r="Z3412" t="str">
        <f>IF($B3412="","",_xll.BDP($B3412,"COUNTRY_FULL_NAME"))</f>
        <v/>
      </c>
    </row>
    <row r="3413" spans="23:26" x14ac:dyDescent="0.25">
      <c r="W3413" t="str">
        <f>IF(B3413="","",_xll.BDP(B3413,"INDUSTRY_SECTOR"))</f>
        <v/>
      </c>
      <c r="X3413" t="str">
        <f>IF($B3413="","",_xll.BDP($B3413,"INDUSTRY_GROUP"))</f>
        <v/>
      </c>
      <c r="Y3413" t="str">
        <f>IF($B3413="","",_xll.BDP($B3413,"INDUSTRY_SUBGROUP"))</f>
        <v/>
      </c>
      <c r="Z3413" t="str">
        <f>IF($B3413="","",_xll.BDP($B3413,"COUNTRY_FULL_NAME"))</f>
        <v/>
      </c>
    </row>
    <row r="3414" spans="23:26" x14ac:dyDescent="0.25">
      <c r="W3414" t="str">
        <f>IF(B3414="","",_xll.BDP(B3414,"INDUSTRY_SECTOR"))</f>
        <v/>
      </c>
      <c r="X3414" t="str">
        <f>IF($B3414="","",_xll.BDP($B3414,"INDUSTRY_GROUP"))</f>
        <v/>
      </c>
      <c r="Y3414" t="str">
        <f>IF($B3414="","",_xll.BDP($B3414,"INDUSTRY_SUBGROUP"))</f>
        <v/>
      </c>
      <c r="Z3414" t="str">
        <f>IF($B3414="","",_xll.BDP($B3414,"COUNTRY_FULL_NAME"))</f>
        <v/>
      </c>
    </row>
    <row r="3415" spans="23:26" x14ac:dyDescent="0.25">
      <c r="W3415" t="str">
        <f>IF(B3415="","",_xll.BDP(B3415,"INDUSTRY_SECTOR"))</f>
        <v/>
      </c>
      <c r="X3415" t="str">
        <f>IF($B3415="","",_xll.BDP($B3415,"INDUSTRY_GROUP"))</f>
        <v/>
      </c>
      <c r="Y3415" t="str">
        <f>IF($B3415="","",_xll.BDP($B3415,"INDUSTRY_SUBGROUP"))</f>
        <v/>
      </c>
      <c r="Z3415" t="str">
        <f>IF($B3415="","",_xll.BDP($B3415,"COUNTRY_FULL_NAME"))</f>
        <v/>
      </c>
    </row>
    <row r="3416" spans="23:26" x14ac:dyDescent="0.25">
      <c r="W3416" t="str">
        <f>IF(B3416="","",_xll.BDP(B3416,"INDUSTRY_SECTOR"))</f>
        <v/>
      </c>
      <c r="X3416" t="str">
        <f>IF($B3416="","",_xll.BDP($B3416,"INDUSTRY_GROUP"))</f>
        <v/>
      </c>
      <c r="Y3416" t="str">
        <f>IF($B3416="","",_xll.BDP($B3416,"INDUSTRY_SUBGROUP"))</f>
        <v/>
      </c>
      <c r="Z3416" t="str">
        <f>IF($B3416="","",_xll.BDP($B3416,"COUNTRY_FULL_NAME"))</f>
        <v/>
      </c>
    </row>
    <row r="3417" spans="23:26" x14ac:dyDescent="0.25">
      <c r="W3417" t="str">
        <f>IF(B3417="","",_xll.BDP(B3417,"INDUSTRY_SECTOR"))</f>
        <v/>
      </c>
      <c r="X3417" t="str">
        <f>IF($B3417="","",_xll.BDP($B3417,"INDUSTRY_GROUP"))</f>
        <v/>
      </c>
      <c r="Y3417" t="str">
        <f>IF($B3417="","",_xll.BDP($B3417,"INDUSTRY_SUBGROUP"))</f>
        <v/>
      </c>
      <c r="Z3417" t="str">
        <f>IF($B3417="","",_xll.BDP($B3417,"COUNTRY_FULL_NAME"))</f>
        <v/>
      </c>
    </row>
    <row r="3418" spans="23:26" x14ac:dyDescent="0.25">
      <c r="W3418" t="str">
        <f>IF(B3418="","",_xll.BDP(B3418,"INDUSTRY_SECTOR"))</f>
        <v/>
      </c>
      <c r="X3418" t="str">
        <f>IF($B3418="","",_xll.BDP($B3418,"INDUSTRY_GROUP"))</f>
        <v/>
      </c>
      <c r="Y3418" t="str">
        <f>IF($B3418="","",_xll.BDP($B3418,"INDUSTRY_SUBGROUP"))</f>
        <v/>
      </c>
      <c r="Z3418" t="str">
        <f>IF($B3418="","",_xll.BDP($B3418,"COUNTRY_FULL_NAME"))</f>
        <v/>
      </c>
    </row>
    <row r="3419" spans="23:26" x14ac:dyDescent="0.25">
      <c r="W3419" t="str">
        <f>IF(B3419="","",_xll.BDP(B3419,"INDUSTRY_SECTOR"))</f>
        <v/>
      </c>
      <c r="X3419" t="str">
        <f>IF($B3419="","",_xll.BDP($B3419,"INDUSTRY_GROUP"))</f>
        <v/>
      </c>
      <c r="Y3419" t="str">
        <f>IF($B3419="","",_xll.BDP($B3419,"INDUSTRY_SUBGROUP"))</f>
        <v/>
      </c>
      <c r="Z3419" t="str">
        <f>IF($B3419="","",_xll.BDP($B3419,"COUNTRY_FULL_NAME"))</f>
        <v/>
      </c>
    </row>
    <row r="3420" spans="23:26" x14ac:dyDescent="0.25">
      <c r="W3420" t="str">
        <f>IF(B3420="","",_xll.BDP(B3420,"INDUSTRY_SECTOR"))</f>
        <v/>
      </c>
      <c r="X3420" t="str">
        <f>IF($B3420="","",_xll.BDP($B3420,"INDUSTRY_GROUP"))</f>
        <v/>
      </c>
      <c r="Y3420" t="str">
        <f>IF($B3420="","",_xll.BDP($B3420,"INDUSTRY_SUBGROUP"))</f>
        <v/>
      </c>
      <c r="Z3420" t="str">
        <f>IF($B3420="","",_xll.BDP($B3420,"COUNTRY_FULL_NAME"))</f>
        <v/>
      </c>
    </row>
    <row r="3421" spans="23:26" x14ac:dyDescent="0.25">
      <c r="W3421" t="str">
        <f>IF(B3421="","",_xll.BDP(B3421,"INDUSTRY_SECTOR"))</f>
        <v/>
      </c>
      <c r="X3421" t="str">
        <f>IF($B3421="","",_xll.BDP($B3421,"INDUSTRY_GROUP"))</f>
        <v/>
      </c>
      <c r="Y3421" t="str">
        <f>IF($B3421="","",_xll.BDP($B3421,"INDUSTRY_SUBGROUP"))</f>
        <v/>
      </c>
      <c r="Z3421" t="str">
        <f>IF($B3421="","",_xll.BDP($B3421,"COUNTRY_FULL_NAME"))</f>
        <v/>
      </c>
    </row>
    <row r="3422" spans="23:26" x14ac:dyDescent="0.25">
      <c r="W3422" t="str">
        <f>IF(B3422="","",_xll.BDP(B3422,"INDUSTRY_SECTOR"))</f>
        <v/>
      </c>
      <c r="X3422" t="str">
        <f>IF($B3422="","",_xll.BDP($B3422,"INDUSTRY_GROUP"))</f>
        <v/>
      </c>
      <c r="Y3422" t="str">
        <f>IF($B3422="","",_xll.BDP($B3422,"INDUSTRY_SUBGROUP"))</f>
        <v/>
      </c>
      <c r="Z3422" t="str">
        <f>IF($B3422="","",_xll.BDP($B3422,"COUNTRY_FULL_NAME"))</f>
        <v/>
      </c>
    </row>
    <row r="3423" spans="23:26" x14ac:dyDescent="0.25">
      <c r="W3423" t="str">
        <f>IF(B3423="","",_xll.BDP(B3423,"INDUSTRY_SECTOR"))</f>
        <v/>
      </c>
      <c r="X3423" t="str">
        <f>IF($B3423="","",_xll.BDP($B3423,"INDUSTRY_GROUP"))</f>
        <v/>
      </c>
      <c r="Y3423" t="str">
        <f>IF($B3423="","",_xll.BDP($B3423,"INDUSTRY_SUBGROUP"))</f>
        <v/>
      </c>
      <c r="Z3423" t="str">
        <f>IF($B3423="","",_xll.BDP($B3423,"COUNTRY_FULL_NAME"))</f>
        <v/>
      </c>
    </row>
    <row r="3424" spans="23:26" x14ac:dyDescent="0.25">
      <c r="W3424" t="str">
        <f>IF(B3424="","",_xll.BDP(B3424,"INDUSTRY_SECTOR"))</f>
        <v/>
      </c>
      <c r="X3424" t="str">
        <f>IF($B3424="","",_xll.BDP($B3424,"INDUSTRY_GROUP"))</f>
        <v/>
      </c>
      <c r="Y3424" t="str">
        <f>IF($B3424="","",_xll.BDP($B3424,"INDUSTRY_SUBGROUP"))</f>
        <v/>
      </c>
      <c r="Z3424" t="str">
        <f>IF($B3424="","",_xll.BDP($B3424,"COUNTRY_FULL_NAME"))</f>
        <v/>
      </c>
    </row>
    <row r="3425" spans="23:26" x14ac:dyDescent="0.25">
      <c r="W3425" t="str">
        <f>IF(B3425="","",_xll.BDP(B3425,"INDUSTRY_SECTOR"))</f>
        <v/>
      </c>
      <c r="X3425" t="str">
        <f>IF($B3425="","",_xll.BDP($B3425,"INDUSTRY_GROUP"))</f>
        <v/>
      </c>
      <c r="Y3425" t="str">
        <f>IF($B3425="","",_xll.BDP($B3425,"INDUSTRY_SUBGROUP"))</f>
        <v/>
      </c>
      <c r="Z3425" t="str">
        <f>IF($B3425="","",_xll.BDP($B3425,"COUNTRY_FULL_NAME"))</f>
        <v/>
      </c>
    </row>
    <row r="3426" spans="23:26" x14ac:dyDescent="0.25">
      <c r="W3426" t="str">
        <f>IF(B3426="","",_xll.BDP(B3426,"INDUSTRY_SECTOR"))</f>
        <v/>
      </c>
      <c r="X3426" t="str">
        <f>IF($B3426="","",_xll.BDP($B3426,"INDUSTRY_GROUP"))</f>
        <v/>
      </c>
      <c r="Y3426" t="str">
        <f>IF($B3426="","",_xll.BDP($B3426,"INDUSTRY_SUBGROUP"))</f>
        <v/>
      </c>
      <c r="Z3426" t="str">
        <f>IF($B3426="","",_xll.BDP($B3426,"COUNTRY_FULL_NAME"))</f>
        <v/>
      </c>
    </row>
    <row r="3427" spans="23:26" x14ac:dyDescent="0.25">
      <c r="W3427" t="str">
        <f>IF(B3427="","",_xll.BDP(B3427,"INDUSTRY_SECTOR"))</f>
        <v/>
      </c>
      <c r="X3427" t="str">
        <f>IF($B3427="","",_xll.BDP($B3427,"INDUSTRY_GROUP"))</f>
        <v/>
      </c>
      <c r="Y3427" t="str">
        <f>IF($B3427="","",_xll.BDP($B3427,"INDUSTRY_SUBGROUP"))</f>
        <v/>
      </c>
      <c r="Z3427" t="str">
        <f>IF($B3427="","",_xll.BDP($B3427,"COUNTRY_FULL_NAME"))</f>
        <v/>
      </c>
    </row>
    <row r="3428" spans="23:26" x14ac:dyDescent="0.25">
      <c r="W3428" t="str">
        <f>IF(B3428="","",_xll.BDP(B3428,"INDUSTRY_SECTOR"))</f>
        <v/>
      </c>
      <c r="X3428" t="str">
        <f>IF($B3428="","",_xll.BDP($B3428,"INDUSTRY_GROUP"))</f>
        <v/>
      </c>
      <c r="Y3428" t="str">
        <f>IF($B3428="","",_xll.BDP($B3428,"INDUSTRY_SUBGROUP"))</f>
        <v/>
      </c>
      <c r="Z3428" t="str">
        <f>IF($B3428="","",_xll.BDP($B3428,"COUNTRY_FULL_NAME"))</f>
        <v/>
      </c>
    </row>
    <row r="3429" spans="23:26" x14ac:dyDescent="0.25">
      <c r="W3429" t="str">
        <f>IF(B3429="","",_xll.BDP(B3429,"INDUSTRY_SECTOR"))</f>
        <v/>
      </c>
      <c r="X3429" t="str">
        <f>IF($B3429="","",_xll.BDP($B3429,"INDUSTRY_GROUP"))</f>
        <v/>
      </c>
      <c r="Y3429" t="str">
        <f>IF($B3429="","",_xll.BDP($B3429,"INDUSTRY_SUBGROUP"))</f>
        <v/>
      </c>
      <c r="Z3429" t="str">
        <f>IF($B3429="","",_xll.BDP($B3429,"COUNTRY_FULL_NAME"))</f>
        <v/>
      </c>
    </row>
    <row r="3430" spans="23:26" x14ac:dyDescent="0.25">
      <c r="W3430" t="str">
        <f>IF(B3430="","",_xll.BDP(B3430,"INDUSTRY_SECTOR"))</f>
        <v/>
      </c>
      <c r="X3430" t="str">
        <f>IF($B3430="","",_xll.BDP($B3430,"INDUSTRY_GROUP"))</f>
        <v/>
      </c>
      <c r="Y3430" t="str">
        <f>IF($B3430="","",_xll.BDP($B3430,"INDUSTRY_SUBGROUP"))</f>
        <v/>
      </c>
      <c r="Z3430" t="str">
        <f>IF($B3430="","",_xll.BDP($B3430,"COUNTRY_FULL_NAME"))</f>
        <v/>
      </c>
    </row>
    <row r="3431" spans="23:26" x14ac:dyDescent="0.25">
      <c r="W3431" t="str">
        <f>IF(B3431="","",_xll.BDP(B3431,"INDUSTRY_SECTOR"))</f>
        <v/>
      </c>
      <c r="X3431" t="str">
        <f>IF($B3431="","",_xll.BDP($B3431,"INDUSTRY_GROUP"))</f>
        <v/>
      </c>
      <c r="Y3431" t="str">
        <f>IF($B3431="","",_xll.BDP($B3431,"INDUSTRY_SUBGROUP"))</f>
        <v/>
      </c>
      <c r="Z3431" t="str">
        <f>IF($B3431="","",_xll.BDP($B3431,"COUNTRY_FULL_NAME"))</f>
        <v/>
      </c>
    </row>
    <row r="3432" spans="23:26" x14ac:dyDescent="0.25">
      <c r="W3432" t="str">
        <f>IF(B3432="","",_xll.BDP(B3432,"INDUSTRY_SECTOR"))</f>
        <v/>
      </c>
      <c r="X3432" t="str">
        <f>IF($B3432="","",_xll.BDP($B3432,"INDUSTRY_GROUP"))</f>
        <v/>
      </c>
      <c r="Y3432" t="str">
        <f>IF($B3432="","",_xll.BDP($B3432,"INDUSTRY_SUBGROUP"))</f>
        <v/>
      </c>
      <c r="Z3432" t="str">
        <f>IF($B3432="","",_xll.BDP($B3432,"COUNTRY_FULL_NAME"))</f>
        <v/>
      </c>
    </row>
    <row r="3433" spans="23:26" x14ac:dyDescent="0.25">
      <c r="W3433" t="str">
        <f>IF(B3433="","",_xll.BDP(B3433,"INDUSTRY_SECTOR"))</f>
        <v/>
      </c>
      <c r="X3433" t="str">
        <f>IF($B3433="","",_xll.BDP($B3433,"INDUSTRY_GROUP"))</f>
        <v/>
      </c>
      <c r="Y3433" t="str">
        <f>IF($B3433="","",_xll.BDP($B3433,"INDUSTRY_SUBGROUP"))</f>
        <v/>
      </c>
      <c r="Z3433" t="str">
        <f>IF($B3433="","",_xll.BDP($B3433,"COUNTRY_FULL_NAME"))</f>
        <v/>
      </c>
    </row>
    <row r="3434" spans="23:26" x14ac:dyDescent="0.25">
      <c r="W3434" t="str">
        <f>IF(B3434="","",_xll.BDP(B3434,"INDUSTRY_SECTOR"))</f>
        <v/>
      </c>
      <c r="X3434" t="str">
        <f>IF($B3434="","",_xll.BDP($B3434,"INDUSTRY_GROUP"))</f>
        <v/>
      </c>
      <c r="Y3434" t="str">
        <f>IF($B3434="","",_xll.BDP($B3434,"INDUSTRY_SUBGROUP"))</f>
        <v/>
      </c>
      <c r="Z3434" t="str">
        <f>IF($B3434="","",_xll.BDP($B3434,"COUNTRY_FULL_NAME"))</f>
        <v/>
      </c>
    </row>
    <row r="3435" spans="23:26" x14ac:dyDescent="0.25">
      <c r="W3435" t="str">
        <f>IF(B3435="","",_xll.BDP(B3435,"INDUSTRY_SECTOR"))</f>
        <v/>
      </c>
      <c r="X3435" t="str">
        <f>IF($B3435="","",_xll.BDP($B3435,"INDUSTRY_GROUP"))</f>
        <v/>
      </c>
      <c r="Y3435" t="str">
        <f>IF($B3435="","",_xll.BDP($B3435,"INDUSTRY_SUBGROUP"))</f>
        <v/>
      </c>
      <c r="Z3435" t="str">
        <f>IF($B3435="","",_xll.BDP($B3435,"COUNTRY_FULL_NAME"))</f>
        <v/>
      </c>
    </row>
    <row r="3436" spans="23:26" x14ac:dyDescent="0.25">
      <c r="W3436" t="str">
        <f>IF(B3436="","",_xll.BDP(B3436,"INDUSTRY_SECTOR"))</f>
        <v/>
      </c>
      <c r="X3436" t="str">
        <f>IF($B3436="","",_xll.BDP($B3436,"INDUSTRY_GROUP"))</f>
        <v/>
      </c>
      <c r="Y3436" t="str">
        <f>IF($B3436="","",_xll.BDP($B3436,"INDUSTRY_SUBGROUP"))</f>
        <v/>
      </c>
      <c r="Z3436" t="str">
        <f>IF($B3436="","",_xll.BDP($B3436,"COUNTRY_FULL_NAME"))</f>
        <v/>
      </c>
    </row>
    <row r="3437" spans="23:26" x14ac:dyDescent="0.25">
      <c r="W3437" t="str">
        <f>IF(B3437="","",_xll.BDP(B3437,"INDUSTRY_SECTOR"))</f>
        <v/>
      </c>
      <c r="X3437" t="str">
        <f>IF($B3437="","",_xll.BDP($B3437,"INDUSTRY_GROUP"))</f>
        <v/>
      </c>
      <c r="Y3437" t="str">
        <f>IF($B3437="","",_xll.BDP($B3437,"INDUSTRY_SUBGROUP"))</f>
        <v/>
      </c>
      <c r="Z3437" t="str">
        <f>IF($B3437="","",_xll.BDP($B3437,"COUNTRY_FULL_NAME"))</f>
        <v/>
      </c>
    </row>
    <row r="3438" spans="23:26" x14ac:dyDescent="0.25">
      <c r="W3438" t="str">
        <f>IF(B3438="","",_xll.BDP(B3438,"INDUSTRY_SECTOR"))</f>
        <v/>
      </c>
      <c r="X3438" t="str">
        <f>IF($B3438="","",_xll.BDP($B3438,"INDUSTRY_GROUP"))</f>
        <v/>
      </c>
      <c r="Y3438" t="str">
        <f>IF($B3438="","",_xll.BDP($B3438,"INDUSTRY_SUBGROUP"))</f>
        <v/>
      </c>
      <c r="Z3438" t="str">
        <f>IF($B3438="","",_xll.BDP($B3438,"COUNTRY_FULL_NAME"))</f>
        <v/>
      </c>
    </row>
    <row r="3439" spans="23:26" x14ac:dyDescent="0.25">
      <c r="W3439" t="str">
        <f>IF(B3439="","",_xll.BDP(B3439,"INDUSTRY_SECTOR"))</f>
        <v/>
      </c>
      <c r="X3439" t="str">
        <f>IF($B3439="","",_xll.BDP($B3439,"INDUSTRY_GROUP"))</f>
        <v/>
      </c>
      <c r="Y3439" t="str">
        <f>IF($B3439="","",_xll.BDP($B3439,"INDUSTRY_SUBGROUP"))</f>
        <v/>
      </c>
      <c r="Z3439" t="str">
        <f>IF($B3439="","",_xll.BDP($B3439,"COUNTRY_FULL_NAME"))</f>
        <v/>
      </c>
    </row>
    <row r="3440" spans="23:26" x14ac:dyDescent="0.25">
      <c r="W3440" t="str">
        <f>IF(B3440="","",_xll.BDP(B3440,"INDUSTRY_SECTOR"))</f>
        <v/>
      </c>
      <c r="X3440" t="str">
        <f>IF($B3440="","",_xll.BDP($B3440,"INDUSTRY_GROUP"))</f>
        <v/>
      </c>
      <c r="Y3440" t="str">
        <f>IF($B3440="","",_xll.BDP($B3440,"INDUSTRY_SUBGROUP"))</f>
        <v/>
      </c>
      <c r="Z3440" t="str">
        <f>IF($B3440="","",_xll.BDP($B3440,"COUNTRY_FULL_NAME"))</f>
        <v/>
      </c>
    </row>
    <row r="3441" spans="23:26" x14ac:dyDescent="0.25">
      <c r="W3441" t="str">
        <f>IF(B3441="","",_xll.BDP(B3441,"INDUSTRY_SECTOR"))</f>
        <v/>
      </c>
      <c r="X3441" t="str">
        <f>IF($B3441="","",_xll.BDP($B3441,"INDUSTRY_GROUP"))</f>
        <v/>
      </c>
      <c r="Y3441" t="str">
        <f>IF($B3441="","",_xll.BDP($B3441,"INDUSTRY_SUBGROUP"))</f>
        <v/>
      </c>
      <c r="Z3441" t="str">
        <f>IF($B3441="","",_xll.BDP($B3441,"COUNTRY_FULL_NAME"))</f>
        <v/>
      </c>
    </row>
    <row r="3442" spans="23:26" x14ac:dyDescent="0.25">
      <c r="W3442" t="str">
        <f>IF(B3442="","",_xll.BDP(B3442,"INDUSTRY_SECTOR"))</f>
        <v/>
      </c>
      <c r="X3442" t="str">
        <f>IF($B3442="","",_xll.BDP($B3442,"INDUSTRY_GROUP"))</f>
        <v/>
      </c>
      <c r="Y3442" t="str">
        <f>IF($B3442="","",_xll.BDP($B3442,"INDUSTRY_SUBGROUP"))</f>
        <v/>
      </c>
      <c r="Z3442" t="str">
        <f>IF($B3442="","",_xll.BDP($B3442,"COUNTRY_FULL_NAME"))</f>
        <v/>
      </c>
    </row>
    <row r="3443" spans="23:26" x14ac:dyDescent="0.25">
      <c r="W3443" t="str">
        <f>IF(B3443="","",_xll.BDP(B3443,"INDUSTRY_SECTOR"))</f>
        <v/>
      </c>
      <c r="X3443" t="str">
        <f>IF($B3443="","",_xll.BDP($B3443,"INDUSTRY_GROUP"))</f>
        <v/>
      </c>
      <c r="Y3443" t="str">
        <f>IF($B3443="","",_xll.BDP($B3443,"INDUSTRY_SUBGROUP"))</f>
        <v/>
      </c>
      <c r="Z3443" t="str">
        <f>IF($B3443="","",_xll.BDP($B3443,"COUNTRY_FULL_NAME"))</f>
        <v/>
      </c>
    </row>
    <row r="3444" spans="23:26" x14ac:dyDescent="0.25">
      <c r="W3444" t="str">
        <f>IF(B3444="","",_xll.BDP(B3444,"INDUSTRY_SECTOR"))</f>
        <v/>
      </c>
      <c r="X3444" t="str">
        <f>IF($B3444="","",_xll.BDP($B3444,"INDUSTRY_GROUP"))</f>
        <v/>
      </c>
      <c r="Y3444" t="str">
        <f>IF($B3444="","",_xll.BDP($B3444,"INDUSTRY_SUBGROUP"))</f>
        <v/>
      </c>
      <c r="Z3444" t="str">
        <f>IF($B3444="","",_xll.BDP($B3444,"COUNTRY_FULL_NAME"))</f>
        <v/>
      </c>
    </row>
    <row r="3445" spans="23:26" x14ac:dyDescent="0.25">
      <c r="W3445" t="str">
        <f>IF(B3445="","",_xll.BDP(B3445,"INDUSTRY_SECTOR"))</f>
        <v/>
      </c>
      <c r="X3445" t="str">
        <f>IF($B3445="","",_xll.BDP($B3445,"INDUSTRY_GROUP"))</f>
        <v/>
      </c>
      <c r="Y3445" t="str">
        <f>IF($B3445="","",_xll.BDP($B3445,"INDUSTRY_SUBGROUP"))</f>
        <v/>
      </c>
      <c r="Z3445" t="str">
        <f>IF($B3445="","",_xll.BDP($B3445,"COUNTRY_FULL_NAME"))</f>
        <v/>
      </c>
    </row>
    <row r="3446" spans="23:26" x14ac:dyDescent="0.25">
      <c r="W3446" t="str">
        <f>IF(B3446="","",_xll.BDP(B3446,"INDUSTRY_SECTOR"))</f>
        <v/>
      </c>
      <c r="X3446" t="str">
        <f>IF($B3446="","",_xll.BDP($B3446,"INDUSTRY_GROUP"))</f>
        <v/>
      </c>
      <c r="Y3446" t="str">
        <f>IF($B3446="","",_xll.BDP($B3446,"INDUSTRY_SUBGROUP"))</f>
        <v/>
      </c>
      <c r="Z3446" t="str">
        <f>IF($B3446="","",_xll.BDP($B3446,"COUNTRY_FULL_NAME"))</f>
        <v/>
      </c>
    </row>
    <row r="3447" spans="23:26" x14ac:dyDescent="0.25">
      <c r="W3447" t="str">
        <f>IF(B3447="","",_xll.BDP(B3447,"INDUSTRY_SECTOR"))</f>
        <v/>
      </c>
      <c r="X3447" t="str">
        <f>IF($B3447="","",_xll.BDP($B3447,"INDUSTRY_GROUP"))</f>
        <v/>
      </c>
      <c r="Y3447" t="str">
        <f>IF($B3447="","",_xll.BDP($B3447,"INDUSTRY_SUBGROUP"))</f>
        <v/>
      </c>
      <c r="Z3447" t="str">
        <f>IF($B3447="","",_xll.BDP($B3447,"COUNTRY_FULL_NAME"))</f>
        <v/>
      </c>
    </row>
    <row r="3448" spans="23:26" x14ac:dyDescent="0.25">
      <c r="W3448" t="str">
        <f>IF(B3448="","",_xll.BDP(B3448,"INDUSTRY_SECTOR"))</f>
        <v/>
      </c>
      <c r="X3448" t="str">
        <f>IF($B3448="","",_xll.BDP($B3448,"INDUSTRY_GROUP"))</f>
        <v/>
      </c>
      <c r="Y3448" t="str">
        <f>IF($B3448="","",_xll.BDP($B3448,"INDUSTRY_SUBGROUP"))</f>
        <v/>
      </c>
      <c r="Z3448" t="str">
        <f>IF($B3448="","",_xll.BDP($B3448,"COUNTRY_FULL_NAME"))</f>
        <v/>
      </c>
    </row>
    <row r="3449" spans="23:26" x14ac:dyDescent="0.25">
      <c r="W3449" t="str">
        <f>IF(B3449="","",_xll.BDP(B3449,"INDUSTRY_SECTOR"))</f>
        <v/>
      </c>
      <c r="X3449" t="str">
        <f>IF($B3449="","",_xll.BDP($B3449,"INDUSTRY_GROUP"))</f>
        <v/>
      </c>
      <c r="Y3449" t="str">
        <f>IF($B3449="","",_xll.BDP($B3449,"INDUSTRY_SUBGROUP"))</f>
        <v/>
      </c>
      <c r="Z3449" t="str">
        <f>IF($B3449="","",_xll.BDP($B3449,"COUNTRY_FULL_NAME"))</f>
        <v/>
      </c>
    </row>
    <row r="3450" spans="23:26" x14ac:dyDescent="0.25">
      <c r="W3450" t="str">
        <f>IF(B3450="","",_xll.BDP(B3450,"INDUSTRY_SECTOR"))</f>
        <v/>
      </c>
      <c r="X3450" t="str">
        <f>IF($B3450="","",_xll.BDP($B3450,"INDUSTRY_GROUP"))</f>
        <v/>
      </c>
      <c r="Y3450" t="str">
        <f>IF($B3450="","",_xll.BDP($B3450,"INDUSTRY_SUBGROUP"))</f>
        <v/>
      </c>
      <c r="Z3450" t="str">
        <f>IF($B3450="","",_xll.BDP($B3450,"COUNTRY_FULL_NAME"))</f>
        <v/>
      </c>
    </row>
    <row r="3451" spans="23:26" x14ac:dyDescent="0.25">
      <c r="W3451" t="str">
        <f>IF(B3451="","",_xll.BDP(B3451,"INDUSTRY_SECTOR"))</f>
        <v/>
      </c>
      <c r="X3451" t="str">
        <f>IF($B3451="","",_xll.BDP($B3451,"INDUSTRY_GROUP"))</f>
        <v/>
      </c>
      <c r="Y3451" t="str">
        <f>IF($B3451="","",_xll.BDP($B3451,"INDUSTRY_SUBGROUP"))</f>
        <v/>
      </c>
      <c r="Z3451" t="str">
        <f>IF($B3451="","",_xll.BDP($B3451,"COUNTRY_FULL_NAME"))</f>
        <v/>
      </c>
    </row>
    <row r="3452" spans="23:26" x14ac:dyDescent="0.25">
      <c r="W3452" t="str">
        <f>IF(B3452="","",_xll.BDP(B3452,"INDUSTRY_SECTOR"))</f>
        <v/>
      </c>
      <c r="X3452" t="str">
        <f>IF($B3452="","",_xll.BDP($B3452,"INDUSTRY_GROUP"))</f>
        <v/>
      </c>
      <c r="Y3452" t="str">
        <f>IF($B3452="","",_xll.BDP($B3452,"INDUSTRY_SUBGROUP"))</f>
        <v/>
      </c>
      <c r="Z3452" t="str">
        <f>IF($B3452="","",_xll.BDP($B3452,"COUNTRY_FULL_NAME"))</f>
        <v/>
      </c>
    </row>
    <row r="3453" spans="23:26" x14ac:dyDescent="0.25">
      <c r="W3453" t="str">
        <f>IF(B3453="","",_xll.BDP(B3453,"INDUSTRY_SECTOR"))</f>
        <v/>
      </c>
      <c r="X3453" t="str">
        <f>IF($B3453="","",_xll.BDP($B3453,"INDUSTRY_GROUP"))</f>
        <v/>
      </c>
      <c r="Y3453" t="str">
        <f>IF($B3453="","",_xll.BDP($B3453,"INDUSTRY_SUBGROUP"))</f>
        <v/>
      </c>
      <c r="Z3453" t="str">
        <f>IF($B3453="","",_xll.BDP($B3453,"COUNTRY_FULL_NAME"))</f>
        <v/>
      </c>
    </row>
    <row r="3454" spans="23:26" x14ac:dyDescent="0.25">
      <c r="W3454" t="str">
        <f>IF(B3454="","",_xll.BDP(B3454,"INDUSTRY_SECTOR"))</f>
        <v/>
      </c>
      <c r="X3454" t="str">
        <f>IF($B3454="","",_xll.BDP($B3454,"INDUSTRY_GROUP"))</f>
        <v/>
      </c>
      <c r="Y3454" t="str">
        <f>IF($B3454="","",_xll.BDP($B3454,"INDUSTRY_SUBGROUP"))</f>
        <v/>
      </c>
      <c r="Z3454" t="str">
        <f>IF($B3454="","",_xll.BDP($B3454,"COUNTRY_FULL_NAME"))</f>
        <v/>
      </c>
    </row>
    <row r="3455" spans="23:26" x14ac:dyDescent="0.25">
      <c r="W3455" t="str">
        <f>IF(B3455="","",_xll.BDP(B3455,"INDUSTRY_SECTOR"))</f>
        <v/>
      </c>
      <c r="X3455" t="str">
        <f>IF($B3455="","",_xll.BDP($B3455,"INDUSTRY_GROUP"))</f>
        <v/>
      </c>
      <c r="Y3455" t="str">
        <f>IF($B3455="","",_xll.BDP($B3455,"INDUSTRY_SUBGROUP"))</f>
        <v/>
      </c>
      <c r="Z3455" t="str">
        <f>IF($B3455="","",_xll.BDP($B3455,"COUNTRY_FULL_NAME"))</f>
        <v/>
      </c>
    </row>
    <row r="3456" spans="23:26" x14ac:dyDescent="0.25">
      <c r="W3456" t="str">
        <f>IF(B3456="","",_xll.BDP(B3456,"INDUSTRY_SECTOR"))</f>
        <v/>
      </c>
      <c r="X3456" t="str">
        <f>IF($B3456="","",_xll.BDP($B3456,"INDUSTRY_GROUP"))</f>
        <v/>
      </c>
      <c r="Y3456" t="str">
        <f>IF($B3456="","",_xll.BDP($B3456,"INDUSTRY_SUBGROUP"))</f>
        <v/>
      </c>
      <c r="Z3456" t="str">
        <f>IF($B3456="","",_xll.BDP($B3456,"COUNTRY_FULL_NAME"))</f>
        <v/>
      </c>
    </row>
    <row r="3457" spans="23:26" x14ac:dyDescent="0.25">
      <c r="W3457" t="str">
        <f>IF(B3457="","",_xll.BDP(B3457,"INDUSTRY_SECTOR"))</f>
        <v/>
      </c>
      <c r="X3457" t="str">
        <f>IF($B3457="","",_xll.BDP($B3457,"INDUSTRY_GROUP"))</f>
        <v/>
      </c>
      <c r="Y3457" t="str">
        <f>IF($B3457="","",_xll.BDP($B3457,"INDUSTRY_SUBGROUP"))</f>
        <v/>
      </c>
      <c r="Z3457" t="str">
        <f>IF($B3457="","",_xll.BDP($B3457,"COUNTRY_FULL_NAME"))</f>
        <v/>
      </c>
    </row>
    <row r="3458" spans="23:26" x14ac:dyDescent="0.25">
      <c r="W3458" t="str">
        <f>IF(B3458="","",_xll.BDP(B3458,"INDUSTRY_SECTOR"))</f>
        <v/>
      </c>
      <c r="X3458" t="str">
        <f>IF($B3458="","",_xll.BDP($B3458,"INDUSTRY_GROUP"))</f>
        <v/>
      </c>
      <c r="Y3458" t="str">
        <f>IF($B3458="","",_xll.BDP($B3458,"INDUSTRY_SUBGROUP"))</f>
        <v/>
      </c>
      <c r="Z3458" t="str">
        <f>IF($B3458="","",_xll.BDP($B3458,"COUNTRY_FULL_NAME"))</f>
        <v/>
      </c>
    </row>
    <row r="3459" spans="23:26" x14ac:dyDescent="0.25">
      <c r="W3459" t="str">
        <f>IF(B3459="","",_xll.BDP(B3459,"INDUSTRY_SECTOR"))</f>
        <v/>
      </c>
      <c r="X3459" t="str">
        <f>IF($B3459="","",_xll.BDP($B3459,"INDUSTRY_GROUP"))</f>
        <v/>
      </c>
      <c r="Y3459" t="str">
        <f>IF($B3459="","",_xll.BDP($B3459,"INDUSTRY_SUBGROUP"))</f>
        <v/>
      </c>
      <c r="Z3459" t="str">
        <f>IF($B3459="","",_xll.BDP($B3459,"COUNTRY_FULL_NAME"))</f>
        <v/>
      </c>
    </row>
    <row r="3460" spans="23:26" x14ac:dyDescent="0.25">
      <c r="W3460" t="str">
        <f>IF(B3460="","",_xll.BDP(B3460,"INDUSTRY_SECTOR"))</f>
        <v/>
      </c>
      <c r="X3460" t="str">
        <f>IF($B3460="","",_xll.BDP($B3460,"INDUSTRY_GROUP"))</f>
        <v/>
      </c>
      <c r="Y3460" t="str">
        <f>IF($B3460="","",_xll.BDP($B3460,"INDUSTRY_SUBGROUP"))</f>
        <v/>
      </c>
      <c r="Z3460" t="str">
        <f>IF($B3460="","",_xll.BDP($B3460,"COUNTRY_FULL_NAME"))</f>
        <v/>
      </c>
    </row>
    <row r="3461" spans="23:26" x14ac:dyDescent="0.25">
      <c r="W3461" t="str">
        <f>IF(B3461="","",_xll.BDP(B3461,"INDUSTRY_SECTOR"))</f>
        <v/>
      </c>
      <c r="X3461" t="str">
        <f>IF($B3461="","",_xll.BDP($B3461,"INDUSTRY_GROUP"))</f>
        <v/>
      </c>
      <c r="Y3461" t="str">
        <f>IF($B3461="","",_xll.BDP($B3461,"INDUSTRY_SUBGROUP"))</f>
        <v/>
      </c>
      <c r="Z3461" t="str">
        <f>IF($B3461="","",_xll.BDP($B3461,"COUNTRY_FULL_NAME"))</f>
        <v/>
      </c>
    </row>
    <row r="3462" spans="23:26" x14ac:dyDescent="0.25">
      <c r="W3462" t="str">
        <f>IF(B3462="","",_xll.BDP(B3462,"INDUSTRY_SECTOR"))</f>
        <v/>
      </c>
      <c r="X3462" t="str">
        <f>IF($B3462="","",_xll.BDP($B3462,"INDUSTRY_GROUP"))</f>
        <v/>
      </c>
      <c r="Y3462" t="str">
        <f>IF($B3462="","",_xll.BDP($B3462,"INDUSTRY_SUBGROUP"))</f>
        <v/>
      </c>
      <c r="Z3462" t="str">
        <f>IF($B3462="","",_xll.BDP($B3462,"COUNTRY_FULL_NAME"))</f>
        <v/>
      </c>
    </row>
    <row r="3463" spans="23:26" x14ac:dyDescent="0.25">
      <c r="W3463" t="str">
        <f>IF(B3463="","",_xll.BDP(B3463,"INDUSTRY_SECTOR"))</f>
        <v/>
      </c>
      <c r="X3463" t="str">
        <f>IF($B3463="","",_xll.BDP($B3463,"INDUSTRY_GROUP"))</f>
        <v/>
      </c>
      <c r="Y3463" t="str">
        <f>IF($B3463="","",_xll.BDP($B3463,"INDUSTRY_SUBGROUP"))</f>
        <v/>
      </c>
      <c r="Z3463" t="str">
        <f>IF($B3463="","",_xll.BDP($B3463,"COUNTRY_FULL_NAME"))</f>
        <v/>
      </c>
    </row>
    <row r="3464" spans="23:26" x14ac:dyDescent="0.25">
      <c r="W3464" t="str">
        <f>IF(B3464="","",_xll.BDP(B3464,"INDUSTRY_SECTOR"))</f>
        <v/>
      </c>
      <c r="X3464" t="str">
        <f>IF($B3464="","",_xll.BDP($B3464,"INDUSTRY_GROUP"))</f>
        <v/>
      </c>
      <c r="Y3464" t="str">
        <f>IF($B3464="","",_xll.BDP($B3464,"INDUSTRY_SUBGROUP"))</f>
        <v/>
      </c>
      <c r="Z3464" t="str">
        <f>IF($B3464="","",_xll.BDP($B3464,"COUNTRY_FULL_NAME"))</f>
        <v/>
      </c>
    </row>
    <row r="3465" spans="23:26" x14ac:dyDescent="0.25">
      <c r="W3465" t="str">
        <f>IF(B3465="","",_xll.BDP(B3465,"INDUSTRY_SECTOR"))</f>
        <v/>
      </c>
      <c r="X3465" t="str">
        <f>IF($B3465="","",_xll.BDP($B3465,"INDUSTRY_GROUP"))</f>
        <v/>
      </c>
      <c r="Y3465" t="str">
        <f>IF($B3465="","",_xll.BDP($B3465,"INDUSTRY_SUBGROUP"))</f>
        <v/>
      </c>
      <c r="Z3465" t="str">
        <f>IF($B3465="","",_xll.BDP($B3465,"COUNTRY_FULL_NAME"))</f>
        <v/>
      </c>
    </row>
    <row r="3466" spans="23:26" x14ac:dyDescent="0.25">
      <c r="W3466" t="str">
        <f>IF(B3466="","",_xll.BDP(B3466,"INDUSTRY_SECTOR"))</f>
        <v/>
      </c>
      <c r="X3466" t="str">
        <f>IF($B3466="","",_xll.BDP($B3466,"INDUSTRY_GROUP"))</f>
        <v/>
      </c>
      <c r="Y3466" t="str">
        <f>IF($B3466="","",_xll.BDP($B3466,"INDUSTRY_SUBGROUP"))</f>
        <v/>
      </c>
      <c r="Z3466" t="str">
        <f>IF($B3466="","",_xll.BDP($B3466,"COUNTRY_FULL_NAME"))</f>
        <v/>
      </c>
    </row>
    <row r="3467" spans="23:26" x14ac:dyDescent="0.25">
      <c r="W3467" t="str">
        <f>IF(B3467="","",_xll.BDP(B3467,"INDUSTRY_SECTOR"))</f>
        <v/>
      </c>
      <c r="X3467" t="str">
        <f>IF($B3467="","",_xll.BDP($B3467,"INDUSTRY_GROUP"))</f>
        <v/>
      </c>
      <c r="Y3467" t="str">
        <f>IF($B3467="","",_xll.BDP($B3467,"INDUSTRY_SUBGROUP"))</f>
        <v/>
      </c>
      <c r="Z3467" t="str">
        <f>IF($B3467="","",_xll.BDP($B3467,"COUNTRY_FULL_NAME"))</f>
        <v/>
      </c>
    </row>
    <row r="3468" spans="23:26" x14ac:dyDescent="0.25">
      <c r="W3468" t="str">
        <f>IF(B3468="","",_xll.BDP(B3468,"INDUSTRY_SECTOR"))</f>
        <v/>
      </c>
      <c r="X3468" t="str">
        <f>IF($B3468="","",_xll.BDP($B3468,"INDUSTRY_GROUP"))</f>
        <v/>
      </c>
      <c r="Y3468" t="str">
        <f>IF($B3468="","",_xll.BDP($B3468,"INDUSTRY_SUBGROUP"))</f>
        <v/>
      </c>
      <c r="Z3468" t="str">
        <f>IF($B3468="","",_xll.BDP($B3468,"COUNTRY_FULL_NAME"))</f>
        <v/>
      </c>
    </row>
    <row r="3469" spans="23:26" x14ac:dyDescent="0.25">
      <c r="W3469" t="str">
        <f>IF(B3469="","",_xll.BDP(B3469,"INDUSTRY_SECTOR"))</f>
        <v/>
      </c>
      <c r="X3469" t="str">
        <f>IF($B3469="","",_xll.BDP($B3469,"INDUSTRY_GROUP"))</f>
        <v/>
      </c>
      <c r="Y3469" t="str">
        <f>IF($B3469="","",_xll.BDP($B3469,"INDUSTRY_SUBGROUP"))</f>
        <v/>
      </c>
      <c r="Z3469" t="str">
        <f>IF($B3469="","",_xll.BDP($B3469,"COUNTRY_FULL_NAME"))</f>
        <v/>
      </c>
    </row>
    <row r="3470" spans="23:26" x14ac:dyDescent="0.25">
      <c r="W3470" t="str">
        <f>IF(B3470="","",_xll.BDP(B3470,"INDUSTRY_SECTOR"))</f>
        <v/>
      </c>
      <c r="X3470" t="str">
        <f>IF($B3470="","",_xll.BDP($B3470,"INDUSTRY_GROUP"))</f>
        <v/>
      </c>
      <c r="Y3470" t="str">
        <f>IF($B3470="","",_xll.BDP($B3470,"INDUSTRY_SUBGROUP"))</f>
        <v/>
      </c>
      <c r="Z3470" t="str">
        <f>IF($B3470="","",_xll.BDP($B3470,"COUNTRY_FULL_NAME"))</f>
        <v/>
      </c>
    </row>
    <row r="3471" spans="23:26" x14ac:dyDescent="0.25">
      <c r="W3471" t="str">
        <f>IF(B3471="","",_xll.BDP(B3471,"INDUSTRY_SECTOR"))</f>
        <v/>
      </c>
      <c r="X3471" t="str">
        <f>IF($B3471="","",_xll.BDP($B3471,"INDUSTRY_GROUP"))</f>
        <v/>
      </c>
      <c r="Y3471" t="str">
        <f>IF($B3471="","",_xll.BDP($B3471,"INDUSTRY_SUBGROUP"))</f>
        <v/>
      </c>
      <c r="Z3471" t="str">
        <f>IF($B3471="","",_xll.BDP($B3471,"COUNTRY_FULL_NAME"))</f>
        <v/>
      </c>
    </row>
    <row r="3472" spans="23:26" x14ac:dyDescent="0.25">
      <c r="W3472" t="str">
        <f>IF(B3472="","",_xll.BDP(B3472,"INDUSTRY_SECTOR"))</f>
        <v/>
      </c>
      <c r="X3472" t="str">
        <f>IF($B3472="","",_xll.BDP($B3472,"INDUSTRY_GROUP"))</f>
        <v/>
      </c>
      <c r="Y3472" t="str">
        <f>IF($B3472="","",_xll.BDP($B3472,"INDUSTRY_SUBGROUP"))</f>
        <v/>
      </c>
      <c r="Z3472" t="str">
        <f>IF($B3472="","",_xll.BDP($B3472,"COUNTRY_FULL_NAME"))</f>
        <v/>
      </c>
    </row>
    <row r="3473" spans="23:26" x14ac:dyDescent="0.25">
      <c r="W3473" t="str">
        <f>IF(B3473="","",_xll.BDP(B3473,"INDUSTRY_SECTOR"))</f>
        <v/>
      </c>
      <c r="X3473" t="str">
        <f>IF($B3473="","",_xll.BDP($B3473,"INDUSTRY_GROUP"))</f>
        <v/>
      </c>
      <c r="Y3473" t="str">
        <f>IF($B3473="","",_xll.BDP($B3473,"INDUSTRY_SUBGROUP"))</f>
        <v/>
      </c>
      <c r="Z3473" t="str">
        <f>IF($B3473="","",_xll.BDP($B3473,"COUNTRY_FULL_NAME"))</f>
        <v/>
      </c>
    </row>
    <row r="3474" spans="23:26" x14ac:dyDescent="0.25">
      <c r="W3474" t="str">
        <f>IF(B3474="","",_xll.BDP(B3474,"INDUSTRY_SECTOR"))</f>
        <v/>
      </c>
      <c r="X3474" t="str">
        <f>IF($B3474="","",_xll.BDP($B3474,"INDUSTRY_GROUP"))</f>
        <v/>
      </c>
      <c r="Y3474" t="str">
        <f>IF($B3474="","",_xll.BDP($B3474,"INDUSTRY_SUBGROUP"))</f>
        <v/>
      </c>
      <c r="Z3474" t="str">
        <f>IF($B3474="","",_xll.BDP($B3474,"COUNTRY_FULL_NAME"))</f>
        <v/>
      </c>
    </row>
    <row r="3475" spans="23:26" x14ac:dyDescent="0.25">
      <c r="W3475" t="str">
        <f>IF(B3475="","",_xll.BDP(B3475,"INDUSTRY_SECTOR"))</f>
        <v/>
      </c>
      <c r="X3475" t="str">
        <f>IF($B3475="","",_xll.BDP($B3475,"INDUSTRY_GROUP"))</f>
        <v/>
      </c>
      <c r="Y3475" t="str">
        <f>IF($B3475="","",_xll.BDP($B3475,"INDUSTRY_SUBGROUP"))</f>
        <v/>
      </c>
      <c r="Z3475" t="str">
        <f>IF($B3475="","",_xll.BDP($B3475,"COUNTRY_FULL_NAME"))</f>
        <v/>
      </c>
    </row>
    <row r="3476" spans="23:26" x14ac:dyDescent="0.25">
      <c r="W3476" t="str">
        <f>IF(B3476="","",_xll.BDP(B3476,"INDUSTRY_SECTOR"))</f>
        <v/>
      </c>
      <c r="X3476" t="str">
        <f>IF($B3476="","",_xll.BDP($B3476,"INDUSTRY_GROUP"))</f>
        <v/>
      </c>
      <c r="Y3476" t="str">
        <f>IF($B3476="","",_xll.BDP($B3476,"INDUSTRY_SUBGROUP"))</f>
        <v/>
      </c>
      <c r="Z3476" t="str">
        <f>IF($B3476="","",_xll.BDP($B3476,"COUNTRY_FULL_NAME"))</f>
        <v/>
      </c>
    </row>
    <row r="3477" spans="23:26" x14ac:dyDescent="0.25">
      <c r="W3477" t="str">
        <f>IF(B3477="","",_xll.BDP(B3477,"INDUSTRY_SECTOR"))</f>
        <v/>
      </c>
      <c r="X3477" t="str">
        <f>IF($B3477="","",_xll.BDP($B3477,"INDUSTRY_GROUP"))</f>
        <v/>
      </c>
      <c r="Y3477" t="str">
        <f>IF($B3477="","",_xll.BDP($B3477,"INDUSTRY_SUBGROUP"))</f>
        <v/>
      </c>
      <c r="Z3477" t="str">
        <f>IF($B3477="","",_xll.BDP($B3477,"COUNTRY_FULL_NAME"))</f>
        <v/>
      </c>
    </row>
    <row r="3478" spans="23:26" x14ac:dyDescent="0.25">
      <c r="W3478" t="str">
        <f>IF(B3478="","",_xll.BDP(B3478,"INDUSTRY_SECTOR"))</f>
        <v/>
      </c>
      <c r="X3478" t="str">
        <f>IF($B3478="","",_xll.BDP($B3478,"INDUSTRY_GROUP"))</f>
        <v/>
      </c>
      <c r="Y3478" t="str">
        <f>IF($B3478="","",_xll.BDP($B3478,"INDUSTRY_SUBGROUP"))</f>
        <v/>
      </c>
      <c r="Z3478" t="str">
        <f>IF($B3478="","",_xll.BDP($B3478,"COUNTRY_FULL_NAME"))</f>
        <v/>
      </c>
    </row>
    <row r="3479" spans="23:26" x14ac:dyDescent="0.25">
      <c r="W3479" t="str">
        <f>IF(B3479="","",_xll.BDP(B3479,"INDUSTRY_SECTOR"))</f>
        <v/>
      </c>
      <c r="X3479" t="str">
        <f>IF($B3479="","",_xll.BDP($B3479,"INDUSTRY_GROUP"))</f>
        <v/>
      </c>
      <c r="Y3479" t="str">
        <f>IF($B3479="","",_xll.BDP($B3479,"INDUSTRY_SUBGROUP"))</f>
        <v/>
      </c>
      <c r="Z3479" t="str">
        <f>IF($B3479="","",_xll.BDP($B3479,"COUNTRY_FULL_NAME"))</f>
        <v/>
      </c>
    </row>
    <row r="3480" spans="23:26" x14ac:dyDescent="0.25">
      <c r="W3480" t="str">
        <f>IF(B3480="","",_xll.BDP(B3480,"INDUSTRY_SECTOR"))</f>
        <v/>
      </c>
      <c r="X3480" t="str">
        <f>IF($B3480="","",_xll.BDP($B3480,"INDUSTRY_GROUP"))</f>
        <v/>
      </c>
      <c r="Y3480" t="str">
        <f>IF($B3480="","",_xll.BDP($B3480,"INDUSTRY_SUBGROUP"))</f>
        <v/>
      </c>
      <c r="Z3480" t="str">
        <f>IF($B3480="","",_xll.BDP($B3480,"COUNTRY_FULL_NAME"))</f>
        <v/>
      </c>
    </row>
    <row r="3481" spans="23:26" x14ac:dyDescent="0.25">
      <c r="W3481" t="str">
        <f>IF(B3481="","",_xll.BDP(B3481,"INDUSTRY_SECTOR"))</f>
        <v/>
      </c>
      <c r="X3481" t="str">
        <f>IF($B3481="","",_xll.BDP($B3481,"INDUSTRY_GROUP"))</f>
        <v/>
      </c>
      <c r="Y3481" t="str">
        <f>IF($B3481="","",_xll.BDP($B3481,"INDUSTRY_SUBGROUP"))</f>
        <v/>
      </c>
      <c r="Z3481" t="str">
        <f>IF($B3481="","",_xll.BDP($B3481,"COUNTRY_FULL_NAME"))</f>
        <v/>
      </c>
    </row>
    <row r="3482" spans="23:26" x14ac:dyDescent="0.25">
      <c r="W3482" t="str">
        <f>IF(B3482="","",_xll.BDP(B3482,"INDUSTRY_SECTOR"))</f>
        <v/>
      </c>
      <c r="X3482" t="str">
        <f>IF($B3482="","",_xll.BDP($B3482,"INDUSTRY_GROUP"))</f>
        <v/>
      </c>
      <c r="Y3482" t="str">
        <f>IF($B3482="","",_xll.BDP($B3482,"INDUSTRY_SUBGROUP"))</f>
        <v/>
      </c>
      <c r="Z3482" t="str">
        <f>IF($B3482="","",_xll.BDP($B3482,"COUNTRY_FULL_NAME"))</f>
        <v/>
      </c>
    </row>
    <row r="3483" spans="23:26" x14ac:dyDescent="0.25">
      <c r="W3483" t="str">
        <f>IF(B3483="","",_xll.BDP(B3483,"INDUSTRY_SECTOR"))</f>
        <v/>
      </c>
      <c r="X3483" t="str">
        <f>IF($B3483="","",_xll.BDP($B3483,"INDUSTRY_GROUP"))</f>
        <v/>
      </c>
      <c r="Y3483" t="str">
        <f>IF($B3483="","",_xll.BDP($B3483,"INDUSTRY_SUBGROUP"))</f>
        <v/>
      </c>
      <c r="Z3483" t="str">
        <f>IF($B3483="","",_xll.BDP($B3483,"COUNTRY_FULL_NAME"))</f>
        <v/>
      </c>
    </row>
    <row r="3484" spans="23:26" x14ac:dyDescent="0.25">
      <c r="W3484" t="str">
        <f>IF(B3484="","",_xll.BDP(B3484,"INDUSTRY_SECTOR"))</f>
        <v/>
      </c>
      <c r="X3484" t="str">
        <f>IF($B3484="","",_xll.BDP($B3484,"INDUSTRY_GROUP"))</f>
        <v/>
      </c>
      <c r="Y3484" t="str">
        <f>IF($B3484="","",_xll.BDP($B3484,"INDUSTRY_SUBGROUP"))</f>
        <v/>
      </c>
      <c r="Z3484" t="str">
        <f>IF($B3484="","",_xll.BDP($B3484,"COUNTRY_FULL_NAME"))</f>
        <v/>
      </c>
    </row>
    <row r="3485" spans="23:26" x14ac:dyDescent="0.25">
      <c r="W3485" t="str">
        <f>IF(B3485="","",_xll.BDP(B3485,"INDUSTRY_SECTOR"))</f>
        <v/>
      </c>
      <c r="X3485" t="str">
        <f>IF($B3485="","",_xll.BDP($B3485,"INDUSTRY_GROUP"))</f>
        <v/>
      </c>
      <c r="Y3485" t="str">
        <f>IF($B3485="","",_xll.BDP($B3485,"INDUSTRY_SUBGROUP"))</f>
        <v/>
      </c>
      <c r="Z3485" t="str">
        <f>IF($B3485="","",_xll.BDP($B3485,"COUNTRY_FULL_NAME"))</f>
        <v/>
      </c>
    </row>
    <row r="3486" spans="23:26" x14ac:dyDescent="0.25">
      <c r="W3486" t="str">
        <f>IF(B3486="","",_xll.BDP(B3486,"INDUSTRY_SECTOR"))</f>
        <v/>
      </c>
      <c r="X3486" t="str">
        <f>IF($B3486="","",_xll.BDP($B3486,"INDUSTRY_GROUP"))</f>
        <v/>
      </c>
      <c r="Y3486" t="str">
        <f>IF($B3486="","",_xll.BDP($B3486,"INDUSTRY_SUBGROUP"))</f>
        <v/>
      </c>
      <c r="Z3486" t="str">
        <f>IF($B3486="","",_xll.BDP($B3486,"COUNTRY_FULL_NAME"))</f>
        <v/>
      </c>
    </row>
    <row r="3487" spans="23:26" x14ac:dyDescent="0.25">
      <c r="W3487" t="str">
        <f>IF(B3487="","",_xll.BDP(B3487,"INDUSTRY_SECTOR"))</f>
        <v/>
      </c>
      <c r="X3487" t="str">
        <f>IF($B3487="","",_xll.BDP($B3487,"INDUSTRY_GROUP"))</f>
        <v/>
      </c>
      <c r="Y3487" t="str">
        <f>IF($B3487="","",_xll.BDP($B3487,"INDUSTRY_SUBGROUP"))</f>
        <v/>
      </c>
      <c r="Z3487" t="str">
        <f>IF($B3487="","",_xll.BDP($B3487,"COUNTRY_FULL_NAME"))</f>
        <v/>
      </c>
    </row>
    <row r="3488" spans="23:26" x14ac:dyDescent="0.25">
      <c r="W3488" t="str">
        <f>IF(B3488="","",_xll.BDP(B3488,"INDUSTRY_SECTOR"))</f>
        <v/>
      </c>
      <c r="X3488" t="str">
        <f>IF($B3488="","",_xll.BDP($B3488,"INDUSTRY_GROUP"))</f>
        <v/>
      </c>
      <c r="Y3488" t="str">
        <f>IF($B3488="","",_xll.BDP($B3488,"INDUSTRY_SUBGROUP"))</f>
        <v/>
      </c>
      <c r="Z3488" t="str">
        <f>IF($B3488="","",_xll.BDP($B3488,"COUNTRY_FULL_NAME"))</f>
        <v/>
      </c>
    </row>
    <row r="3489" spans="23:26" x14ac:dyDescent="0.25">
      <c r="W3489" t="str">
        <f>IF(B3489="","",_xll.BDP(B3489,"INDUSTRY_SECTOR"))</f>
        <v/>
      </c>
      <c r="X3489" t="str">
        <f>IF($B3489="","",_xll.BDP($B3489,"INDUSTRY_GROUP"))</f>
        <v/>
      </c>
      <c r="Y3489" t="str">
        <f>IF($B3489="","",_xll.BDP($B3489,"INDUSTRY_SUBGROUP"))</f>
        <v/>
      </c>
      <c r="Z3489" t="str">
        <f>IF($B3489="","",_xll.BDP($B3489,"COUNTRY_FULL_NAME"))</f>
        <v/>
      </c>
    </row>
    <row r="3490" spans="23:26" x14ac:dyDescent="0.25">
      <c r="W3490" t="str">
        <f>IF(B3490="","",_xll.BDP(B3490,"INDUSTRY_SECTOR"))</f>
        <v/>
      </c>
      <c r="X3490" t="str">
        <f>IF($B3490="","",_xll.BDP($B3490,"INDUSTRY_GROUP"))</f>
        <v/>
      </c>
      <c r="Y3490" t="str">
        <f>IF($B3490="","",_xll.BDP($B3490,"INDUSTRY_SUBGROUP"))</f>
        <v/>
      </c>
      <c r="Z3490" t="str">
        <f>IF($B3490="","",_xll.BDP($B3490,"COUNTRY_FULL_NAME"))</f>
        <v/>
      </c>
    </row>
    <row r="3491" spans="23:26" x14ac:dyDescent="0.25">
      <c r="W3491" t="str">
        <f>IF(B3491="","",_xll.BDP(B3491,"INDUSTRY_SECTOR"))</f>
        <v/>
      </c>
      <c r="X3491" t="str">
        <f>IF($B3491="","",_xll.BDP($B3491,"INDUSTRY_GROUP"))</f>
        <v/>
      </c>
      <c r="Y3491" t="str">
        <f>IF($B3491="","",_xll.BDP($B3491,"INDUSTRY_SUBGROUP"))</f>
        <v/>
      </c>
      <c r="Z3491" t="str">
        <f>IF($B3491="","",_xll.BDP($B3491,"COUNTRY_FULL_NAME"))</f>
        <v/>
      </c>
    </row>
    <row r="3492" spans="23:26" x14ac:dyDescent="0.25">
      <c r="W3492" t="str">
        <f>IF(B3492="","",_xll.BDP(B3492,"INDUSTRY_SECTOR"))</f>
        <v/>
      </c>
      <c r="X3492" t="str">
        <f>IF($B3492="","",_xll.BDP($B3492,"INDUSTRY_GROUP"))</f>
        <v/>
      </c>
      <c r="Y3492" t="str">
        <f>IF($B3492="","",_xll.BDP($B3492,"INDUSTRY_SUBGROUP"))</f>
        <v/>
      </c>
      <c r="Z3492" t="str">
        <f>IF($B3492="","",_xll.BDP($B3492,"COUNTRY_FULL_NAME"))</f>
        <v/>
      </c>
    </row>
    <row r="3493" spans="23:26" x14ac:dyDescent="0.25">
      <c r="W3493" t="str">
        <f>IF(B3493="","",_xll.BDP(B3493,"INDUSTRY_SECTOR"))</f>
        <v/>
      </c>
      <c r="X3493" t="str">
        <f>IF($B3493="","",_xll.BDP($B3493,"INDUSTRY_GROUP"))</f>
        <v/>
      </c>
      <c r="Y3493" t="str">
        <f>IF($B3493="","",_xll.BDP($B3493,"INDUSTRY_SUBGROUP"))</f>
        <v/>
      </c>
      <c r="Z3493" t="str">
        <f>IF($B3493="","",_xll.BDP($B3493,"COUNTRY_FULL_NAME"))</f>
        <v/>
      </c>
    </row>
    <row r="3494" spans="23:26" x14ac:dyDescent="0.25">
      <c r="W3494" t="str">
        <f>IF(B3494="","",_xll.BDP(B3494,"INDUSTRY_SECTOR"))</f>
        <v/>
      </c>
      <c r="X3494" t="str">
        <f>IF($B3494="","",_xll.BDP($B3494,"INDUSTRY_GROUP"))</f>
        <v/>
      </c>
      <c r="Y3494" t="str">
        <f>IF($B3494="","",_xll.BDP($B3494,"INDUSTRY_SUBGROUP"))</f>
        <v/>
      </c>
      <c r="Z3494" t="str">
        <f>IF($B3494="","",_xll.BDP($B3494,"COUNTRY_FULL_NAME"))</f>
        <v/>
      </c>
    </row>
    <row r="3495" spans="23:26" x14ac:dyDescent="0.25">
      <c r="W3495" t="str">
        <f>IF(B3495="","",_xll.BDP(B3495,"INDUSTRY_SECTOR"))</f>
        <v/>
      </c>
      <c r="X3495" t="str">
        <f>IF($B3495="","",_xll.BDP($B3495,"INDUSTRY_GROUP"))</f>
        <v/>
      </c>
      <c r="Y3495" t="str">
        <f>IF($B3495="","",_xll.BDP($B3495,"INDUSTRY_SUBGROUP"))</f>
        <v/>
      </c>
      <c r="Z3495" t="str">
        <f>IF($B3495="","",_xll.BDP($B3495,"COUNTRY_FULL_NAME"))</f>
        <v/>
      </c>
    </row>
    <row r="3496" spans="23:26" x14ac:dyDescent="0.25">
      <c r="W3496" t="str">
        <f>IF(B3496="","",_xll.BDP(B3496,"INDUSTRY_SECTOR"))</f>
        <v/>
      </c>
      <c r="X3496" t="str">
        <f>IF($B3496="","",_xll.BDP($B3496,"INDUSTRY_GROUP"))</f>
        <v/>
      </c>
      <c r="Y3496" t="str">
        <f>IF($B3496="","",_xll.BDP($B3496,"INDUSTRY_SUBGROUP"))</f>
        <v/>
      </c>
      <c r="Z3496" t="str">
        <f>IF($B3496="","",_xll.BDP($B3496,"COUNTRY_FULL_NAME"))</f>
        <v/>
      </c>
    </row>
    <row r="3497" spans="23:26" x14ac:dyDescent="0.25">
      <c r="W3497" t="str">
        <f>IF(B3497="","",_xll.BDP(B3497,"INDUSTRY_SECTOR"))</f>
        <v/>
      </c>
      <c r="X3497" t="str">
        <f>IF($B3497="","",_xll.BDP($B3497,"INDUSTRY_GROUP"))</f>
        <v/>
      </c>
      <c r="Y3497" t="str">
        <f>IF($B3497="","",_xll.BDP($B3497,"INDUSTRY_SUBGROUP"))</f>
        <v/>
      </c>
      <c r="Z3497" t="str">
        <f>IF($B3497="","",_xll.BDP($B3497,"COUNTRY_FULL_NAME"))</f>
        <v/>
      </c>
    </row>
    <row r="3498" spans="23:26" x14ac:dyDescent="0.25">
      <c r="W3498" t="str">
        <f>IF(B3498="","",_xll.BDP(B3498,"INDUSTRY_SECTOR"))</f>
        <v/>
      </c>
      <c r="X3498" t="str">
        <f>IF($B3498="","",_xll.BDP($B3498,"INDUSTRY_GROUP"))</f>
        <v/>
      </c>
      <c r="Y3498" t="str">
        <f>IF($B3498="","",_xll.BDP($B3498,"INDUSTRY_SUBGROUP"))</f>
        <v/>
      </c>
      <c r="Z3498" t="str">
        <f>IF($B3498="","",_xll.BDP($B3498,"COUNTRY_FULL_NAME"))</f>
        <v/>
      </c>
    </row>
    <row r="3499" spans="23:26" x14ac:dyDescent="0.25">
      <c r="W3499" t="str">
        <f>IF(B3499="","",_xll.BDP(B3499,"INDUSTRY_SECTOR"))</f>
        <v/>
      </c>
      <c r="X3499" t="str">
        <f>IF($B3499="","",_xll.BDP($B3499,"INDUSTRY_GROUP"))</f>
        <v/>
      </c>
      <c r="Y3499" t="str">
        <f>IF($B3499="","",_xll.BDP($B3499,"INDUSTRY_SUBGROUP"))</f>
        <v/>
      </c>
      <c r="Z3499" t="str">
        <f>IF($B3499="","",_xll.BDP($B3499,"COUNTRY_FULL_NAME"))</f>
        <v/>
      </c>
    </row>
    <row r="3500" spans="23:26" x14ac:dyDescent="0.25">
      <c r="W3500" t="str">
        <f>IF(B3500="","",_xll.BDP(B3500,"INDUSTRY_SECTOR"))</f>
        <v/>
      </c>
      <c r="X3500" t="str">
        <f>IF($B3500="","",_xll.BDP($B3500,"INDUSTRY_GROUP"))</f>
        <v/>
      </c>
      <c r="Y3500" t="str">
        <f>IF($B3500="","",_xll.BDP($B3500,"INDUSTRY_SUBGROUP"))</f>
        <v/>
      </c>
      <c r="Z3500" t="str">
        <f>IF($B3500="","",_xll.BDP($B3500,"COUNTRY_FULL_NAME"))</f>
        <v/>
      </c>
    </row>
    <row r="3501" spans="23:26" x14ac:dyDescent="0.25">
      <c r="W3501" t="str">
        <f>IF(B3501="","",_xll.BDP(B3501,"INDUSTRY_SECTOR"))</f>
        <v/>
      </c>
      <c r="X3501" t="str">
        <f>IF($B3501="","",_xll.BDP($B3501,"INDUSTRY_GROUP"))</f>
        <v/>
      </c>
      <c r="Y3501" t="str">
        <f>IF($B3501="","",_xll.BDP($B3501,"INDUSTRY_SUBGROUP"))</f>
        <v/>
      </c>
      <c r="Z3501" t="str">
        <f>IF($B3501="","",_xll.BDP($B3501,"COUNTRY_FULL_NAME"))</f>
        <v/>
      </c>
    </row>
    <row r="3502" spans="23:26" x14ac:dyDescent="0.25">
      <c r="W3502" t="str">
        <f>IF(B3502="","",_xll.BDP(B3502,"INDUSTRY_SECTOR"))</f>
        <v/>
      </c>
      <c r="X3502" t="str">
        <f>IF($B3502="","",_xll.BDP($B3502,"INDUSTRY_GROUP"))</f>
        <v/>
      </c>
      <c r="Y3502" t="str">
        <f>IF($B3502="","",_xll.BDP($B3502,"INDUSTRY_SUBGROUP"))</f>
        <v/>
      </c>
      <c r="Z3502" t="str">
        <f>IF($B3502="","",_xll.BDP($B3502,"COUNTRY_FULL_NAME"))</f>
        <v/>
      </c>
    </row>
    <row r="3503" spans="23:26" x14ac:dyDescent="0.25">
      <c r="W3503" t="str">
        <f>IF(B3503="","",_xll.BDP(B3503,"INDUSTRY_SECTOR"))</f>
        <v/>
      </c>
      <c r="X3503" t="str">
        <f>IF($B3503="","",_xll.BDP($B3503,"INDUSTRY_GROUP"))</f>
        <v/>
      </c>
      <c r="Y3503" t="str">
        <f>IF($B3503="","",_xll.BDP($B3503,"INDUSTRY_SUBGROUP"))</f>
        <v/>
      </c>
      <c r="Z3503" t="str">
        <f>IF($B3503="","",_xll.BDP($B3503,"COUNTRY_FULL_NAME"))</f>
        <v/>
      </c>
    </row>
    <row r="3504" spans="23:26" x14ac:dyDescent="0.25">
      <c r="W3504" t="str">
        <f>IF(B3504="","",_xll.BDP(B3504,"INDUSTRY_SECTOR"))</f>
        <v/>
      </c>
      <c r="X3504" t="str">
        <f>IF($B3504="","",_xll.BDP($B3504,"INDUSTRY_GROUP"))</f>
        <v/>
      </c>
      <c r="Y3504" t="str">
        <f>IF($B3504="","",_xll.BDP($B3504,"INDUSTRY_SUBGROUP"))</f>
        <v/>
      </c>
      <c r="Z3504" t="str">
        <f>IF($B3504="","",_xll.BDP($B3504,"COUNTRY_FULL_NAME"))</f>
        <v/>
      </c>
    </row>
    <row r="3505" spans="23:26" x14ac:dyDescent="0.25">
      <c r="W3505" t="str">
        <f>IF(B3505="","",_xll.BDP(B3505,"INDUSTRY_SECTOR"))</f>
        <v/>
      </c>
      <c r="X3505" t="str">
        <f>IF($B3505="","",_xll.BDP($B3505,"INDUSTRY_GROUP"))</f>
        <v/>
      </c>
      <c r="Y3505" t="str">
        <f>IF($B3505="","",_xll.BDP($B3505,"INDUSTRY_SUBGROUP"))</f>
        <v/>
      </c>
      <c r="Z3505" t="str">
        <f>IF($B3505="","",_xll.BDP($B3505,"COUNTRY_FULL_NAME"))</f>
        <v/>
      </c>
    </row>
    <row r="3506" spans="23:26" x14ac:dyDescent="0.25">
      <c r="W3506" t="str">
        <f>IF(B3506="","",_xll.BDP(B3506,"INDUSTRY_SECTOR"))</f>
        <v/>
      </c>
      <c r="X3506" t="str">
        <f>IF($B3506="","",_xll.BDP($B3506,"INDUSTRY_GROUP"))</f>
        <v/>
      </c>
      <c r="Y3506" t="str">
        <f>IF($B3506="","",_xll.BDP($B3506,"INDUSTRY_SUBGROUP"))</f>
        <v/>
      </c>
      <c r="Z3506" t="str">
        <f>IF($B3506="","",_xll.BDP($B3506,"COUNTRY_FULL_NAME"))</f>
        <v/>
      </c>
    </row>
    <row r="3507" spans="23:26" x14ac:dyDescent="0.25">
      <c r="W3507" t="str">
        <f>IF(B3507="","",_xll.BDP(B3507,"INDUSTRY_SECTOR"))</f>
        <v/>
      </c>
      <c r="X3507" t="str">
        <f>IF($B3507="","",_xll.BDP($B3507,"INDUSTRY_GROUP"))</f>
        <v/>
      </c>
      <c r="Y3507" t="str">
        <f>IF($B3507="","",_xll.BDP($B3507,"INDUSTRY_SUBGROUP"))</f>
        <v/>
      </c>
      <c r="Z3507" t="str">
        <f>IF($B3507="","",_xll.BDP($B3507,"COUNTRY_FULL_NAME"))</f>
        <v/>
      </c>
    </row>
    <row r="3508" spans="23:26" x14ac:dyDescent="0.25">
      <c r="W3508" t="str">
        <f>IF(B3508="","",_xll.BDP(B3508,"INDUSTRY_SECTOR"))</f>
        <v/>
      </c>
      <c r="X3508" t="str">
        <f>IF($B3508="","",_xll.BDP($B3508,"INDUSTRY_GROUP"))</f>
        <v/>
      </c>
      <c r="Y3508" t="str">
        <f>IF($B3508="","",_xll.BDP($B3508,"INDUSTRY_SUBGROUP"))</f>
        <v/>
      </c>
      <c r="Z3508" t="str">
        <f>IF($B3508="","",_xll.BDP($B3508,"COUNTRY_FULL_NAME"))</f>
        <v/>
      </c>
    </row>
    <row r="3509" spans="23:26" x14ac:dyDescent="0.25">
      <c r="W3509" t="str">
        <f>IF(B3509="","",_xll.BDP(B3509,"INDUSTRY_SECTOR"))</f>
        <v/>
      </c>
      <c r="X3509" t="str">
        <f>IF($B3509="","",_xll.BDP($B3509,"INDUSTRY_GROUP"))</f>
        <v/>
      </c>
      <c r="Y3509" t="str">
        <f>IF($B3509="","",_xll.BDP($B3509,"INDUSTRY_SUBGROUP"))</f>
        <v/>
      </c>
      <c r="Z3509" t="str">
        <f>IF($B3509="","",_xll.BDP($B3509,"COUNTRY_FULL_NAME"))</f>
        <v/>
      </c>
    </row>
    <row r="3510" spans="23:26" x14ac:dyDescent="0.25">
      <c r="W3510" t="str">
        <f>IF(B3510="","",_xll.BDP(B3510,"INDUSTRY_SECTOR"))</f>
        <v/>
      </c>
      <c r="X3510" t="str">
        <f>IF($B3510="","",_xll.BDP($B3510,"INDUSTRY_GROUP"))</f>
        <v/>
      </c>
      <c r="Y3510" t="str">
        <f>IF($B3510="","",_xll.BDP($B3510,"INDUSTRY_SUBGROUP"))</f>
        <v/>
      </c>
      <c r="Z3510" t="str">
        <f>IF($B3510="","",_xll.BDP($B3510,"COUNTRY_FULL_NAME"))</f>
        <v/>
      </c>
    </row>
    <row r="3511" spans="23:26" x14ac:dyDescent="0.25">
      <c r="W3511" t="str">
        <f>IF(B3511="","",_xll.BDP(B3511,"INDUSTRY_SECTOR"))</f>
        <v/>
      </c>
      <c r="X3511" t="str">
        <f>IF($B3511="","",_xll.BDP($B3511,"INDUSTRY_GROUP"))</f>
        <v/>
      </c>
      <c r="Y3511" t="str">
        <f>IF($B3511="","",_xll.BDP($B3511,"INDUSTRY_SUBGROUP"))</f>
        <v/>
      </c>
      <c r="Z3511" t="str">
        <f>IF($B3511="","",_xll.BDP($B3511,"COUNTRY_FULL_NAME"))</f>
        <v/>
      </c>
    </row>
    <row r="3512" spans="23:26" x14ac:dyDescent="0.25">
      <c r="W3512" t="str">
        <f>IF(B3512="","",_xll.BDP(B3512,"INDUSTRY_SECTOR"))</f>
        <v/>
      </c>
      <c r="X3512" t="str">
        <f>IF($B3512="","",_xll.BDP($B3512,"INDUSTRY_GROUP"))</f>
        <v/>
      </c>
      <c r="Y3512" t="str">
        <f>IF($B3512="","",_xll.BDP($B3512,"INDUSTRY_SUBGROUP"))</f>
        <v/>
      </c>
      <c r="Z3512" t="str">
        <f>IF($B3512="","",_xll.BDP($B3512,"COUNTRY_FULL_NAME"))</f>
        <v/>
      </c>
    </row>
    <row r="3513" spans="23:26" x14ac:dyDescent="0.25">
      <c r="W3513" t="str">
        <f>IF(B3513="","",_xll.BDP(B3513,"INDUSTRY_SECTOR"))</f>
        <v/>
      </c>
      <c r="X3513" t="str">
        <f>IF($B3513="","",_xll.BDP($B3513,"INDUSTRY_GROUP"))</f>
        <v/>
      </c>
      <c r="Y3513" t="str">
        <f>IF($B3513="","",_xll.BDP($B3513,"INDUSTRY_SUBGROUP"))</f>
        <v/>
      </c>
      <c r="Z3513" t="str">
        <f>IF($B3513="","",_xll.BDP($B3513,"COUNTRY_FULL_NAME"))</f>
        <v/>
      </c>
    </row>
    <row r="3514" spans="23:26" x14ac:dyDescent="0.25">
      <c r="W3514" t="str">
        <f>IF(B3514="","",_xll.BDP(B3514,"INDUSTRY_SECTOR"))</f>
        <v/>
      </c>
      <c r="X3514" t="str">
        <f>IF($B3514="","",_xll.BDP($B3514,"INDUSTRY_GROUP"))</f>
        <v/>
      </c>
      <c r="Y3514" t="str">
        <f>IF($B3514="","",_xll.BDP($B3514,"INDUSTRY_SUBGROUP"))</f>
        <v/>
      </c>
      <c r="Z3514" t="str">
        <f>IF($B3514="","",_xll.BDP($B3514,"COUNTRY_FULL_NAME"))</f>
        <v/>
      </c>
    </row>
    <row r="3515" spans="23:26" x14ac:dyDescent="0.25">
      <c r="W3515" t="str">
        <f>IF(B3515="","",_xll.BDP(B3515,"INDUSTRY_SECTOR"))</f>
        <v/>
      </c>
      <c r="X3515" t="str">
        <f>IF($B3515="","",_xll.BDP($B3515,"INDUSTRY_GROUP"))</f>
        <v/>
      </c>
      <c r="Y3515" t="str">
        <f>IF($B3515="","",_xll.BDP($B3515,"INDUSTRY_SUBGROUP"))</f>
        <v/>
      </c>
      <c r="Z3515" t="str">
        <f>IF($B3515="","",_xll.BDP($B3515,"COUNTRY_FULL_NAME"))</f>
        <v/>
      </c>
    </row>
    <row r="3516" spans="23:26" x14ac:dyDescent="0.25">
      <c r="W3516" t="str">
        <f>IF(B3516="","",_xll.BDP(B3516,"INDUSTRY_SECTOR"))</f>
        <v/>
      </c>
      <c r="X3516" t="str">
        <f>IF($B3516="","",_xll.BDP($B3516,"INDUSTRY_GROUP"))</f>
        <v/>
      </c>
      <c r="Y3516" t="str">
        <f>IF($B3516="","",_xll.BDP($B3516,"INDUSTRY_SUBGROUP"))</f>
        <v/>
      </c>
      <c r="Z3516" t="str">
        <f>IF($B3516="","",_xll.BDP($B3516,"COUNTRY_FULL_NAME"))</f>
        <v/>
      </c>
    </row>
    <row r="3517" spans="23:26" x14ac:dyDescent="0.25">
      <c r="W3517" t="str">
        <f>IF(B3517="","",_xll.BDP(B3517,"INDUSTRY_SECTOR"))</f>
        <v/>
      </c>
      <c r="X3517" t="str">
        <f>IF($B3517="","",_xll.BDP($B3517,"INDUSTRY_GROUP"))</f>
        <v/>
      </c>
      <c r="Y3517" t="str">
        <f>IF($B3517="","",_xll.BDP($B3517,"INDUSTRY_SUBGROUP"))</f>
        <v/>
      </c>
      <c r="Z3517" t="str">
        <f>IF($B3517="","",_xll.BDP($B3517,"COUNTRY_FULL_NAME"))</f>
        <v/>
      </c>
    </row>
    <row r="3518" spans="23:26" x14ac:dyDescent="0.25">
      <c r="W3518" t="str">
        <f>IF(B3518="","",_xll.BDP(B3518,"INDUSTRY_SECTOR"))</f>
        <v/>
      </c>
      <c r="X3518" t="str">
        <f>IF($B3518="","",_xll.BDP($B3518,"INDUSTRY_GROUP"))</f>
        <v/>
      </c>
      <c r="Y3518" t="str">
        <f>IF($B3518="","",_xll.BDP($B3518,"INDUSTRY_SUBGROUP"))</f>
        <v/>
      </c>
      <c r="Z3518" t="str">
        <f>IF($B3518="","",_xll.BDP($B3518,"COUNTRY_FULL_NAME"))</f>
        <v/>
      </c>
    </row>
    <row r="3519" spans="23:26" x14ac:dyDescent="0.25">
      <c r="W3519" t="str">
        <f>IF(B3519="","",_xll.BDP(B3519,"INDUSTRY_SECTOR"))</f>
        <v/>
      </c>
      <c r="X3519" t="str">
        <f>IF($B3519="","",_xll.BDP($B3519,"INDUSTRY_GROUP"))</f>
        <v/>
      </c>
      <c r="Y3519" t="str">
        <f>IF($B3519="","",_xll.BDP($B3519,"INDUSTRY_SUBGROUP"))</f>
        <v/>
      </c>
      <c r="Z3519" t="str">
        <f>IF($B3519="","",_xll.BDP($B3519,"COUNTRY_FULL_NAME"))</f>
        <v/>
      </c>
    </row>
    <row r="3520" spans="23:26" x14ac:dyDescent="0.25">
      <c r="W3520" t="str">
        <f>IF(B3520="","",_xll.BDP(B3520,"INDUSTRY_SECTOR"))</f>
        <v/>
      </c>
      <c r="X3520" t="str">
        <f>IF($B3520="","",_xll.BDP($B3520,"INDUSTRY_GROUP"))</f>
        <v/>
      </c>
      <c r="Y3520" t="str">
        <f>IF($B3520="","",_xll.BDP($B3520,"INDUSTRY_SUBGROUP"))</f>
        <v/>
      </c>
      <c r="Z3520" t="str">
        <f>IF($B3520="","",_xll.BDP($B3520,"COUNTRY_FULL_NAME"))</f>
        <v/>
      </c>
    </row>
    <row r="3521" spans="23:26" x14ac:dyDescent="0.25">
      <c r="W3521" t="str">
        <f>IF(B3521="","",_xll.BDP(B3521,"INDUSTRY_SECTOR"))</f>
        <v/>
      </c>
      <c r="X3521" t="str">
        <f>IF($B3521="","",_xll.BDP($B3521,"INDUSTRY_GROUP"))</f>
        <v/>
      </c>
      <c r="Y3521" t="str">
        <f>IF($B3521="","",_xll.BDP($B3521,"INDUSTRY_SUBGROUP"))</f>
        <v/>
      </c>
      <c r="Z3521" t="str">
        <f>IF($B3521="","",_xll.BDP($B3521,"COUNTRY_FULL_NAME"))</f>
        <v/>
      </c>
    </row>
    <row r="3522" spans="23:26" x14ac:dyDescent="0.25">
      <c r="W3522" t="str">
        <f>IF(B3522="","",_xll.BDP(B3522,"INDUSTRY_SECTOR"))</f>
        <v/>
      </c>
      <c r="X3522" t="str">
        <f>IF($B3522="","",_xll.BDP($B3522,"INDUSTRY_GROUP"))</f>
        <v/>
      </c>
      <c r="Y3522" t="str">
        <f>IF($B3522="","",_xll.BDP($B3522,"INDUSTRY_SUBGROUP"))</f>
        <v/>
      </c>
      <c r="Z3522" t="str">
        <f>IF($B3522="","",_xll.BDP($B3522,"COUNTRY_FULL_NAME"))</f>
        <v/>
      </c>
    </row>
    <row r="3523" spans="23:26" x14ac:dyDescent="0.25">
      <c r="W3523" t="str">
        <f>IF(B3523="","",_xll.BDP(B3523,"INDUSTRY_SECTOR"))</f>
        <v/>
      </c>
      <c r="X3523" t="str">
        <f>IF($B3523="","",_xll.BDP($B3523,"INDUSTRY_GROUP"))</f>
        <v/>
      </c>
      <c r="Y3523" t="str">
        <f>IF($B3523="","",_xll.BDP($B3523,"INDUSTRY_SUBGROUP"))</f>
        <v/>
      </c>
      <c r="Z3523" t="str">
        <f>IF($B3523="","",_xll.BDP($B3523,"COUNTRY_FULL_NAME"))</f>
        <v/>
      </c>
    </row>
    <row r="3524" spans="23:26" x14ac:dyDescent="0.25">
      <c r="W3524" t="str">
        <f>IF(B3524="","",_xll.BDP(B3524,"INDUSTRY_SECTOR"))</f>
        <v/>
      </c>
      <c r="X3524" t="str">
        <f>IF($B3524="","",_xll.BDP($B3524,"INDUSTRY_GROUP"))</f>
        <v/>
      </c>
      <c r="Y3524" t="str">
        <f>IF($B3524="","",_xll.BDP($B3524,"INDUSTRY_SUBGROUP"))</f>
        <v/>
      </c>
      <c r="Z3524" t="str">
        <f>IF($B3524="","",_xll.BDP($B3524,"COUNTRY_FULL_NAME"))</f>
        <v/>
      </c>
    </row>
    <row r="3525" spans="23:26" x14ac:dyDescent="0.25">
      <c r="W3525" t="str">
        <f>IF(B3525="","",_xll.BDP(B3525,"INDUSTRY_SECTOR"))</f>
        <v/>
      </c>
      <c r="X3525" t="str">
        <f>IF($B3525="","",_xll.BDP($B3525,"INDUSTRY_GROUP"))</f>
        <v/>
      </c>
      <c r="Y3525" t="str">
        <f>IF($B3525="","",_xll.BDP($B3525,"INDUSTRY_SUBGROUP"))</f>
        <v/>
      </c>
      <c r="Z3525" t="str">
        <f>IF($B3525="","",_xll.BDP($B3525,"COUNTRY_FULL_NAME"))</f>
        <v/>
      </c>
    </row>
    <row r="3526" spans="23:26" x14ac:dyDescent="0.25">
      <c r="W3526" t="str">
        <f>IF(B3526="","",_xll.BDP(B3526,"INDUSTRY_SECTOR"))</f>
        <v/>
      </c>
      <c r="X3526" t="str">
        <f>IF($B3526="","",_xll.BDP($B3526,"INDUSTRY_GROUP"))</f>
        <v/>
      </c>
      <c r="Y3526" t="str">
        <f>IF($B3526="","",_xll.BDP($B3526,"INDUSTRY_SUBGROUP"))</f>
        <v/>
      </c>
      <c r="Z3526" t="str">
        <f>IF($B3526="","",_xll.BDP($B3526,"COUNTRY_FULL_NAME"))</f>
        <v/>
      </c>
    </row>
    <row r="3527" spans="23:26" x14ac:dyDescent="0.25">
      <c r="W3527" t="str">
        <f>IF(B3527="","",_xll.BDP(B3527,"INDUSTRY_SECTOR"))</f>
        <v/>
      </c>
      <c r="X3527" t="str">
        <f>IF($B3527="","",_xll.BDP($B3527,"INDUSTRY_GROUP"))</f>
        <v/>
      </c>
      <c r="Y3527" t="str">
        <f>IF($B3527="","",_xll.BDP($B3527,"INDUSTRY_SUBGROUP"))</f>
        <v/>
      </c>
      <c r="Z3527" t="str">
        <f>IF($B3527="","",_xll.BDP($B3527,"COUNTRY_FULL_NAME"))</f>
        <v/>
      </c>
    </row>
    <row r="3528" spans="23:26" x14ac:dyDescent="0.25">
      <c r="W3528" t="str">
        <f>IF(B3528="","",_xll.BDP(B3528,"INDUSTRY_SECTOR"))</f>
        <v/>
      </c>
      <c r="X3528" t="str">
        <f>IF($B3528="","",_xll.BDP($B3528,"INDUSTRY_GROUP"))</f>
        <v/>
      </c>
      <c r="Y3528" t="str">
        <f>IF($B3528="","",_xll.BDP($B3528,"INDUSTRY_SUBGROUP"))</f>
        <v/>
      </c>
      <c r="Z3528" t="str">
        <f>IF($B3528="","",_xll.BDP($B3528,"COUNTRY_FULL_NAME"))</f>
        <v/>
      </c>
    </row>
    <row r="3529" spans="23:26" x14ac:dyDescent="0.25">
      <c r="W3529" t="str">
        <f>IF(B3529="","",_xll.BDP(B3529,"INDUSTRY_SECTOR"))</f>
        <v/>
      </c>
      <c r="X3529" t="str">
        <f>IF($B3529="","",_xll.BDP($B3529,"INDUSTRY_GROUP"))</f>
        <v/>
      </c>
      <c r="Y3529" t="str">
        <f>IF($B3529="","",_xll.BDP($B3529,"INDUSTRY_SUBGROUP"))</f>
        <v/>
      </c>
      <c r="Z3529" t="str">
        <f>IF($B3529="","",_xll.BDP($B3529,"COUNTRY_FULL_NAME"))</f>
        <v/>
      </c>
    </row>
    <row r="3530" spans="23:26" x14ac:dyDescent="0.25">
      <c r="W3530" t="str">
        <f>IF(B3530="","",_xll.BDP(B3530,"INDUSTRY_SECTOR"))</f>
        <v/>
      </c>
      <c r="X3530" t="str">
        <f>IF($B3530="","",_xll.BDP($B3530,"INDUSTRY_GROUP"))</f>
        <v/>
      </c>
      <c r="Y3530" t="str">
        <f>IF($B3530="","",_xll.BDP($B3530,"INDUSTRY_SUBGROUP"))</f>
        <v/>
      </c>
      <c r="Z3530" t="str">
        <f>IF($B3530="","",_xll.BDP($B3530,"COUNTRY_FULL_NAME"))</f>
        <v/>
      </c>
    </row>
    <row r="3531" spans="23:26" x14ac:dyDescent="0.25">
      <c r="W3531" t="str">
        <f>IF(B3531="","",_xll.BDP(B3531,"INDUSTRY_SECTOR"))</f>
        <v/>
      </c>
      <c r="X3531" t="str">
        <f>IF($B3531="","",_xll.BDP($B3531,"INDUSTRY_GROUP"))</f>
        <v/>
      </c>
      <c r="Y3531" t="str">
        <f>IF($B3531="","",_xll.BDP($B3531,"INDUSTRY_SUBGROUP"))</f>
        <v/>
      </c>
      <c r="Z3531" t="str">
        <f>IF($B3531="","",_xll.BDP($B3531,"COUNTRY_FULL_NAME"))</f>
        <v/>
      </c>
    </row>
    <row r="3532" spans="23:26" x14ac:dyDescent="0.25">
      <c r="W3532" t="str">
        <f>IF(B3532="","",_xll.BDP(B3532,"INDUSTRY_SECTOR"))</f>
        <v/>
      </c>
      <c r="X3532" t="str">
        <f>IF($B3532="","",_xll.BDP($B3532,"INDUSTRY_GROUP"))</f>
        <v/>
      </c>
      <c r="Y3532" t="str">
        <f>IF($B3532="","",_xll.BDP($B3532,"INDUSTRY_SUBGROUP"))</f>
        <v/>
      </c>
      <c r="Z3532" t="str">
        <f>IF($B3532="","",_xll.BDP($B3532,"COUNTRY_FULL_NAME"))</f>
        <v/>
      </c>
    </row>
    <row r="3533" spans="23:26" x14ac:dyDescent="0.25">
      <c r="W3533" t="str">
        <f>IF(B3533="","",_xll.BDP(B3533,"INDUSTRY_SECTOR"))</f>
        <v/>
      </c>
      <c r="X3533" t="str">
        <f>IF($B3533="","",_xll.BDP($B3533,"INDUSTRY_GROUP"))</f>
        <v/>
      </c>
      <c r="Y3533" t="str">
        <f>IF($B3533="","",_xll.BDP($B3533,"INDUSTRY_SUBGROUP"))</f>
        <v/>
      </c>
      <c r="Z3533" t="str">
        <f>IF($B3533="","",_xll.BDP($B3533,"COUNTRY_FULL_NAME"))</f>
        <v/>
      </c>
    </row>
    <row r="3534" spans="23:26" x14ac:dyDescent="0.25">
      <c r="W3534" t="str">
        <f>IF(B3534="","",_xll.BDP(B3534,"INDUSTRY_SECTOR"))</f>
        <v/>
      </c>
      <c r="X3534" t="str">
        <f>IF($B3534="","",_xll.BDP($B3534,"INDUSTRY_GROUP"))</f>
        <v/>
      </c>
      <c r="Y3534" t="str">
        <f>IF($B3534="","",_xll.BDP($B3534,"INDUSTRY_SUBGROUP"))</f>
        <v/>
      </c>
      <c r="Z3534" t="str">
        <f>IF($B3534="","",_xll.BDP($B3534,"COUNTRY_FULL_NAME"))</f>
        <v/>
      </c>
    </row>
    <row r="3535" spans="23:26" x14ac:dyDescent="0.25">
      <c r="W3535" t="str">
        <f>IF(B3535="","",_xll.BDP(B3535,"INDUSTRY_SECTOR"))</f>
        <v/>
      </c>
      <c r="X3535" t="str">
        <f>IF($B3535="","",_xll.BDP($B3535,"INDUSTRY_GROUP"))</f>
        <v/>
      </c>
      <c r="Y3535" t="str">
        <f>IF($B3535="","",_xll.BDP($B3535,"INDUSTRY_SUBGROUP"))</f>
        <v/>
      </c>
      <c r="Z3535" t="str">
        <f>IF($B3535="","",_xll.BDP($B3535,"COUNTRY_FULL_NAME"))</f>
        <v/>
      </c>
    </row>
    <row r="3536" spans="23:26" x14ac:dyDescent="0.25">
      <c r="W3536" t="str">
        <f>IF(B3536="","",_xll.BDP(B3536,"INDUSTRY_SECTOR"))</f>
        <v/>
      </c>
      <c r="X3536" t="str">
        <f>IF($B3536="","",_xll.BDP($B3536,"INDUSTRY_GROUP"))</f>
        <v/>
      </c>
      <c r="Y3536" t="str">
        <f>IF($B3536="","",_xll.BDP($B3536,"INDUSTRY_SUBGROUP"))</f>
        <v/>
      </c>
      <c r="Z3536" t="str">
        <f>IF($B3536="","",_xll.BDP($B3536,"COUNTRY_FULL_NAME"))</f>
        <v/>
      </c>
    </row>
    <row r="3537" spans="23:26" x14ac:dyDescent="0.25">
      <c r="W3537" t="str">
        <f>IF(B3537="","",_xll.BDP(B3537,"INDUSTRY_SECTOR"))</f>
        <v/>
      </c>
      <c r="X3537" t="str">
        <f>IF($B3537="","",_xll.BDP($B3537,"INDUSTRY_GROUP"))</f>
        <v/>
      </c>
      <c r="Y3537" t="str">
        <f>IF($B3537="","",_xll.BDP($B3537,"INDUSTRY_SUBGROUP"))</f>
        <v/>
      </c>
      <c r="Z3537" t="str">
        <f>IF($B3537="","",_xll.BDP($B3537,"COUNTRY_FULL_NAME"))</f>
        <v/>
      </c>
    </row>
    <row r="3538" spans="23:26" x14ac:dyDescent="0.25">
      <c r="W3538" t="str">
        <f>IF(B3538="","",_xll.BDP(B3538,"INDUSTRY_SECTOR"))</f>
        <v/>
      </c>
      <c r="X3538" t="str">
        <f>IF($B3538="","",_xll.BDP($B3538,"INDUSTRY_GROUP"))</f>
        <v/>
      </c>
      <c r="Y3538" t="str">
        <f>IF($B3538="","",_xll.BDP($B3538,"INDUSTRY_SUBGROUP"))</f>
        <v/>
      </c>
      <c r="Z3538" t="str">
        <f>IF($B3538="","",_xll.BDP($B3538,"COUNTRY_FULL_NAME"))</f>
        <v/>
      </c>
    </row>
    <row r="3539" spans="23:26" x14ac:dyDescent="0.25">
      <c r="W3539" t="str">
        <f>IF(B3539="","",_xll.BDP(B3539,"INDUSTRY_SECTOR"))</f>
        <v/>
      </c>
      <c r="X3539" t="str">
        <f>IF($B3539="","",_xll.BDP($B3539,"INDUSTRY_GROUP"))</f>
        <v/>
      </c>
      <c r="Y3539" t="str">
        <f>IF($B3539="","",_xll.BDP($B3539,"INDUSTRY_SUBGROUP"))</f>
        <v/>
      </c>
      <c r="Z3539" t="str">
        <f>IF($B3539="","",_xll.BDP($B3539,"COUNTRY_FULL_NAME"))</f>
        <v/>
      </c>
    </row>
    <row r="3540" spans="23:26" x14ac:dyDescent="0.25">
      <c r="W3540" t="str">
        <f>IF(B3540="","",_xll.BDP(B3540,"INDUSTRY_SECTOR"))</f>
        <v/>
      </c>
      <c r="X3540" t="str">
        <f>IF($B3540="","",_xll.BDP($B3540,"INDUSTRY_GROUP"))</f>
        <v/>
      </c>
      <c r="Y3540" t="str">
        <f>IF($B3540="","",_xll.BDP($B3540,"INDUSTRY_SUBGROUP"))</f>
        <v/>
      </c>
      <c r="Z3540" t="str">
        <f>IF($B3540="","",_xll.BDP($B3540,"COUNTRY_FULL_NAME"))</f>
        <v/>
      </c>
    </row>
    <row r="3541" spans="23:26" x14ac:dyDescent="0.25">
      <c r="W3541" t="str">
        <f>IF(B3541="","",_xll.BDP(B3541,"INDUSTRY_SECTOR"))</f>
        <v/>
      </c>
      <c r="X3541" t="str">
        <f>IF($B3541="","",_xll.BDP($B3541,"INDUSTRY_GROUP"))</f>
        <v/>
      </c>
      <c r="Y3541" t="str">
        <f>IF($B3541="","",_xll.BDP($B3541,"INDUSTRY_SUBGROUP"))</f>
        <v/>
      </c>
      <c r="Z3541" t="str">
        <f>IF($B3541="","",_xll.BDP($B3541,"COUNTRY_FULL_NAME"))</f>
        <v/>
      </c>
    </row>
    <row r="3542" spans="23:26" x14ac:dyDescent="0.25">
      <c r="W3542" t="str">
        <f>IF(B3542="","",_xll.BDP(B3542,"INDUSTRY_SECTOR"))</f>
        <v/>
      </c>
      <c r="X3542" t="str">
        <f>IF($B3542="","",_xll.BDP($B3542,"INDUSTRY_GROUP"))</f>
        <v/>
      </c>
      <c r="Y3542" t="str">
        <f>IF($B3542="","",_xll.BDP($B3542,"INDUSTRY_SUBGROUP"))</f>
        <v/>
      </c>
      <c r="Z3542" t="str">
        <f>IF($B3542="","",_xll.BDP($B3542,"COUNTRY_FULL_NAME"))</f>
        <v/>
      </c>
    </row>
    <row r="3543" spans="23:26" x14ac:dyDescent="0.25">
      <c r="W3543" t="str">
        <f>IF(B3543="","",_xll.BDP(B3543,"INDUSTRY_SECTOR"))</f>
        <v/>
      </c>
      <c r="X3543" t="str">
        <f>IF($B3543="","",_xll.BDP($B3543,"INDUSTRY_GROUP"))</f>
        <v/>
      </c>
      <c r="Y3543" t="str">
        <f>IF($B3543="","",_xll.BDP($B3543,"INDUSTRY_SUBGROUP"))</f>
        <v/>
      </c>
      <c r="Z3543" t="str">
        <f>IF($B3543="","",_xll.BDP($B3543,"COUNTRY_FULL_NAME"))</f>
        <v/>
      </c>
    </row>
    <row r="3544" spans="23:26" x14ac:dyDescent="0.25">
      <c r="W3544" t="str">
        <f>IF(B3544="","",_xll.BDP(B3544,"INDUSTRY_SECTOR"))</f>
        <v/>
      </c>
      <c r="X3544" t="str">
        <f>IF($B3544="","",_xll.BDP($B3544,"INDUSTRY_GROUP"))</f>
        <v/>
      </c>
      <c r="Y3544" t="str">
        <f>IF($B3544="","",_xll.BDP($B3544,"INDUSTRY_SUBGROUP"))</f>
        <v/>
      </c>
      <c r="Z3544" t="str">
        <f>IF($B3544="","",_xll.BDP($B3544,"COUNTRY_FULL_NAME"))</f>
        <v/>
      </c>
    </row>
    <row r="3545" spans="23:26" x14ac:dyDescent="0.25">
      <c r="W3545" t="str">
        <f>IF(B3545="","",_xll.BDP(B3545,"INDUSTRY_SECTOR"))</f>
        <v/>
      </c>
      <c r="X3545" t="str">
        <f>IF($B3545="","",_xll.BDP($B3545,"INDUSTRY_GROUP"))</f>
        <v/>
      </c>
      <c r="Y3545" t="str">
        <f>IF($B3545="","",_xll.BDP($B3545,"INDUSTRY_SUBGROUP"))</f>
        <v/>
      </c>
      <c r="Z3545" t="str">
        <f>IF($B3545="","",_xll.BDP($B3545,"COUNTRY_FULL_NAME"))</f>
        <v/>
      </c>
    </row>
    <row r="3546" spans="23:26" x14ac:dyDescent="0.25">
      <c r="W3546" t="str">
        <f>IF(B3546="","",_xll.BDP(B3546,"INDUSTRY_SECTOR"))</f>
        <v/>
      </c>
      <c r="X3546" t="str">
        <f>IF($B3546="","",_xll.BDP($B3546,"INDUSTRY_GROUP"))</f>
        <v/>
      </c>
      <c r="Y3546" t="str">
        <f>IF($B3546="","",_xll.BDP($B3546,"INDUSTRY_SUBGROUP"))</f>
        <v/>
      </c>
      <c r="Z3546" t="str">
        <f>IF($B3546="","",_xll.BDP($B3546,"COUNTRY_FULL_NAME"))</f>
        <v/>
      </c>
    </row>
    <row r="3547" spans="23:26" x14ac:dyDescent="0.25">
      <c r="W3547" t="str">
        <f>IF(B3547="","",_xll.BDP(B3547,"INDUSTRY_SECTOR"))</f>
        <v/>
      </c>
      <c r="X3547" t="str">
        <f>IF($B3547="","",_xll.BDP($B3547,"INDUSTRY_GROUP"))</f>
        <v/>
      </c>
      <c r="Y3547" t="str">
        <f>IF($B3547="","",_xll.BDP($B3547,"INDUSTRY_SUBGROUP"))</f>
        <v/>
      </c>
      <c r="Z3547" t="str">
        <f>IF($B3547="","",_xll.BDP($B3547,"COUNTRY_FULL_NAME"))</f>
        <v/>
      </c>
    </row>
    <row r="3548" spans="23:26" x14ac:dyDescent="0.25">
      <c r="W3548" t="str">
        <f>IF(B3548="","",_xll.BDP(B3548,"INDUSTRY_SECTOR"))</f>
        <v/>
      </c>
      <c r="X3548" t="str">
        <f>IF($B3548="","",_xll.BDP($B3548,"INDUSTRY_GROUP"))</f>
        <v/>
      </c>
      <c r="Y3548" t="str">
        <f>IF($B3548="","",_xll.BDP($B3548,"INDUSTRY_SUBGROUP"))</f>
        <v/>
      </c>
      <c r="Z3548" t="str">
        <f>IF($B3548="","",_xll.BDP($B3548,"COUNTRY_FULL_NAME"))</f>
        <v/>
      </c>
    </row>
    <row r="3549" spans="23:26" x14ac:dyDescent="0.25">
      <c r="W3549" t="str">
        <f>IF(B3549="","",_xll.BDP(B3549,"INDUSTRY_SECTOR"))</f>
        <v/>
      </c>
      <c r="X3549" t="str">
        <f>IF($B3549="","",_xll.BDP($B3549,"INDUSTRY_GROUP"))</f>
        <v/>
      </c>
      <c r="Y3549" t="str">
        <f>IF($B3549="","",_xll.BDP($B3549,"INDUSTRY_SUBGROUP"))</f>
        <v/>
      </c>
      <c r="Z3549" t="str">
        <f>IF($B3549="","",_xll.BDP($B3549,"COUNTRY_FULL_NAME"))</f>
        <v/>
      </c>
    </row>
    <row r="3550" spans="23:26" x14ac:dyDescent="0.25">
      <c r="W3550" t="str">
        <f>IF(B3550="","",_xll.BDP(B3550,"INDUSTRY_SECTOR"))</f>
        <v/>
      </c>
      <c r="X3550" t="str">
        <f>IF($B3550="","",_xll.BDP($B3550,"INDUSTRY_GROUP"))</f>
        <v/>
      </c>
      <c r="Y3550" t="str">
        <f>IF($B3550="","",_xll.BDP($B3550,"INDUSTRY_SUBGROUP"))</f>
        <v/>
      </c>
      <c r="Z3550" t="str">
        <f>IF($B3550="","",_xll.BDP($B3550,"COUNTRY_FULL_NAME"))</f>
        <v/>
      </c>
    </row>
    <row r="3551" spans="23:26" x14ac:dyDescent="0.25">
      <c r="W3551" t="str">
        <f>IF(B3551="","",_xll.BDP(B3551,"INDUSTRY_SECTOR"))</f>
        <v/>
      </c>
      <c r="X3551" t="str">
        <f>IF($B3551="","",_xll.BDP($B3551,"INDUSTRY_GROUP"))</f>
        <v/>
      </c>
      <c r="Y3551" t="str">
        <f>IF($B3551="","",_xll.BDP($B3551,"INDUSTRY_SUBGROUP"))</f>
        <v/>
      </c>
      <c r="Z3551" t="str">
        <f>IF($B3551="","",_xll.BDP($B3551,"COUNTRY_FULL_NAME"))</f>
        <v/>
      </c>
    </row>
    <row r="3552" spans="23:26" x14ac:dyDescent="0.25">
      <c r="W3552" t="str">
        <f>IF(B3552="","",_xll.BDP(B3552,"INDUSTRY_SECTOR"))</f>
        <v/>
      </c>
      <c r="X3552" t="str">
        <f>IF($B3552="","",_xll.BDP($B3552,"INDUSTRY_GROUP"))</f>
        <v/>
      </c>
      <c r="Y3552" t="str">
        <f>IF($B3552="","",_xll.BDP($B3552,"INDUSTRY_SUBGROUP"))</f>
        <v/>
      </c>
      <c r="Z3552" t="str">
        <f>IF($B3552="","",_xll.BDP($B3552,"COUNTRY_FULL_NAME"))</f>
        <v/>
      </c>
    </row>
    <row r="3553" spans="23:26" x14ac:dyDescent="0.25">
      <c r="W3553" t="str">
        <f>IF(B3553="","",_xll.BDP(B3553,"INDUSTRY_SECTOR"))</f>
        <v/>
      </c>
      <c r="X3553" t="str">
        <f>IF($B3553="","",_xll.BDP($B3553,"INDUSTRY_GROUP"))</f>
        <v/>
      </c>
      <c r="Y3553" t="str">
        <f>IF($B3553="","",_xll.BDP($B3553,"INDUSTRY_SUBGROUP"))</f>
        <v/>
      </c>
      <c r="Z3553" t="str">
        <f>IF($B3553="","",_xll.BDP($B3553,"COUNTRY_FULL_NAME"))</f>
        <v/>
      </c>
    </row>
    <row r="3554" spans="23:26" x14ac:dyDescent="0.25">
      <c r="W3554" t="str">
        <f>IF(B3554="","",_xll.BDP(B3554,"INDUSTRY_SECTOR"))</f>
        <v/>
      </c>
      <c r="X3554" t="str">
        <f>IF($B3554="","",_xll.BDP($B3554,"INDUSTRY_GROUP"))</f>
        <v/>
      </c>
      <c r="Y3554" t="str">
        <f>IF($B3554="","",_xll.BDP($B3554,"INDUSTRY_SUBGROUP"))</f>
        <v/>
      </c>
      <c r="Z3554" t="str">
        <f>IF($B3554="","",_xll.BDP($B3554,"COUNTRY_FULL_NAME"))</f>
        <v/>
      </c>
    </row>
    <row r="3555" spans="23:26" x14ac:dyDescent="0.25">
      <c r="W3555" t="str">
        <f>IF(B3555="","",_xll.BDP(B3555,"INDUSTRY_SECTOR"))</f>
        <v/>
      </c>
      <c r="X3555" t="str">
        <f>IF($B3555="","",_xll.BDP($B3555,"INDUSTRY_GROUP"))</f>
        <v/>
      </c>
      <c r="Y3555" t="str">
        <f>IF($B3555="","",_xll.BDP($B3555,"INDUSTRY_SUBGROUP"))</f>
        <v/>
      </c>
      <c r="Z3555" t="str">
        <f>IF($B3555="","",_xll.BDP($B3555,"COUNTRY_FULL_NAME"))</f>
        <v/>
      </c>
    </row>
    <row r="3556" spans="23:26" x14ac:dyDescent="0.25">
      <c r="W3556" t="str">
        <f>IF(B3556="","",_xll.BDP(B3556,"INDUSTRY_SECTOR"))</f>
        <v/>
      </c>
      <c r="X3556" t="str">
        <f>IF($B3556="","",_xll.BDP($B3556,"INDUSTRY_GROUP"))</f>
        <v/>
      </c>
      <c r="Y3556" t="str">
        <f>IF($B3556="","",_xll.BDP($B3556,"INDUSTRY_SUBGROUP"))</f>
        <v/>
      </c>
      <c r="Z3556" t="str">
        <f>IF($B3556="","",_xll.BDP($B3556,"COUNTRY_FULL_NAME"))</f>
        <v/>
      </c>
    </row>
    <row r="3557" spans="23:26" x14ac:dyDescent="0.25">
      <c r="W3557" t="str">
        <f>IF(B3557="","",_xll.BDP(B3557,"INDUSTRY_SECTOR"))</f>
        <v/>
      </c>
      <c r="X3557" t="str">
        <f>IF($B3557="","",_xll.BDP($B3557,"INDUSTRY_GROUP"))</f>
        <v/>
      </c>
      <c r="Y3557" t="str">
        <f>IF($B3557="","",_xll.BDP($B3557,"INDUSTRY_SUBGROUP"))</f>
        <v/>
      </c>
      <c r="Z3557" t="str">
        <f>IF($B3557="","",_xll.BDP($B3557,"COUNTRY_FULL_NAME"))</f>
        <v/>
      </c>
    </row>
    <row r="3558" spans="23:26" x14ac:dyDescent="0.25">
      <c r="W3558" t="str">
        <f>IF(B3558="","",_xll.BDP(B3558,"INDUSTRY_SECTOR"))</f>
        <v/>
      </c>
      <c r="X3558" t="str">
        <f>IF($B3558="","",_xll.BDP($B3558,"INDUSTRY_GROUP"))</f>
        <v/>
      </c>
      <c r="Y3558" t="str">
        <f>IF($B3558="","",_xll.BDP($B3558,"INDUSTRY_SUBGROUP"))</f>
        <v/>
      </c>
      <c r="Z3558" t="str">
        <f>IF($B3558="","",_xll.BDP($B3558,"COUNTRY_FULL_NAME"))</f>
        <v/>
      </c>
    </row>
    <row r="3559" spans="23:26" x14ac:dyDescent="0.25">
      <c r="W3559" t="str">
        <f>IF(B3559="","",_xll.BDP(B3559,"INDUSTRY_SECTOR"))</f>
        <v/>
      </c>
      <c r="X3559" t="str">
        <f>IF($B3559="","",_xll.BDP($B3559,"INDUSTRY_GROUP"))</f>
        <v/>
      </c>
      <c r="Y3559" t="str">
        <f>IF($B3559="","",_xll.BDP($B3559,"INDUSTRY_SUBGROUP"))</f>
        <v/>
      </c>
      <c r="Z3559" t="str">
        <f>IF($B3559="","",_xll.BDP($B3559,"COUNTRY_FULL_NAME"))</f>
        <v/>
      </c>
    </row>
    <row r="3560" spans="23:26" x14ac:dyDescent="0.25">
      <c r="W3560" t="str">
        <f>IF(B3560="","",_xll.BDP(B3560,"INDUSTRY_SECTOR"))</f>
        <v/>
      </c>
      <c r="X3560" t="str">
        <f>IF($B3560="","",_xll.BDP($B3560,"INDUSTRY_GROUP"))</f>
        <v/>
      </c>
      <c r="Y3560" t="str">
        <f>IF($B3560="","",_xll.BDP($B3560,"INDUSTRY_SUBGROUP"))</f>
        <v/>
      </c>
      <c r="Z3560" t="str">
        <f>IF($B3560="","",_xll.BDP($B3560,"COUNTRY_FULL_NAME"))</f>
        <v/>
      </c>
    </row>
    <row r="3561" spans="23:26" x14ac:dyDescent="0.25">
      <c r="W3561" t="str">
        <f>IF(B3561="","",_xll.BDP(B3561,"INDUSTRY_SECTOR"))</f>
        <v/>
      </c>
      <c r="X3561" t="str">
        <f>IF($B3561="","",_xll.BDP($B3561,"INDUSTRY_GROUP"))</f>
        <v/>
      </c>
      <c r="Y3561" t="str">
        <f>IF($B3561="","",_xll.BDP($B3561,"INDUSTRY_SUBGROUP"))</f>
        <v/>
      </c>
      <c r="Z3561" t="str">
        <f>IF($B3561="","",_xll.BDP($B3561,"COUNTRY_FULL_NAME"))</f>
        <v/>
      </c>
    </row>
    <row r="3562" spans="23:26" x14ac:dyDescent="0.25">
      <c r="W3562" t="str">
        <f>IF(B3562="","",_xll.BDP(B3562,"INDUSTRY_SECTOR"))</f>
        <v/>
      </c>
      <c r="X3562" t="str">
        <f>IF($B3562="","",_xll.BDP($B3562,"INDUSTRY_GROUP"))</f>
        <v/>
      </c>
      <c r="Y3562" t="str">
        <f>IF($B3562="","",_xll.BDP($B3562,"INDUSTRY_SUBGROUP"))</f>
        <v/>
      </c>
      <c r="Z3562" t="str">
        <f>IF($B3562="","",_xll.BDP($B3562,"COUNTRY_FULL_NAME"))</f>
        <v/>
      </c>
    </row>
    <row r="3563" spans="23:26" x14ac:dyDescent="0.25">
      <c r="W3563" t="str">
        <f>IF(B3563="","",_xll.BDP(B3563,"INDUSTRY_SECTOR"))</f>
        <v/>
      </c>
      <c r="X3563" t="str">
        <f>IF($B3563="","",_xll.BDP($B3563,"INDUSTRY_GROUP"))</f>
        <v/>
      </c>
      <c r="Y3563" t="str">
        <f>IF($B3563="","",_xll.BDP($B3563,"INDUSTRY_SUBGROUP"))</f>
        <v/>
      </c>
      <c r="Z3563" t="str">
        <f>IF($B3563="","",_xll.BDP($B3563,"COUNTRY_FULL_NAME"))</f>
        <v/>
      </c>
    </row>
    <row r="3564" spans="23:26" x14ac:dyDescent="0.25">
      <c r="W3564" t="str">
        <f>IF(B3564="","",_xll.BDP(B3564,"INDUSTRY_SECTOR"))</f>
        <v/>
      </c>
      <c r="X3564" t="str">
        <f>IF($B3564="","",_xll.BDP($B3564,"INDUSTRY_GROUP"))</f>
        <v/>
      </c>
      <c r="Y3564" t="str">
        <f>IF($B3564="","",_xll.BDP($B3564,"INDUSTRY_SUBGROUP"))</f>
        <v/>
      </c>
      <c r="Z3564" t="str">
        <f>IF($B3564="","",_xll.BDP($B3564,"COUNTRY_FULL_NAME"))</f>
        <v/>
      </c>
    </row>
    <row r="3565" spans="23:26" x14ac:dyDescent="0.25">
      <c r="W3565" t="str">
        <f>IF(B3565="","",_xll.BDP(B3565,"INDUSTRY_SECTOR"))</f>
        <v/>
      </c>
      <c r="X3565" t="str">
        <f>IF($B3565="","",_xll.BDP($B3565,"INDUSTRY_GROUP"))</f>
        <v/>
      </c>
      <c r="Y3565" t="str">
        <f>IF($B3565="","",_xll.BDP($B3565,"INDUSTRY_SUBGROUP"))</f>
        <v/>
      </c>
      <c r="Z3565" t="str">
        <f>IF($B3565="","",_xll.BDP($B3565,"COUNTRY_FULL_NAME"))</f>
        <v/>
      </c>
    </row>
    <row r="3566" spans="23:26" x14ac:dyDescent="0.25">
      <c r="W3566" t="str">
        <f>IF(B3566="","",_xll.BDP(B3566,"INDUSTRY_SECTOR"))</f>
        <v/>
      </c>
      <c r="X3566" t="str">
        <f>IF($B3566="","",_xll.BDP($B3566,"INDUSTRY_GROUP"))</f>
        <v/>
      </c>
      <c r="Y3566" t="str">
        <f>IF($B3566="","",_xll.BDP($B3566,"INDUSTRY_SUBGROUP"))</f>
        <v/>
      </c>
      <c r="Z3566" t="str">
        <f>IF($B3566="","",_xll.BDP($B3566,"COUNTRY_FULL_NAME"))</f>
        <v/>
      </c>
    </row>
    <row r="3567" spans="23:26" x14ac:dyDescent="0.25">
      <c r="W3567" t="str">
        <f>IF(B3567="","",_xll.BDP(B3567,"INDUSTRY_SECTOR"))</f>
        <v/>
      </c>
      <c r="X3567" t="str">
        <f>IF($B3567="","",_xll.BDP($B3567,"INDUSTRY_GROUP"))</f>
        <v/>
      </c>
      <c r="Y3567" t="str">
        <f>IF($B3567="","",_xll.BDP($B3567,"INDUSTRY_SUBGROUP"))</f>
        <v/>
      </c>
      <c r="Z3567" t="str">
        <f>IF($B3567="","",_xll.BDP($B3567,"COUNTRY_FULL_NAME"))</f>
        <v/>
      </c>
    </row>
    <row r="3568" spans="23:26" x14ac:dyDescent="0.25">
      <c r="W3568" t="str">
        <f>IF(B3568="","",_xll.BDP(B3568,"INDUSTRY_SECTOR"))</f>
        <v/>
      </c>
      <c r="X3568" t="str">
        <f>IF($B3568="","",_xll.BDP($B3568,"INDUSTRY_GROUP"))</f>
        <v/>
      </c>
      <c r="Y3568" t="str">
        <f>IF($B3568="","",_xll.BDP($B3568,"INDUSTRY_SUBGROUP"))</f>
        <v/>
      </c>
      <c r="Z3568" t="str">
        <f>IF($B3568="","",_xll.BDP($B3568,"COUNTRY_FULL_NAME"))</f>
        <v/>
      </c>
    </row>
    <row r="3569" spans="23:26" x14ac:dyDescent="0.25">
      <c r="W3569" t="str">
        <f>IF(B3569="","",_xll.BDP(B3569,"INDUSTRY_SECTOR"))</f>
        <v/>
      </c>
      <c r="X3569" t="str">
        <f>IF($B3569="","",_xll.BDP($B3569,"INDUSTRY_GROUP"))</f>
        <v/>
      </c>
      <c r="Y3569" t="str">
        <f>IF($B3569="","",_xll.BDP($B3569,"INDUSTRY_SUBGROUP"))</f>
        <v/>
      </c>
      <c r="Z3569" t="str">
        <f>IF($B3569="","",_xll.BDP($B3569,"COUNTRY_FULL_NAME"))</f>
        <v/>
      </c>
    </row>
    <row r="3570" spans="23:26" x14ac:dyDescent="0.25">
      <c r="W3570" t="str">
        <f>IF(B3570="","",_xll.BDP(B3570,"INDUSTRY_SECTOR"))</f>
        <v/>
      </c>
      <c r="X3570" t="str">
        <f>IF($B3570="","",_xll.BDP($B3570,"INDUSTRY_GROUP"))</f>
        <v/>
      </c>
      <c r="Y3570" t="str">
        <f>IF($B3570="","",_xll.BDP($B3570,"INDUSTRY_SUBGROUP"))</f>
        <v/>
      </c>
      <c r="Z3570" t="str">
        <f>IF($B3570="","",_xll.BDP($B3570,"COUNTRY_FULL_NAME"))</f>
        <v/>
      </c>
    </row>
    <row r="3571" spans="23:26" x14ac:dyDescent="0.25">
      <c r="W3571" t="str">
        <f>IF(B3571="","",_xll.BDP(B3571,"INDUSTRY_SECTOR"))</f>
        <v/>
      </c>
      <c r="X3571" t="str">
        <f>IF($B3571="","",_xll.BDP($B3571,"INDUSTRY_GROUP"))</f>
        <v/>
      </c>
      <c r="Y3571" t="str">
        <f>IF($B3571="","",_xll.BDP($B3571,"INDUSTRY_SUBGROUP"))</f>
        <v/>
      </c>
      <c r="Z3571" t="str">
        <f>IF($B3571="","",_xll.BDP($B3571,"COUNTRY_FULL_NAME"))</f>
        <v/>
      </c>
    </row>
    <row r="3572" spans="23:26" x14ac:dyDescent="0.25">
      <c r="W3572" t="str">
        <f>IF(B3572="","",_xll.BDP(B3572,"INDUSTRY_SECTOR"))</f>
        <v/>
      </c>
      <c r="X3572" t="str">
        <f>IF($B3572="","",_xll.BDP($B3572,"INDUSTRY_GROUP"))</f>
        <v/>
      </c>
      <c r="Y3572" t="str">
        <f>IF($B3572="","",_xll.BDP($B3572,"INDUSTRY_SUBGROUP"))</f>
        <v/>
      </c>
      <c r="Z3572" t="str">
        <f>IF($B3572="","",_xll.BDP($B3572,"COUNTRY_FULL_NAME"))</f>
        <v/>
      </c>
    </row>
    <row r="3573" spans="23:26" x14ac:dyDescent="0.25">
      <c r="W3573" t="str">
        <f>IF(B3573="","",_xll.BDP(B3573,"INDUSTRY_SECTOR"))</f>
        <v/>
      </c>
      <c r="X3573" t="str">
        <f>IF($B3573="","",_xll.BDP($B3573,"INDUSTRY_GROUP"))</f>
        <v/>
      </c>
      <c r="Y3573" t="str">
        <f>IF($B3573="","",_xll.BDP($B3573,"INDUSTRY_SUBGROUP"))</f>
        <v/>
      </c>
      <c r="Z3573" t="str">
        <f>IF($B3573="","",_xll.BDP($B3573,"COUNTRY_FULL_NAME"))</f>
        <v/>
      </c>
    </row>
    <row r="3574" spans="23:26" x14ac:dyDescent="0.25">
      <c r="W3574" t="str">
        <f>IF(B3574="","",_xll.BDP(B3574,"INDUSTRY_SECTOR"))</f>
        <v/>
      </c>
      <c r="X3574" t="str">
        <f>IF($B3574="","",_xll.BDP($B3574,"INDUSTRY_GROUP"))</f>
        <v/>
      </c>
      <c r="Y3574" t="str">
        <f>IF($B3574="","",_xll.BDP($B3574,"INDUSTRY_SUBGROUP"))</f>
        <v/>
      </c>
      <c r="Z3574" t="str">
        <f>IF($B3574="","",_xll.BDP($B3574,"COUNTRY_FULL_NAME"))</f>
        <v/>
      </c>
    </row>
    <row r="3575" spans="23:26" x14ac:dyDescent="0.25">
      <c r="W3575" t="str">
        <f>IF(B3575="","",_xll.BDP(B3575,"INDUSTRY_SECTOR"))</f>
        <v/>
      </c>
      <c r="X3575" t="str">
        <f>IF($B3575="","",_xll.BDP($B3575,"INDUSTRY_GROUP"))</f>
        <v/>
      </c>
      <c r="Y3575" t="str">
        <f>IF($B3575="","",_xll.BDP($B3575,"INDUSTRY_SUBGROUP"))</f>
        <v/>
      </c>
      <c r="Z3575" t="str">
        <f>IF($B3575="","",_xll.BDP($B3575,"COUNTRY_FULL_NAME"))</f>
        <v/>
      </c>
    </row>
    <row r="3576" spans="23:26" x14ac:dyDescent="0.25">
      <c r="W3576" t="str">
        <f>IF(B3576="","",_xll.BDP(B3576,"INDUSTRY_SECTOR"))</f>
        <v/>
      </c>
      <c r="X3576" t="str">
        <f>IF($B3576="","",_xll.BDP($B3576,"INDUSTRY_GROUP"))</f>
        <v/>
      </c>
      <c r="Y3576" t="str">
        <f>IF($B3576="","",_xll.BDP($B3576,"INDUSTRY_SUBGROUP"))</f>
        <v/>
      </c>
      <c r="Z3576" t="str">
        <f>IF($B3576="","",_xll.BDP($B3576,"COUNTRY_FULL_NAME"))</f>
        <v/>
      </c>
    </row>
    <row r="3577" spans="23:26" x14ac:dyDescent="0.25">
      <c r="W3577" t="str">
        <f>IF(B3577="","",_xll.BDP(B3577,"INDUSTRY_SECTOR"))</f>
        <v/>
      </c>
      <c r="X3577" t="str">
        <f>IF($B3577="","",_xll.BDP($B3577,"INDUSTRY_GROUP"))</f>
        <v/>
      </c>
      <c r="Y3577" t="str">
        <f>IF($B3577="","",_xll.BDP($B3577,"INDUSTRY_SUBGROUP"))</f>
        <v/>
      </c>
      <c r="Z3577" t="str">
        <f>IF($B3577="","",_xll.BDP($B3577,"COUNTRY_FULL_NAME"))</f>
        <v/>
      </c>
    </row>
    <row r="3578" spans="23:26" x14ac:dyDescent="0.25">
      <c r="W3578" t="str">
        <f>IF(B3578="","",_xll.BDP(B3578,"INDUSTRY_SECTOR"))</f>
        <v/>
      </c>
      <c r="X3578" t="str">
        <f>IF($B3578="","",_xll.BDP($B3578,"INDUSTRY_GROUP"))</f>
        <v/>
      </c>
      <c r="Y3578" t="str">
        <f>IF($B3578="","",_xll.BDP($B3578,"INDUSTRY_SUBGROUP"))</f>
        <v/>
      </c>
      <c r="Z3578" t="str">
        <f>IF($B3578="","",_xll.BDP($B3578,"COUNTRY_FULL_NAME"))</f>
        <v/>
      </c>
    </row>
    <row r="3579" spans="23:26" x14ac:dyDescent="0.25">
      <c r="W3579" t="str">
        <f>IF(B3579="","",_xll.BDP(B3579,"INDUSTRY_SECTOR"))</f>
        <v/>
      </c>
      <c r="X3579" t="str">
        <f>IF($B3579="","",_xll.BDP($B3579,"INDUSTRY_GROUP"))</f>
        <v/>
      </c>
      <c r="Y3579" t="str">
        <f>IF($B3579="","",_xll.BDP($B3579,"INDUSTRY_SUBGROUP"))</f>
        <v/>
      </c>
      <c r="Z3579" t="str">
        <f>IF($B3579="","",_xll.BDP($B3579,"COUNTRY_FULL_NAME"))</f>
        <v/>
      </c>
    </row>
    <row r="3580" spans="23:26" x14ac:dyDescent="0.25">
      <c r="W3580" t="str">
        <f>IF(B3580="","",_xll.BDP(B3580,"INDUSTRY_SECTOR"))</f>
        <v/>
      </c>
      <c r="X3580" t="str">
        <f>IF($B3580="","",_xll.BDP($B3580,"INDUSTRY_GROUP"))</f>
        <v/>
      </c>
      <c r="Y3580" t="str">
        <f>IF($B3580="","",_xll.BDP($B3580,"INDUSTRY_SUBGROUP"))</f>
        <v/>
      </c>
      <c r="Z3580" t="str">
        <f>IF($B3580="","",_xll.BDP($B3580,"COUNTRY_FULL_NAME"))</f>
        <v/>
      </c>
    </row>
    <row r="3581" spans="23:26" x14ac:dyDescent="0.25">
      <c r="W3581" t="str">
        <f>IF(B3581="","",_xll.BDP(B3581,"INDUSTRY_SECTOR"))</f>
        <v/>
      </c>
      <c r="X3581" t="str">
        <f>IF($B3581="","",_xll.BDP($B3581,"INDUSTRY_GROUP"))</f>
        <v/>
      </c>
      <c r="Y3581" t="str">
        <f>IF($B3581="","",_xll.BDP($B3581,"INDUSTRY_SUBGROUP"))</f>
        <v/>
      </c>
      <c r="Z3581" t="str">
        <f>IF($B3581="","",_xll.BDP($B3581,"COUNTRY_FULL_NAME"))</f>
        <v/>
      </c>
    </row>
    <row r="3582" spans="23:26" x14ac:dyDescent="0.25">
      <c r="W3582" t="str">
        <f>IF(B3582="","",_xll.BDP(B3582,"INDUSTRY_SECTOR"))</f>
        <v/>
      </c>
      <c r="X3582" t="str">
        <f>IF($B3582="","",_xll.BDP($B3582,"INDUSTRY_GROUP"))</f>
        <v/>
      </c>
      <c r="Y3582" t="str">
        <f>IF($B3582="","",_xll.BDP($B3582,"INDUSTRY_SUBGROUP"))</f>
        <v/>
      </c>
      <c r="Z3582" t="str">
        <f>IF($B3582="","",_xll.BDP($B3582,"COUNTRY_FULL_NAME"))</f>
        <v/>
      </c>
    </row>
    <row r="3583" spans="23:26" x14ac:dyDescent="0.25">
      <c r="W3583" t="str">
        <f>IF(B3583="","",_xll.BDP(B3583,"INDUSTRY_SECTOR"))</f>
        <v/>
      </c>
      <c r="X3583" t="str">
        <f>IF($B3583="","",_xll.BDP($B3583,"INDUSTRY_GROUP"))</f>
        <v/>
      </c>
      <c r="Y3583" t="str">
        <f>IF($B3583="","",_xll.BDP($B3583,"INDUSTRY_SUBGROUP"))</f>
        <v/>
      </c>
      <c r="Z3583" t="str">
        <f>IF($B3583="","",_xll.BDP($B3583,"COUNTRY_FULL_NAME"))</f>
        <v/>
      </c>
    </row>
    <row r="3584" spans="23:26" x14ac:dyDescent="0.25">
      <c r="W3584" t="str">
        <f>IF(B3584="","",_xll.BDP(B3584,"INDUSTRY_SECTOR"))</f>
        <v/>
      </c>
      <c r="X3584" t="str">
        <f>IF($B3584="","",_xll.BDP($B3584,"INDUSTRY_GROUP"))</f>
        <v/>
      </c>
      <c r="Y3584" t="str">
        <f>IF($B3584="","",_xll.BDP($B3584,"INDUSTRY_SUBGROUP"))</f>
        <v/>
      </c>
      <c r="Z3584" t="str">
        <f>IF($B3584="","",_xll.BDP($B3584,"COUNTRY_FULL_NAME"))</f>
        <v/>
      </c>
    </row>
    <row r="3585" spans="23:26" x14ac:dyDescent="0.25">
      <c r="W3585" t="str">
        <f>IF(B3585="","",_xll.BDP(B3585,"INDUSTRY_SECTOR"))</f>
        <v/>
      </c>
      <c r="X3585" t="str">
        <f>IF($B3585="","",_xll.BDP($B3585,"INDUSTRY_GROUP"))</f>
        <v/>
      </c>
      <c r="Y3585" t="str">
        <f>IF($B3585="","",_xll.BDP($B3585,"INDUSTRY_SUBGROUP"))</f>
        <v/>
      </c>
      <c r="Z3585" t="str">
        <f>IF($B3585="","",_xll.BDP($B3585,"COUNTRY_FULL_NAME"))</f>
        <v/>
      </c>
    </row>
    <row r="3586" spans="23:26" x14ac:dyDescent="0.25">
      <c r="W3586" t="str">
        <f>IF(B3586="","",_xll.BDP(B3586,"INDUSTRY_SECTOR"))</f>
        <v/>
      </c>
      <c r="X3586" t="str">
        <f>IF($B3586="","",_xll.BDP($B3586,"INDUSTRY_GROUP"))</f>
        <v/>
      </c>
      <c r="Y3586" t="str">
        <f>IF($B3586="","",_xll.BDP($B3586,"INDUSTRY_SUBGROUP"))</f>
        <v/>
      </c>
      <c r="Z3586" t="str">
        <f>IF($B3586="","",_xll.BDP($B3586,"COUNTRY_FULL_NAME"))</f>
        <v/>
      </c>
    </row>
    <row r="3587" spans="23:26" x14ac:dyDescent="0.25">
      <c r="W3587" t="str">
        <f>IF(B3587="","",_xll.BDP(B3587,"INDUSTRY_SECTOR"))</f>
        <v/>
      </c>
      <c r="X3587" t="str">
        <f>IF($B3587="","",_xll.BDP($B3587,"INDUSTRY_GROUP"))</f>
        <v/>
      </c>
      <c r="Y3587" t="str">
        <f>IF($B3587="","",_xll.BDP($B3587,"INDUSTRY_SUBGROUP"))</f>
        <v/>
      </c>
      <c r="Z3587" t="str">
        <f>IF($B3587="","",_xll.BDP($B3587,"COUNTRY_FULL_NAME"))</f>
        <v/>
      </c>
    </row>
    <row r="3588" spans="23:26" x14ac:dyDescent="0.25">
      <c r="W3588" t="str">
        <f>IF(B3588="","",_xll.BDP(B3588,"INDUSTRY_SECTOR"))</f>
        <v/>
      </c>
      <c r="X3588" t="str">
        <f>IF($B3588="","",_xll.BDP($B3588,"INDUSTRY_GROUP"))</f>
        <v/>
      </c>
      <c r="Y3588" t="str">
        <f>IF($B3588="","",_xll.BDP($B3588,"INDUSTRY_SUBGROUP"))</f>
        <v/>
      </c>
      <c r="Z3588" t="str">
        <f>IF($B3588="","",_xll.BDP($B3588,"COUNTRY_FULL_NAME"))</f>
        <v/>
      </c>
    </row>
    <row r="3589" spans="23:26" x14ac:dyDescent="0.25">
      <c r="W3589" t="str">
        <f>IF(B3589="","",_xll.BDP(B3589,"INDUSTRY_SECTOR"))</f>
        <v/>
      </c>
      <c r="X3589" t="str">
        <f>IF($B3589="","",_xll.BDP($B3589,"INDUSTRY_GROUP"))</f>
        <v/>
      </c>
      <c r="Y3589" t="str">
        <f>IF($B3589="","",_xll.BDP($B3589,"INDUSTRY_SUBGROUP"))</f>
        <v/>
      </c>
      <c r="Z3589" t="str">
        <f>IF($B3589="","",_xll.BDP($B3589,"COUNTRY_FULL_NAME"))</f>
        <v/>
      </c>
    </row>
    <row r="3590" spans="23:26" x14ac:dyDescent="0.25">
      <c r="W3590" t="str">
        <f>IF(B3590="","",_xll.BDP(B3590,"INDUSTRY_SECTOR"))</f>
        <v/>
      </c>
      <c r="X3590" t="str">
        <f>IF($B3590="","",_xll.BDP($B3590,"INDUSTRY_GROUP"))</f>
        <v/>
      </c>
      <c r="Y3590" t="str">
        <f>IF($B3590="","",_xll.BDP($B3590,"INDUSTRY_SUBGROUP"))</f>
        <v/>
      </c>
      <c r="Z3590" t="str">
        <f>IF($B3590="","",_xll.BDP($B3590,"COUNTRY_FULL_NAME"))</f>
        <v/>
      </c>
    </row>
    <row r="3591" spans="23:26" x14ac:dyDescent="0.25">
      <c r="W3591" t="str">
        <f>IF(B3591="","",_xll.BDP(B3591,"INDUSTRY_SECTOR"))</f>
        <v/>
      </c>
      <c r="X3591" t="str">
        <f>IF($B3591="","",_xll.BDP($B3591,"INDUSTRY_GROUP"))</f>
        <v/>
      </c>
      <c r="Y3591" t="str">
        <f>IF($B3591="","",_xll.BDP($B3591,"INDUSTRY_SUBGROUP"))</f>
        <v/>
      </c>
      <c r="Z3591" t="str">
        <f>IF($B3591="","",_xll.BDP($B3591,"COUNTRY_FULL_NAME"))</f>
        <v/>
      </c>
    </row>
    <row r="3592" spans="23:26" x14ac:dyDescent="0.25">
      <c r="W3592" t="str">
        <f>IF(B3592="","",_xll.BDP(B3592,"INDUSTRY_SECTOR"))</f>
        <v/>
      </c>
      <c r="X3592" t="str">
        <f>IF($B3592="","",_xll.BDP($B3592,"INDUSTRY_GROUP"))</f>
        <v/>
      </c>
      <c r="Y3592" t="str">
        <f>IF($B3592="","",_xll.BDP($B3592,"INDUSTRY_SUBGROUP"))</f>
        <v/>
      </c>
      <c r="Z3592" t="str">
        <f>IF($B3592="","",_xll.BDP($B3592,"COUNTRY_FULL_NAME"))</f>
        <v/>
      </c>
    </row>
    <row r="3593" spans="23:26" x14ac:dyDescent="0.25">
      <c r="W3593" t="str">
        <f>IF(B3593="","",_xll.BDP(B3593,"INDUSTRY_SECTOR"))</f>
        <v/>
      </c>
      <c r="X3593" t="str">
        <f>IF($B3593="","",_xll.BDP($B3593,"INDUSTRY_GROUP"))</f>
        <v/>
      </c>
      <c r="Y3593" t="str">
        <f>IF($B3593="","",_xll.BDP($B3593,"INDUSTRY_SUBGROUP"))</f>
        <v/>
      </c>
      <c r="Z3593" t="str">
        <f>IF($B3593="","",_xll.BDP($B3593,"COUNTRY_FULL_NAME"))</f>
        <v/>
      </c>
    </row>
    <row r="3594" spans="23:26" x14ac:dyDescent="0.25">
      <c r="W3594" t="str">
        <f>IF(B3594="","",_xll.BDP(B3594,"INDUSTRY_SECTOR"))</f>
        <v/>
      </c>
      <c r="X3594" t="str">
        <f>IF($B3594="","",_xll.BDP($B3594,"INDUSTRY_GROUP"))</f>
        <v/>
      </c>
      <c r="Y3594" t="str">
        <f>IF($B3594="","",_xll.BDP($B3594,"INDUSTRY_SUBGROUP"))</f>
        <v/>
      </c>
      <c r="Z3594" t="str">
        <f>IF($B3594="","",_xll.BDP($B3594,"COUNTRY_FULL_NAME"))</f>
        <v/>
      </c>
    </row>
    <row r="3595" spans="23:26" x14ac:dyDescent="0.25">
      <c r="W3595" t="str">
        <f>IF(B3595="","",_xll.BDP(B3595,"INDUSTRY_SECTOR"))</f>
        <v/>
      </c>
      <c r="X3595" t="str">
        <f>IF($B3595="","",_xll.BDP($B3595,"INDUSTRY_GROUP"))</f>
        <v/>
      </c>
      <c r="Y3595" t="str">
        <f>IF($B3595="","",_xll.BDP($B3595,"INDUSTRY_SUBGROUP"))</f>
        <v/>
      </c>
      <c r="Z3595" t="str">
        <f>IF($B3595="","",_xll.BDP($B3595,"COUNTRY_FULL_NAME"))</f>
        <v/>
      </c>
    </row>
    <row r="3596" spans="23:26" x14ac:dyDescent="0.25">
      <c r="W3596" t="str">
        <f>IF(B3596="","",_xll.BDP(B3596,"INDUSTRY_SECTOR"))</f>
        <v/>
      </c>
      <c r="X3596" t="str">
        <f>IF($B3596="","",_xll.BDP($B3596,"INDUSTRY_GROUP"))</f>
        <v/>
      </c>
      <c r="Y3596" t="str">
        <f>IF($B3596="","",_xll.BDP($B3596,"INDUSTRY_SUBGROUP"))</f>
        <v/>
      </c>
      <c r="Z3596" t="str">
        <f>IF($B3596="","",_xll.BDP($B3596,"COUNTRY_FULL_NAME"))</f>
        <v/>
      </c>
    </row>
    <row r="3597" spans="23:26" x14ac:dyDescent="0.25">
      <c r="W3597" t="str">
        <f>IF(B3597="","",_xll.BDP(B3597,"INDUSTRY_SECTOR"))</f>
        <v/>
      </c>
      <c r="X3597" t="str">
        <f>IF($B3597="","",_xll.BDP($B3597,"INDUSTRY_GROUP"))</f>
        <v/>
      </c>
      <c r="Y3597" t="str">
        <f>IF($B3597="","",_xll.BDP($B3597,"INDUSTRY_SUBGROUP"))</f>
        <v/>
      </c>
      <c r="Z3597" t="str">
        <f>IF($B3597="","",_xll.BDP($B3597,"COUNTRY_FULL_NAME"))</f>
        <v/>
      </c>
    </row>
    <row r="3598" spans="23:26" x14ac:dyDescent="0.25">
      <c r="W3598" t="str">
        <f>IF(B3598="","",_xll.BDP(B3598,"INDUSTRY_SECTOR"))</f>
        <v/>
      </c>
      <c r="X3598" t="str">
        <f>IF($B3598="","",_xll.BDP($B3598,"INDUSTRY_GROUP"))</f>
        <v/>
      </c>
      <c r="Y3598" t="str">
        <f>IF($B3598="","",_xll.BDP($B3598,"INDUSTRY_SUBGROUP"))</f>
        <v/>
      </c>
      <c r="Z3598" t="str">
        <f>IF($B3598="","",_xll.BDP($B3598,"COUNTRY_FULL_NAME"))</f>
        <v/>
      </c>
    </row>
    <row r="3599" spans="23:26" x14ac:dyDescent="0.25">
      <c r="W3599" t="str">
        <f>IF(B3599="","",_xll.BDP(B3599,"INDUSTRY_SECTOR"))</f>
        <v/>
      </c>
      <c r="X3599" t="str">
        <f>IF($B3599="","",_xll.BDP($B3599,"INDUSTRY_GROUP"))</f>
        <v/>
      </c>
      <c r="Y3599" t="str">
        <f>IF($B3599="","",_xll.BDP($B3599,"INDUSTRY_SUBGROUP"))</f>
        <v/>
      </c>
      <c r="Z3599" t="str">
        <f>IF($B3599="","",_xll.BDP($B3599,"COUNTRY_FULL_NAME"))</f>
        <v/>
      </c>
    </row>
    <row r="3600" spans="23:26" x14ac:dyDescent="0.25">
      <c r="W3600" t="str">
        <f>IF(B3600="","",_xll.BDP(B3600,"INDUSTRY_SECTOR"))</f>
        <v/>
      </c>
      <c r="X3600" t="str">
        <f>IF($B3600="","",_xll.BDP($B3600,"INDUSTRY_GROUP"))</f>
        <v/>
      </c>
      <c r="Y3600" t="str">
        <f>IF($B3600="","",_xll.BDP($B3600,"INDUSTRY_SUBGROUP"))</f>
        <v/>
      </c>
      <c r="Z3600" t="str">
        <f>IF($B3600="","",_xll.BDP($B3600,"COUNTRY_FULL_NAME"))</f>
        <v/>
      </c>
    </row>
    <row r="3601" spans="23:26" x14ac:dyDescent="0.25">
      <c r="W3601" t="str">
        <f>IF(B3601="","",_xll.BDP(B3601,"INDUSTRY_SECTOR"))</f>
        <v/>
      </c>
      <c r="X3601" t="str">
        <f>IF($B3601="","",_xll.BDP($B3601,"INDUSTRY_GROUP"))</f>
        <v/>
      </c>
      <c r="Y3601" t="str">
        <f>IF($B3601="","",_xll.BDP($B3601,"INDUSTRY_SUBGROUP"))</f>
        <v/>
      </c>
      <c r="Z3601" t="str">
        <f>IF($B3601="","",_xll.BDP($B3601,"COUNTRY_FULL_NAME"))</f>
        <v/>
      </c>
    </row>
    <row r="3602" spans="23:26" x14ac:dyDescent="0.25">
      <c r="W3602" t="str">
        <f>IF(B3602="","",_xll.BDP(B3602,"INDUSTRY_SECTOR"))</f>
        <v/>
      </c>
      <c r="X3602" t="str">
        <f>IF($B3602="","",_xll.BDP($B3602,"INDUSTRY_GROUP"))</f>
        <v/>
      </c>
      <c r="Y3602" t="str">
        <f>IF($B3602="","",_xll.BDP($B3602,"INDUSTRY_SUBGROUP"))</f>
        <v/>
      </c>
      <c r="Z3602" t="str">
        <f>IF($B3602="","",_xll.BDP($B3602,"COUNTRY_FULL_NAME"))</f>
        <v/>
      </c>
    </row>
    <row r="3603" spans="23:26" x14ac:dyDescent="0.25">
      <c r="W3603" t="str">
        <f>IF(B3603="","",_xll.BDP(B3603,"INDUSTRY_SECTOR"))</f>
        <v/>
      </c>
      <c r="X3603" t="str">
        <f>IF($B3603="","",_xll.BDP($B3603,"INDUSTRY_GROUP"))</f>
        <v/>
      </c>
      <c r="Y3603" t="str">
        <f>IF($B3603="","",_xll.BDP($B3603,"INDUSTRY_SUBGROUP"))</f>
        <v/>
      </c>
      <c r="Z3603" t="str">
        <f>IF($B3603="","",_xll.BDP($B3603,"COUNTRY_FULL_NAME"))</f>
        <v/>
      </c>
    </row>
    <row r="3604" spans="23:26" x14ac:dyDescent="0.25">
      <c r="W3604" t="str">
        <f>IF(B3604="","",_xll.BDP(B3604,"INDUSTRY_SECTOR"))</f>
        <v/>
      </c>
      <c r="X3604" t="str">
        <f>IF($B3604="","",_xll.BDP($B3604,"INDUSTRY_GROUP"))</f>
        <v/>
      </c>
      <c r="Y3604" t="str">
        <f>IF($B3604="","",_xll.BDP($B3604,"INDUSTRY_SUBGROUP"))</f>
        <v/>
      </c>
      <c r="Z3604" t="str">
        <f>IF($B3604="","",_xll.BDP($B3604,"COUNTRY_FULL_NAME"))</f>
        <v/>
      </c>
    </row>
    <row r="3605" spans="23:26" x14ac:dyDescent="0.25">
      <c r="W3605" t="str">
        <f>IF(B3605="","",_xll.BDP(B3605,"INDUSTRY_SECTOR"))</f>
        <v/>
      </c>
      <c r="X3605" t="str">
        <f>IF($B3605="","",_xll.BDP($B3605,"INDUSTRY_GROUP"))</f>
        <v/>
      </c>
      <c r="Y3605" t="str">
        <f>IF($B3605="","",_xll.BDP($B3605,"INDUSTRY_SUBGROUP"))</f>
        <v/>
      </c>
      <c r="Z3605" t="str">
        <f>IF($B3605="","",_xll.BDP($B3605,"COUNTRY_FULL_NAME"))</f>
        <v/>
      </c>
    </row>
    <row r="3606" spans="23:26" x14ac:dyDescent="0.25">
      <c r="W3606" t="str">
        <f>IF(B3606="","",_xll.BDP(B3606,"INDUSTRY_SECTOR"))</f>
        <v/>
      </c>
      <c r="X3606" t="str">
        <f>IF($B3606="","",_xll.BDP($B3606,"INDUSTRY_GROUP"))</f>
        <v/>
      </c>
      <c r="Y3606" t="str">
        <f>IF($B3606="","",_xll.BDP($B3606,"INDUSTRY_SUBGROUP"))</f>
        <v/>
      </c>
      <c r="Z3606" t="str">
        <f>IF($B3606="","",_xll.BDP($B3606,"COUNTRY_FULL_NAME"))</f>
        <v/>
      </c>
    </row>
    <row r="3607" spans="23:26" x14ac:dyDescent="0.25">
      <c r="W3607" t="str">
        <f>IF(B3607="","",_xll.BDP(B3607,"INDUSTRY_SECTOR"))</f>
        <v/>
      </c>
      <c r="X3607" t="str">
        <f>IF($B3607="","",_xll.BDP($B3607,"INDUSTRY_GROUP"))</f>
        <v/>
      </c>
      <c r="Y3607" t="str">
        <f>IF($B3607="","",_xll.BDP($B3607,"INDUSTRY_SUBGROUP"))</f>
        <v/>
      </c>
      <c r="Z3607" t="str">
        <f>IF($B3607="","",_xll.BDP($B3607,"COUNTRY_FULL_NAME"))</f>
        <v/>
      </c>
    </row>
    <row r="3608" spans="23:26" x14ac:dyDescent="0.25">
      <c r="W3608" t="str">
        <f>IF(B3608="","",_xll.BDP(B3608,"INDUSTRY_SECTOR"))</f>
        <v/>
      </c>
      <c r="X3608" t="str">
        <f>IF($B3608="","",_xll.BDP($B3608,"INDUSTRY_GROUP"))</f>
        <v/>
      </c>
      <c r="Y3608" t="str">
        <f>IF($B3608="","",_xll.BDP($B3608,"INDUSTRY_SUBGROUP"))</f>
        <v/>
      </c>
      <c r="Z3608" t="str">
        <f>IF($B3608="","",_xll.BDP($B3608,"COUNTRY_FULL_NAME"))</f>
        <v/>
      </c>
    </row>
    <row r="3609" spans="23:26" x14ac:dyDescent="0.25">
      <c r="W3609" t="str">
        <f>IF(B3609="","",_xll.BDP(B3609,"INDUSTRY_SECTOR"))</f>
        <v/>
      </c>
      <c r="X3609" t="str">
        <f>IF($B3609="","",_xll.BDP($B3609,"INDUSTRY_GROUP"))</f>
        <v/>
      </c>
      <c r="Y3609" t="str">
        <f>IF($B3609="","",_xll.BDP($B3609,"INDUSTRY_SUBGROUP"))</f>
        <v/>
      </c>
      <c r="Z3609" t="str">
        <f>IF($B3609="","",_xll.BDP($B3609,"COUNTRY_FULL_NAME"))</f>
        <v/>
      </c>
    </row>
    <row r="3610" spans="23:26" x14ac:dyDescent="0.25">
      <c r="W3610" t="str">
        <f>IF(B3610="","",_xll.BDP(B3610,"INDUSTRY_SECTOR"))</f>
        <v/>
      </c>
      <c r="X3610" t="str">
        <f>IF($B3610="","",_xll.BDP($B3610,"INDUSTRY_GROUP"))</f>
        <v/>
      </c>
      <c r="Y3610" t="str">
        <f>IF($B3610="","",_xll.BDP($B3610,"INDUSTRY_SUBGROUP"))</f>
        <v/>
      </c>
      <c r="Z3610" t="str">
        <f>IF($B3610="","",_xll.BDP($B3610,"COUNTRY_FULL_NAME"))</f>
        <v/>
      </c>
    </row>
    <row r="3611" spans="23:26" x14ac:dyDescent="0.25">
      <c r="W3611" t="str">
        <f>IF(B3611="","",_xll.BDP(B3611,"INDUSTRY_SECTOR"))</f>
        <v/>
      </c>
      <c r="X3611" t="str">
        <f>IF($B3611="","",_xll.BDP($B3611,"INDUSTRY_GROUP"))</f>
        <v/>
      </c>
      <c r="Y3611" t="str">
        <f>IF($B3611="","",_xll.BDP($B3611,"INDUSTRY_SUBGROUP"))</f>
        <v/>
      </c>
      <c r="Z3611" t="str">
        <f>IF($B3611="","",_xll.BDP($B3611,"COUNTRY_FULL_NAME"))</f>
        <v/>
      </c>
    </row>
    <row r="3612" spans="23:26" x14ac:dyDescent="0.25">
      <c r="W3612" t="str">
        <f>IF(B3612="","",_xll.BDP(B3612,"INDUSTRY_SECTOR"))</f>
        <v/>
      </c>
      <c r="X3612" t="str">
        <f>IF($B3612="","",_xll.BDP($B3612,"INDUSTRY_GROUP"))</f>
        <v/>
      </c>
      <c r="Y3612" t="str">
        <f>IF($B3612="","",_xll.BDP($B3612,"INDUSTRY_SUBGROUP"))</f>
        <v/>
      </c>
      <c r="Z3612" t="str">
        <f>IF($B3612="","",_xll.BDP($B3612,"COUNTRY_FULL_NAME"))</f>
        <v/>
      </c>
    </row>
    <row r="3613" spans="23:26" x14ac:dyDescent="0.25">
      <c r="W3613" t="str">
        <f>IF(B3613="","",_xll.BDP(B3613,"INDUSTRY_SECTOR"))</f>
        <v/>
      </c>
      <c r="X3613" t="str">
        <f>IF($B3613="","",_xll.BDP($B3613,"INDUSTRY_GROUP"))</f>
        <v/>
      </c>
      <c r="Y3613" t="str">
        <f>IF($B3613="","",_xll.BDP($B3613,"INDUSTRY_SUBGROUP"))</f>
        <v/>
      </c>
      <c r="Z3613" t="str">
        <f>IF($B3613="","",_xll.BDP($B3613,"COUNTRY_FULL_NAME"))</f>
        <v/>
      </c>
    </row>
    <row r="3614" spans="23:26" x14ac:dyDescent="0.25">
      <c r="W3614" t="str">
        <f>IF(B3614="","",_xll.BDP(B3614,"INDUSTRY_SECTOR"))</f>
        <v/>
      </c>
      <c r="X3614" t="str">
        <f>IF($B3614="","",_xll.BDP($B3614,"INDUSTRY_GROUP"))</f>
        <v/>
      </c>
      <c r="Y3614" t="str">
        <f>IF($B3614="","",_xll.BDP($B3614,"INDUSTRY_SUBGROUP"))</f>
        <v/>
      </c>
      <c r="Z3614" t="str">
        <f>IF($B3614="","",_xll.BDP($B3614,"COUNTRY_FULL_NAME"))</f>
        <v/>
      </c>
    </row>
    <row r="3615" spans="23:26" x14ac:dyDescent="0.25">
      <c r="W3615" t="str">
        <f>IF(B3615="","",_xll.BDP(B3615,"INDUSTRY_SECTOR"))</f>
        <v/>
      </c>
      <c r="X3615" t="str">
        <f>IF($B3615="","",_xll.BDP($B3615,"INDUSTRY_GROUP"))</f>
        <v/>
      </c>
      <c r="Y3615" t="str">
        <f>IF($B3615="","",_xll.BDP($B3615,"INDUSTRY_SUBGROUP"))</f>
        <v/>
      </c>
      <c r="Z3615" t="str">
        <f>IF($B3615="","",_xll.BDP($B3615,"COUNTRY_FULL_NAME"))</f>
        <v/>
      </c>
    </row>
    <row r="3616" spans="23:26" x14ac:dyDescent="0.25">
      <c r="W3616" t="str">
        <f>IF(B3616="","",_xll.BDP(B3616,"INDUSTRY_SECTOR"))</f>
        <v/>
      </c>
      <c r="X3616" t="str">
        <f>IF($B3616="","",_xll.BDP($B3616,"INDUSTRY_GROUP"))</f>
        <v/>
      </c>
      <c r="Y3616" t="str">
        <f>IF($B3616="","",_xll.BDP($B3616,"INDUSTRY_SUBGROUP"))</f>
        <v/>
      </c>
      <c r="Z3616" t="str">
        <f>IF($B3616="","",_xll.BDP($B3616,"COUNTRY_FULL_NAME"))</f>
        <v/>
      </c>
    </row>
    <row r="3617" spans="23:26" x14ac:dyDescent="0.25">
      <c r="W3617" t="str">
        <f>IF(B3617="","",_xll.BDP(B3617,"INDUSTRY_SECTOR"))</f>
        <v/>
      </c>
      <c r="X3617" t="str">
        <f>IF($B3617="","",_xll.BDP($B3617,"INDUSTRY_GROUP"))</f>
        <v/>
      </c>
      <c r="Y3617" t="str">
        <f>IF($B3617="","",_xll.BDP($B3617,"INDUSTRY_SUBGROUP"))</f>
        <v/>
      </c>
      <c r="Z3617" t="str">
        <f>IF($B3617="","",_xll.BDP($B3617,"COUNTRY_FULL_NAME"))</f>
        <v/>
      </c>
    </row>
    <row r="3618" spans="23:26" x14ac:dyDescent="0.25">
      <c r="W3618" t="str">
        <f>IF(B3618="","",_xll.BDP(B3618,"INDUSTRY_SECTOR"))</f>
        <v/>
      </c>
      <c r="X3618" t="str">
        <f>IF($B3618="","",_xll.BDP($B3618,"INDUSTRY_GROUP"))</f>
        <v/>
      </c>
      <c r="Y3618" t="str">
        <f>IF($B3618="","",_xll.BDP($B3618,"INDUSTRY_SUBGROUP"))</f>
        <v/>
      </c>
      <c r="Z3618" t="str">
        <f>IF($B3618="","",_xll.BDP($B3618,"COUNTRY_FULL_NAME"))</f>
        <v/>
      </c>
    </row>
    <row r="3619" spans="23:26" x14ac:dyDescent="0.25">
      <c r="W3619" t="str">
        <f>IF(B3619="","",_xll.BDP(B3619,"INDUSTRY_SECTOR"))</f>
        <v/>
      </c>
      <c r="X3619" t="str">
        <f>IF($B3619="","",_xll.BDP($B3619,"INDUSTRY_GROUP"))</f>
        <v/>
      </c>
      <c r="Y3619" t="str">
        <f>IF($B3619="","",_xll.BDP($B3619,"INDUSTRY_SUBGROUP"))</f>
        <v/>
      </c>
      <c r="Z3619" t="str">
        <f>IF($B3619="","",_xll.BDP($B3619,"COUNTRY_FULL_NAME"))</f>
        <v/>
      </c>
    </row>
    <row r="3620" spans="23:26" x14ac:dyDescent="0.25">
      <c r="W3620" t="str">
        <f>IF(B3620="","",_xll.BDP(B3620,"INDUSTRY_SECTOR"))</f>
        <v/>
      </c>
      <c r="X3620" t="str">
        <f>IF($B3620="","",_xll.BDP($B3620,"INDUSTRY_GROUP"))</f>
        <v/>
      </c>
      <c r="Y3620" t="str">
        <f>IF($B3620="","",_xll.BDP($B3620,"INDUSTRY_SUBGROUP"))</f>
        <v/>
      </c>
      <c r="Z3620" t="str">
        <f>IF($B3620="","",_xll.BDP($B3620,"COUNTRY_FULL_NAME"))</f>
        <v/>
      </c>
    </row>
    <row r="3621" spans="23:26" x14ac:dyDescent="0.25">
      <c r="W3621" t="str">
        <f>IF(B3621="","",_xll.BDP(B3621,"INDUSTRY_SECTOR"))</f>
        <v/>
      </c>
      <c r="X3621" t="str">
        <f>IF($B3621="","",_xll.BDP($B3621,"INDUSTRY_GROUP"))</f>
        <v/>
      </c>
      <c r="Y3621" t="str">
        <f>IF($B3621="","",_xll.BDP($B3621,"INDUSTRY_SUBGROUP"))</f>
        <v/>
      </c>
      <c r="Z3621" t="str">
        <f>IF($B3621="","",_xll.BDP($B3621,"COUNTRY_FULL_NAME"))</f>
        <v/>
      </c>
    </row>
    <row r="3622" spans="23:26" x14ac:dyDescent="0.25">
      <c r="W3622" t="str">
        <f>IF(B3622="","",_xll.BDP(B3622,"INDUSTRY_SECTOR"))</f>
        <v/>
      </c>
      <c r="X3622" t="str">
        <f>IF($B3622="","",_xll.BDP($B3622,"INDUSTRY_GROUP"))</f>
        <v/>
      </c>
      <c r="Y3622" t="str">
        <f>IF($B3622="","",_xll.BDP($B3622,"INDUSTRY_SUBGROUP"))</f>
        <v/>
      </c>
      <c r="Z3622" t="str">
        <f>IF($B3622="","",_xll.BDP($B3622,"COUNTRY_FULL_NAME"))</f>
        <v/>
      </c>
    </row>
    <row r="3623" spans="23:26" x14ac:dyDescent="0.25">
      <c r="W3623" t="str">
        <f>IF(B3623="","",_xll.BDP(B3623,"INDUSTRY_SECTOR"))</f>
        <v/>
      </c>
      <c r="X3623" t="str">
        <f>IF($B3623="","",_xll.BDP($B3623,"INDUSTRY_GROUP"))</f>
        <v/>
      </c>
      <c r="Y3623" t="str">
        <f>IF($B3623="","",_xll.BDP($B3623,"INDUSTRY_SUBGROUP"))</f>
        <v/>
      </c>
      <c r="Z3623" t="str">
        <f>IF($B3623="","",_xll.BDP($B3623,"COUNTRY_FULL_NAME"))</f>
        <v/>
      </c>
    </row>
    <row r="3624" spans="23:26" x14ac:dyDescent="0.25">
      <c r="W3624" t="str">
        <f>IF(B3624="","",_xll.BDP(B3624,"INDUSTRY_SECTOR"))</f>
        <v/>
      </c>
      <c r="X3624" t="str">
        <f>IF($B3624="","",_xll.BDP($B3624,"INDUSTRY_GROUP"))</f>
        <v/>
      </c>
      <c r="Y3624" t="str">
        <f>IF($B3624="","",_xll.BDP($B3624,"INDUSTRY_SUBGROUP"))</f>
        <v/>
      </c>
      <c r="Z3624" t="str">
        <f>IF($B3624="","",_xll.BDP($B3624,"COUNTRY_FULL_NAME"))</f>
        <v/>
      </c>
    </row>
    <row r="3625" spans="23:26" x14ac:dyDescent="0.25">
      <c r="W3625" t="str">
        <f>IF(B3625="","",_xll.BDP(B3625,"INDUSTRY_SECTOR"))</f>
        <v/>
      </c>
      <c r="X3625" t="str">
        <f>IF($B3625="","",_xll.BDP($B3625,"INDUSTRY_GROUP"))</f>
        <v/>
      </c>
      <c r="Y3625" t="str">
        <f>IF($B3625="","",_xll.BDP($B3625,"INDUSTRY_SUBGROUP"))</f>
        <v/>
      </c>
      <c r="Z3625" t="str">
        <f>IF($B3625="","",_xll.BDP($B3625,"COUNTRY_FULL_NAME"))</f>
        <v/>
      </c>
    </row>
    <row r="3626" spans="23:26" x14ac:dyDescent="0.25">
      <c r="W3626" t="str">
        <f>IF(B3626="","",_xll.BDP(B3626,"INDUSTRY_SECTOR"))</f>
        <v/>
      </c>
      <c r="X3626" t="str">
        <f>IF($B3626="","",_xll.BDP($B3626,"INDUSTRY_GROUP"))</f>
        <v/>
      </c>
      <c r="Y3626" t="str">
        <f>IF($B3626="","",_xll.BDP($B3626,"INDUSTRY_SUBGROUP"))</f>
        <v/>
      </c>
      <c r="Z3626" t="str">
        <f>IF($B3626="","",_xll.BDP($B3626,"COUNTRY_FULL_NAME"))</f>
        <v/>
      </c>
    </row>
    <row r="3627" spans="23:26" x14ac:dyDescent="0.25">
      <c r="W3627" t="str">
        <f>IF(B3627="","",_xll.BDP(B3627,"INDUSTRY_SECTOR"))</f>
        <v/>
      </c>
      <c r="X3627" t="str">
        <f>IF($B3627="","",_xll.BDP($B3627,"INDUSTRY_GROUP"))</f>
        <v/>
      </c>
      <c r="Y3627" t="str">
        <f>IF($B3627="","",_xll.BDP($B3627,"INDUSTRY_SUBGROUP"))</f>
        <v/>
      </c>
      <c r="Z3627" t="str">
        <f>IF($B3627="","",_xll.BDP($B3627,"COUNTRY_FULL_NAME"))</f>
        <v/>
      </c>
    </row>
    <row r="3628" spans="23:26" x14ac:dyDescent="0.25">
      <c r="W3628" t="str">
        <f>IF(B3628="","",_xll.BDP(B3628,"INDUSTRY_SECTOR"))</f>
        <v/>
      </c>
      <c r="X3628" t="str">
        <f>IF($B3628="","",_xll.BDP($B3628,"INDUSTRY_GROUP"))</f>
        <v/>
      </c>
      <c r="Y3628" t="str">
        <f>IF($B3628="","",_xll.BDP($B3628,"INDUSTRY_SUBGROUP"))</f>
        <v/>
      </c>
      <c r="Z3628" t="str">
        <f>IF($B3628="","",_xll.BDP($B3628,"COUNTRY_FULL_NAME"))</f>
        <v/>
      </c>
    </row>
    <row r="3629" spans="23:26" x14ac:dyDescent="0.25">
      <c r="W3629" t="str">
        <f>IF(B3629="","",_xll.BDP(B3629,"INDUSTRY_SECTOR"))</f>
        <v/>
      </c>
      <c r="X3629" t="str">
        <f>IF($B3629="","",_xll.BDP($B3629,"INDUSTRY_GROUP"))</f>
        <v/>
      </c>
      <c r="Y3629" t="str">
        <f>IF($B3629="","",_xll.BDP($B3629,"INDUSTRY_SUBGROUP"))</f>
        <v/>
      </c>
      <c r="Z3629" t="str">
        <f>IF($B3629="","",_xll.BDP($B3629,"COUNTRY_FULL_NAME"))</f>
        <v/>
      </c>
    </row>
    <row r="3630" spans="23:26" x14ac:dyDescent="0.25">
      <c r="W3630" t="str">
        <f>IF(B3630="","",_xll.BDP(B3630,"INDUSTRY_SECTOR"))</f>
        <v/>
      </c>
      <c r="X3630" t="str">
        <f>IF($B3630="","",_xll.BDP($B3630,"INDUSTRY_GROUP"))</f>
        <v/>
      </c>
      <c r="Y3630" t="str">
        <f>IF($B3630="","",_xll.BDP($B3630,"INDUSTRY_SUBGROUP"))</f>
        <v/>
      </c>
      <c r="Z3630" t="str">
        <f>IF($B3630="","",_xll.BDP($B3630,"COUNTRY_FULL_NAME"))</f>
        <v/>
      </c>
    </row>
    <row r="3631" spans="23:26" x14ac:dyDescent="0.25">
      <c r="W3631" t="str">
        <f>IF(B3631="","",_xll.BDP(B3631,"INDUSTRY_SECTOR"))</f>
        <v/>
      </c>
      <c r="X3631" t="str">
        <f>IF($B3631="","",_xll.BDP($B3631,"INDUSTRY_GROUP"))</f>
        <v/>
      </c>
      <c r="Y3631" t="str">
        <f>IF($B3631="","",_xll.BDP($B3631,"INDUSTRY_SUBGROUP"))</f>
        <v/>
      </c>
      <c r="Z3631" t="str">
        <f>IF($B3631="","",_xll.BDP($B3631,"COUNTRY_FULL_NAME"))</f>
        <v/>
      </c>
    </row>
    <row r="3632" spans="23:26" x14ac:dyDescent="0.25">
      <c r="W3632" t="str">
        <f>IF(B3632="","",_xll.BDP(B3632,"INDUSTRY_SECTOR"))</f>
        <v/>
      </c>
      <c r="X3632" t="str">
        <f>IF($B3632="","",_xll.BDP($B3632,"INDUSTRY_GROUP"))</f>
        <v/>
      </c>
      <c r="Y3632" t="str">
        <f>IF($B3632="","",_xll.BDP($B3632,"INDUSTRY_SUBGROUP"))</f>
        <v/>
      </c>
      <c r="Z3632" t="str">
        <f>IF($B3632="","",_xll.BDP($B3632,"COUNTRY_FULL_NAME"))</f>
        <v/>
      </c>
    </row>
    <row r="3633" spans="23:26" x14ac:dyDescent="0.25">
      <c r="W3633" t="str">
        <f>IF(B3633="","",_xll.BDP(B3633,"INDUSTRY_SECTOR"))</f>
        <v/>
      </c>
      <c r="X3633" t="str">
        <f>IF($B3633="","",_xll.BDP($B3633,"INDUSTRY_GROUP"))</f>
        <v/>
      </c>
      <c r="Y3633" t="str">
        <f>IF($B3633="","",_xll.BDP($B3633,"INDUSTRY_SUBGROUP"))</f>
        <v/>
      </c>
      <c r="Z3633" t="str">
        <f>IF($B3633="","",_xll.BDP($B3633,"COUNTRY_FULL_NAME"))</f>
        <v/>
      </c>
    </row>
    <row r="3634" spans="23:26" x14ac:dyDescent="0.25">
      <c r="W3634" t="str">
        <f>IF(B3634="","",_xll.BDP(B3634,"INDUSTRY_SECTOR"))</f>
        <v/>
      </c>
      <c r="X3634" t="str">
        <f>IF($B3634="","",_xll.BDP($B3634,"INDUSTRY_GROUP"))</f>
        <v/>
      </c>
      <c r="Y3634" t="str">
        <f>IF($B3634="","",_xll.BDP($B3634,"INDUSTRY_SUBGROUP"))</f>
        <v/>
      </c>
      <c r="Z3634" t="str">
        <f>IF($B3634="","",_xll.BDP($B3634,"COUNTRY_FULL_NAME"))</f>
        <v/>
      </c>
    </row>
    <row r="3635" spans="23:26" x14ac:dyDescent="0.25">
      <c r="W3635" t="str">
        <f>IF(B3635="","",_xll.BDP(B3635,"INDUSTRY_SECTOR"))</f>
        <v/>
      </c>
      <c r="X3635" t="str">
        <f>IF($B3635="","",_xll.BDP($B3635,"INDUSTRY_GROUP"))</f>
        <v/>
      </c>
      <c r="Y3635" t="str">
        <f>IF($B3635="","",_xll.BDP($B3635,"INDUSTRY_SUBGROUP"))</f>
        <v/>
      </c>
      <c r="Z3635" t="str">
        <f>IF($B3635="","",_xll.BDP($B3635,"COUNTRY_FULL_NAME"))</f>
        <v/>
      </c>
    </row>
    <row r="3636" spans="23:26" x14ac:dyDescent="0.25">
      <c r="W3636" t="str">
        <f>IF(B3636="","",_xll.BDP(B3636,"INDUSTRY_SECTOR"))</f>
        <v/>
      </c>
      <c r="X3636" t="str">
        <f>IF($B3636="","",_xll.BDP($B3636,"INDUSTRY_GROUP"))</f>
        <v/>
      </c>
      <c r="Y3636" t="str">
        <f>IF($B3636="","",_xll.BDP($B3636,"INDUSTRY_SUBGROUP"))</f>
        <v/>
      </c>
      <c r="Z3636" t="str">
        <f>IF($B3636="","",_xll.BDP($B3636,"COUNTRY_FULL_NAME"))</f>
        <v/>
      </c>
    </row>
    <row r="3637" spans="23:26" x14ac:dyDescent="0.25">
      <c r="W3637" t="str">
        <f>IF(B3637="","",_xll.BDP(B3637,"INDUSTRY_SECTOR"))</f>
        <v/>
      </c>
      <c r="X3637" t="str">
        <f>IF($B3637="","",_xll.BDP($B3637,"INDUSTRY_GROUP"))</f>
        <v/>
      </c>
      <c r="Y3637" t="str">
        <f>IF($B3637="","",_xll.BDP($B3637,"INDUSTRY_SUBGROUP"))</f>
        <v/>
      </c>
      <c r="Z3637" t="str">
        <f>IF($B3637="","",_xll.BDP($B3637,"COUNTRY_FULL_NAME"))</f>
        <v/>
      </c>
    </row>
    <row r="3638" spans="23:26" x14ac:dyDescent="0.25">
      <c r="W3638" t="str">
        <f>IF(B3638="","",_xll.BDP(B3638,"INDUSTRY_SECTOR"))</f>
        <v/>
      </c>
      <c r="X3638" t="str">
        <f>IF($B3638="","",_xll.BDP($B3638,"INDUSTRY_GROUP"))</f>
        <v/>
      </c>
      <c r="Y3638" t="str">
        <f>IF($B3638="","",_xll.BDP($B3638,"INDUSTRY_SUBGROUP"))</f>
        <v/>
      </c>
      <c r="Z3638" t="str">
        <f>IF($B3638="","",_xll.BDP($B3638,"COUNTRY_FULL_NAME"))</f>
        <v/>
      </c>
    </row>
    <row r="3639" spans="23:26" x14ac:dyDescent="0.25">
      <c r="W3639" t="str">
        <f>IF(B3639="","",_xll.BDP(B3639,"INDUSTRY_SECTOR"))</f>
        <v/>
      </c>
      <c r="X3639" t="str">
        <f>IF($B3639="","",_xll.BDP($B3639,"INDUSTRY_GROUP"))</f>
        <v/>
      </c>
      <c r="Y3639" t="str">
        <f>IF($B3639="","",_xll.BDP($B3639,"INDUSTRY_SUBGROUP"))</f>
        <v/>
      </c>
      <c r="Z3639" t="str">
        <f>IF($B3639="","",_xll.BDP($B3639,"COUNTRY_FULL_NAME"))</f>
        <v/>
      </c>
    </row>
    <row r="3640" spans="23:26" x14ac:dyDescent="0.25">
      <c r="W3640" t="str">
        <f>IF(B3640="","",_xll.BDP(B3640,"INDUSTRY_SECTOR"))</f>
        <v/>
      </c>
      <c r="X3640" t="str">
        <f>IF($B3640="","",_xll.BDP($B3640,"INDUSTRY_GROUP"))</f>
        <v/>
      </c>
      <c r="Y3640" t="str">
        <f>IF($B3640="","",_xll.BDP($B3640,"INDUSTRY_SUBGROUP"))</f>
        <v/>
      </c>
      <c r="Z3640" t="str">
        <f>IF($B3640="","",_xll.BDP($B3640,"COUNTRY_FULL_NAME"))</f>
        <v/>
      </c>
    </row>
    <row r="3641" spans="23:26" x14ac:dyDescent="0.25">
      <c r="W3641" t="str">
        <f>IF(B3641="","",_xll.BDP(B3641,"INDUSTRY_SECTOR"))</f>
        <v/>
      </c>
      <c r="X3641" t="str">
        <f>IF($B3641="","",_xll.BDP($B3641,"INDUSTRY_GROUP"))</f>
        <v/>
      </c>
      <c r="Y3641" t="str">
        <f>IF($B3641="","",_xll.BDP($B3641,"INDUSTRY_SUBGROUP"))</f>
        <v/>
      </c>
      <c r="Z3641" t="str">
        <f>IF($B3641="","",_xll.BDP($B3641,"COUNTRY_FULL_NAME"))</f>
        <v/>
      </c>
    </row>
    <row r="3642" spans="23:26" x14ac:dyDescent="0.25">
      <c r="W3642" t="str">
        <f>IF(B3642="","",_xll.BDP(B3642,"INDUSTRY_SECTOR"))</f>
        <v/>
      </c>
      <c r="X3642" t="str">
        <f>IF($B3642="","",_xll.BDP($B3642,"INDUSTRY_GROUP"))</f>
        <v/>
      </c>
      <c r="Y3642" t="str">
        <f>IF($B3642="","",_xll.BDP($B3642,"INDUSTRY_SUBGROUP"))</f>
        <v/>
      </c>
      <c r="Z3642" t="str">
        <f>IF($B3642="","",_xll.BDP($B3642,"COUNTRY_FULL_NAME"))</f>
        <v/>
      </c>
    </row>
    <row r="3643" spans="23:26" x14ac:dyDescent="0.25">
      <c r="W3643" t="str">
        <f>IF(B3643="","",_xll.BDP(B3643,"INDUSTRY_SECTOR"))</f>
        <v/>
      </c>
      <c r="X3643" t="str">
        <f>IF($B3643="","",_xll.BDP($B3643,"INDUSTRY_GROUP"))</f>
        <v/>
      </c>
      <c r="Y3643" t="str">
        <f>IF($B3643="","",_xll.BDP($B3643,"INDUSTRY_SUBGROUP"))</f>
        <v/>
      </c>
      <c r="Z3643" t="str">
        <f>IF($B3643="","",_xll.BDP($B3643,"COUNTRY_FULL_NAME"))</f>
        <v/>
      </c>
    </row>
    <row r="3644" spans="23:26" x14ac:dyDescent="0.25">
      <c r="W3644" t="str">
        <f>IF(B3644="","",_xll.BDP(B3644,"INDUSTRY_SECTOR"))</f>
        <v/>
      </c>
      <c r="X3644" t="str">
        <f>IF($B3644="","",_xll.BDP($B3644,"INDUSTRY_GROUP"))</f>
        <v/>
      </c>
      <c r="Y3644" t="str">
        <f>IF($B3644="","",_xll.BDP($B3644,"INDUSTRY_SUBGROUP"))</f>
        <v/>
      </c>
      <c r="Z3644" t="str">
        <f>IF($B3644="","",_xll.BDP($B3644,"COUNTRY_FULL_NAME"))</f>
        <v/>
      </c>
    </row>
    <row r="3645" spans="23:26" x14ac:dyDescent="0.25">
      <c r="W3645" t="str">
        <f>IF(B3645="","",_xll.BDP(B3645,"INDUSTRY_SECTOR"))</f>
        <v/>
      </c>
      <c r="X3645" t="str">
        <f>IF($B3645="","",_xll.BDP($B3645,"INDUSTRY_GROUP"))</f>
        <v/>
      </c>
      <c r="Y3645" t="str">
        <f>IF($B3645="","",_xll.BDP($B3645,"INDUSTRY_SUBGROUP"))</f>
        <v/>
      </c>
      <c r="Z3645" t="str">
        <f>IF($B3645="","",_xll.BDP($B3645,"COUNTRY_FULL_NAME"))</f>
        <v/>
      </c>
    </row>
    <row r="3646" spans="23:26" x14ac:dyDescent="0.25">
      <c r="W3646" t="str">
        <f>IF(B3646="","",_xll.BDP(B3646,"INDUSTRY_SECTOR"))</f>
        <v/>
      </c>
      <c r="X3646" t="str">
        <f>IF($B3646="","",_xll.BDP($B3646,"INDUSTRY_GROUP"))</f>
        <v/>
      </c>
      <c r="Y3646" t="str">
        <f>IF($B3646="","",_xll.BDP($B3646,"INDUSTRY_SUBGROUP"))</f>
        <v/>
      </c>
      <c r="Z3646" t="str">
        <f>IF($B3646="","",_xll.BDP($B3646,"COUNTRY_FULL_NAME"))</f>
        <v/>
      </c>
    </row>
    <row r="3647" spans="23:26" x14ac:dyDescent="0.25">
      <c r="W3647" t="str">
        <f>IF(B3647="","",_xll.BDP(B3647,"INDUSTRY_SECTOR"))</f>
        <v/>
      </c>
      <c r="X3647" t="str">
        <f>IF($B3647="","",_xll.BDP($B3647,"INDUSTRY_GROUP"))</f>
        <v/>
      </c>
      <c r="Y3647" t="str">
        <f>IF($B3647="","",_xll.BDP($B3647,"INDUSTRY_SUBGROUP"))</f>
        <v/>
      </c>
      <c r="Z3647" t="str">
        <f>IF($B3647="","",_xll.BDP($B3647,"COUNTRY_FULL_NAME"))</f>
        <v/>
      </c>
    </row>
    <row r="3648" spans="23:26" x14ac:dyDescent="0.25">
      <c r="W3648" t="str">
        <f>IF(B3648="","",_xll.BDP(B3648,"INDUSTRY_SECTOR"))</f>
        <v/>
      </c>
      <c r="X3648" t="str">
        <f>IF($B3648="","",_xll.BDP($B3648,"INDUSTRY_GROUP"))</f>
        <v/>
      </c>
      <c r="Y3648" t="str">
        <f>IF($B3648="","",_xll.BDP($B3648,"INDUSTRY_SUBGROUP"))</f>
        <v/>
      </c>
      <c r="Z3648" t="str">
        <f>IF($B3648="","",_xll.BDP($B3648,"COUNTRY_FULL_NAME"))</f>
        <v/>
      </c>
    </row>
    <row r="3649" spans="23:26" x14ac:dyDescent="0.25">
      <c r="W3649" t="str">
        <f>IF(B3649="","",_xll.BDP(B3649,"INDUSTRY_SECTOR"))</f>
        <v/>
      </c>
      <c r="X3649" t="str">
        <f>IF($B3649="","",_xll.BDP($B3649,"INDUSTRY_GROUP"))</f>
        <v/>
      </c>
      <c r="Y3649" t="str">
        <f>IF($B3649="","",_xll.BDP($B3649,"INDUSTRY_SUBGROUP"))</f>
        <v/>
      </c>
      <c r="Z3649" t="str">
        <f>IF($B3649="","",_xll.BDP($B3649,"COUNTRY_FULL_NAME"))</f>
        <v/>
      </c>
    </row>
    <row r="3650" spans="23:26" x14ac:dyDescent="0.25">
      <c r="W3650" t="str">
        <f>IF(B3650="","",_xll.BDP(B3650,"INDUSTRY_SECTOR"))</f>
        <v/>
      </c>
      <c r="X3650" t="str">
        <f>IF($B3650="","",_xll.BDP($B3650,"INDUSTRY_GROUP"))</f>
        <v/>
      </c>
      <c r="Y3650" t="str">
        <f>IF($B3650="","",_xll.BDP($B3650,"INDUSTRY_SUBGROUP"))</f>
        <v/>
      </c>
      <c r="Z3650" t="str">
        <f>IF($B3650="","",_xll.BDP($B3650,"COUNTRY_FULL_NAME"))</f>
        <v/>
      </c>
    </row>
    <row r="3651" spans="23:26" x14ac:dyDescent="0.25">
      <c r="W3651" t="str">
        <f>IF(B3651="","",_xll.BDP(B3651,"INDUSTRY_SECTOR"))</f>
        <v/>
      </c>
      <c r="X3651" t="str">
        <f>IF($B3651="","",_xll.BDP($B3651,"INDUSTRY_GROUP"))</f>
        <v/>
      </c>
      <c r="Y3651" t="str">
        <f>IF($B3651="","",_xll.BDP($B3651,"INDUSTRY_SUBGROUP"))</f>
        <v/>
      </c>
      <c r="Z3651" t="str">
        <f>IF($B3651="","",_xll.BDP($B3651,"COUNTRY_FULL_NAME"))</f>
        <v/>
      </c>
    </row>
    <row r="3652" spans="23:26" x14ac:dyDescent="0.25">
      <c r="W3652" t="str">
        <f>IF(B3652="","",_xll.BDP(B3652,"INDUSTRY_SECTOR"))</f>
        <v/>
      </c>
      <c r="X3652" t="str">
        <f>IF($B3652="","",_xll.BDP($B3652,"INDUSTRY_GROUP"))</f>
        <v/>
      </c>
      <c r="Y3652" t="str">
        <f>IF($B3652="","",_xll.BDP($B3652,"INDUSTRY_SUBGROUP"))</f>
        <v/>
      </c>
      <c r="Z3652" t="str">
        <f>IF($B3652="","",_xll.BDP($B3652,"COUNTRY_FULL_NAME"))</f>
        <v/>
      </c>
    </row>
    <row r="3653" spans="23:26" x14ac:dyDescent="0.25">
      <c r="W3653" t="str">
        <f>IF(B3653="","",_xll.BDP(B3653,"INDUSTRY_SECTOR"))</f>
        <v/>
      </c>
      <c r="X3653" t="str">
        <f>IF($B3653="","",_xll.BDP($B3653,"INDUSTRY_GROUP"))</f>
        <v/>
      </c>
      <c r="Y3653" t="str">
        <f>IF($B3653="","",_xll.BDP($B3653,"INDUSTRY_SUBGROUP"))</f>
        <v/>
      </c>
      <c r="Z3653" t="str">
        <f>IF($B3653="","",_xll.BDP($B3653,"COUNTRY_FULL_NAME"))</f>
        <v/>
      </c>
    </row>
    <row r="3654" spans="23:26" x14ac:dyDescent="0.25">
      <c r="W3654" t="str">
        <f>IF(B3654="","",_xll.BDP(B3654,"INDUSTRY_SECTOR"))</f>
        <v/>
      </c>
      <c r="X3654" t="str">
        <f>IF($B3654="","",_xll.BDP($B3654,"INDUSTRY_GROUP"))</f>
        <v/>
      </c>
      <c r="Y3654" t="str">
        <f>IF($B3654="","",_xll.BDP($B3654,"INDUSTRY_SUBGROUP"))</f>
        <v/>
      </c>
      <c r="Z3654" t="str">
        <f>IF($B3654="","",_xll.BDP($B3654,"COUNTRY_FULL_NAME"))</f>
        <v/>
      </c>
    </row>
    <row r="3655" spans="23:26" x14ac:dyDescent="0.25">
      <c r="W3655" t="str">
        <f>IF(B3655="","",_xll.BDP(B3655,"INDUSTRY_SECTOR"))</f>
        <v/>
      </c>
      <c r="X3655" t="str">
        <f>IF($B3655="","",_xll.BDP($B3655,"INDUSTRY_GROUP"))</f>
        <v/>
      </c>
      <c r="Y3655" t="str">
        <f>IF($B3655="","",_xll.BDP($B3655,"INDUSTRY_SUBGROUP"))</f>
        <v/>
      </c>
      <c r="Z3655" t="str">
        <f>IF($B3655="","",_xll.BDP($B3655,"COUNTRY_FULL_NAME"))</f>
        <v/>
      </c>
    </row>
    <row r="3656" spans="23:26" x14ac:dyDescent="0.25">
      <c r="W3656" t="str">
        <f>IF(B3656="","",_xll.BDP(B3656,"INDUSTRY_SECTOR"))</f>
        <v/>
      </c>
      <c r="X3656" t="str">
        <f>IF($B3656="","",_xll.BDP($B3656,"INDUSTRY_GROUP"))</f>
        <v/>
      </c>
      <c r="Y3656" t="str">
        <f>IF($B3656="","",_xll.BDP($B3656,"INDUSTRY_SUBGROUP"))</f>
        <v/>
      </c>
      <c r="Z3656" t="str">
        <f>IF($B3656="","",_xll.BDP($B3656,"COUNTRY_FULL_NAME"))</f>
        <v/>
      </c>
    </row>
    <row r="3657" spans="23:26" x14ac:dyDescent="0.25">
      <c r="W3657" t="str">
        <f>IF(B3657="","",_xll.BDP(B3657,"INDUSTRY_SECTOR"))</f>
        <v/>
      </c>
      <c r="X3657" t="str">
        <f>IF($B3657="","",_xll.BDP($B3657,"INDUSTRY_GROUP"))</f>
        <v/>
      </c>
      <c r="Y3657" t="str">
        <f>IF($B3657="","",_xll.BDP($B3657,"INDUSTRY_SUBGROUP"))</f>
        <v/>
      </c>
      <c r="Z3657" t="str">
        <f>IF($B3657="","",_xll.BDP($B3657,"COUNTRY_FULL_NAME"))</f>
        <v/>
      </c>
    </row>
    <row r="3658" spans="23:26" x14ac:dyDescent="0.25">
      <c r="W3658" t="str">
        <f>IF(B3658="","",_xll.BDP(B3658,"INDUSTRY_SECTOR"))</f>
        <v/>
      </c>
      <c r="X3658" t="str">
        <f>IF($B3658="","",_xll.BDP($B3658,"INDUSTRY_GROUP"))</f>
        <v/>
      </c>
      <c r="Y3658" t="str">
        <f>IF($B3658="","",_xll.BDP($B3658,"INDUSTRY_SUBGROUP"))</f>
        <v/>
      </c>
      <c r="Z3658" t="str">
        <f>IF($B3658="","",_xll.BDP($B3658,"COUNTRY_FULL_NAME"))</f>
        <v/>
      </c>
    </row>
    <row r="3659" spans="23:26" x14ac:dyDescent="0.25">
      <c r="W3659" t="str">
        <f>IF(B3659="","",_xll.BDP(B3659,"INDUSTRY_SECTOR"))</f>
        <v/>
      </c>
      <c r="X3659" t="str">
        <f>IF($B3659="","",_xll.BDP($B3659,"INDUSTRY_GROUP"))</f>
        <v/>
      </c>
      <c r="Y3659" t="str">
        <f>IF($B3659="","",_xll.BDP($B3659,"INDUSTRY_SUBGROUP"))</f>
        <v/>
      </c>
      <c r="Z3659" t="str">
        <f>IF($B3659="","",_xll.BDP($B3659,"COUNTRY_FULL_NAME"))</f>
        <v/>
      </c>
    </row>
    <row r="3660" spans="23:26" x14ac:dyDescent="0.25">
      <c r="W3660" t="str">
        <f>IF(B3660="","",_xll.BDP(B3660,"INDUSTRY_SECTOR"))</f>
        <v/>
      </c>
      <c r="X3660" t="str">
        <f>IF($B3660="","",_xll.BDP($B3660,"INDUSTRY_GROUP"))</f>
        <v/>
      </c>
      <c r="Y3660" t="str">
        <f>IF($B3660="","",_xll.BDP($B3660,"INDUSTRY_SUBGROUP"))</f>
        <v/>
      </c>
      <c r="Z3660" t="str">
        <f>IF($B3660="","",_xll.BDP($B3660,"COUNTRY_FULL_NAME"))</f>
        <v/>
      </c>
    </row>
    <row r="3661" spans="23:26" x14ac:dyDescent="0.25">
      <c r="W3661" t="str">
        <f>IF(B3661="","",_xll.BDP(B3661,"INDUSTRY_SECTOR"))</f>
        <v/>
      </c>
      <c r="X3661" t="str">
        <f>IF($B3661="","",_xll.BDP($B3661,"INDUSTRY_GROUP"))</f>
        <v/>
      </c>
      <c r="Y3661" t="str">
        <f>IF($B3661="","",_xll.BDP($B3661,"INDUSTRY_SUBGROUP"))</f>
        <v/>
      </c>
      <c r="Z3661" t="str">
        <f>IF($B3661="","",_xll.BDP($B3661,"COUNTRY_FULL_NAME"))</f>
        <v/>
      </c>
    </row>
    <row r="3662" spans="23:26" x14ac:dyDescent="0.25">
      <c r="W3662" t="str">
        <f>IF(B3662="","",_xll.BDP(B3662,"INDUSTRY_SECTOR"))</f>
        <v/>
      </c>
      <c r="X3662" t="str">
        <f>IF($B3662="","",_xll.BDP($B3662,"INDUSTRY_GROUP"))</f>
        <v/>
      </c>
      <c r="Y3662" t="str">
        <f>IF($B3662="","",_xll.BDP($B3662,"INDUSTRY_SUBGROUP"))</f>
        <v/>
      </c>
      <c r="Z3662" t="str">
        <f>IF($B3662="","",_xll.BDP($B3662,"COUNTRY_FULL_NAME"))</f>
        <v/>
      </c>
    </row>
    <row r="3663" spans="23:26" x14ac:dyDescent="0.25">
      <c r="W3663" t="str">
        <f>IF(B3663="","",_xll.BDP(B3663,"INDUSTRY_SECTOR"))</f>
        <v/>
      </c>
      <c r="X3663" t="str">
        <f>IF($B3663="","",_xll.BDP($B3663,"INDUSTRY_GROUP"))</f>
        <v/>
      </c>
      <c r="Y3663" t="str">
        <f>IF($B3663="","",_xll.BDP($B3663,"INDUSTRY_SUBGROUP"))</f>
        <v/>
      </c>
      <c r="Z3663" t="str">
        <f>IF($B3663="","",_xll.BDP($B3663,"COUNTRY_FULL_NAME"))</f>
        <v/>
      </c>
    </row>
    <row r="3664" spans="23:26" x14ac:dyDescent="0.25">
      <c r="W3664" t="str">
        <f>IF(B3664="","",_xll.BDP(B3664,"INDUSTRY_SECTOR"))</f>
        <v/>
      </c>
      <c r="X3664" t="str">
        <f>IF($B3664="","",_xll.BDP($B3664,"INDUSTRY_GROUP"))</f>
        <v/>
      </c>
      <c r="Y3664" t="str">
        <f>IF($B3664="","",_xll.BDP($B3664,"INDUSTRY_SUBGROUP"))</f>
        <v/>
      </c>
      <c r="Z3664" t="str">
        <f>IF($B3664="","",_xll.BDP($B3664,"COUNTRY_FULL_NAME"))</f>
        <v/>
      </c>
    </row>
    <row r="3665" spans="23:26" x14ac:dyDescent="0.25">
      <c r="W3665" t="str">
        <f>IF(B3665="","",_xll.BDP(B3665,"INDUSTRY_SECTOR"))</f>
        <v/>
      </c>
      <c r="X3665" t="str">
        <f>IF($B3665="","",_xll.BDP($B3665,"INDUSTRY_GROUP"))</f>
        <v/>
      </c>
      <c r="Y3665" t="str">
        <f>IF($B3665="","",_xll.BDP($B3665,"INDUSTRY_SUBGROUP"))</f>
        <v/>
      </c>
      <c r="Z3665" t="str">
        <f>IF($B3665="","",_xll.BDP($B3665,"COUNTRY_FULL_NAME"))</f>
        <v/>
      </c>
    </row>
    <row r="3666" spans="23:26" x14ac:dyDescent="0.25">
      <c r="W3666" t="str">
        <f>IF(B3666="","",_xll.BDP(B3666,"INDUSTRY_SECTOR"))</f>
        <v/>
      </c>
      <c r="X3666" t="str">
        <f>IF($B3666="","",_xll.BDP($B3666,"INDUSTRY_GROUP"))</f>
        <v/>
      </c>
      <c r="Y3666" t="str">
        <f>IF($B3666="","",_xll.BDP($B3666,"INDUSTRY_SUBGROUP"))</f>
        <v/>
      </c>
      <c r="Z3666" t="str">
        <f>IF($B3666="","",_xll.BDP($B3666,"COUNTRY_FULL_NAME"))</f>
        <v/>
      </c>
    </row>
    <row r="3667" spans="23:26" x14ac:dyDescent="0.25">
      <c r="W3667" t="str">
        <f>IF(B3667="","",_xll.BDP(B3667,"INDUSTRY_SECTOR"))</f>
        <v/>
      </c>
      <c r="X3667" t="str">
        <f>IF($B3667="","",_xll.BDP($B3667,"INDUSTRY_GROUP"))</f>
        <v/>
      </c>
      <c r="Y3667" t="str">
        <f>IF($B3667="","",_xll.BDP($B3667,"INDUSTRY_SUBGROUP"))</f>
        <v/>
      </c>
      <c r="Z3667" t="str">
        <f>IF($B3667="","",_xll.BDP($B3667,"COUNTRY_FULL_NAME"))</f>
        <v/>
      </c>
    </row>
    <row r="3668" spans="23:26" x14ac:dyDescent="0.25">
      <c r="W3668" t="str">
        <f>IF(B3668="","",_xll.BDP(B3668,"INDUSTRY_SECTOR"))</f>
        <v/>
      </c>
      <c r="X3668" t="str">
        <f>IF($B3668="","",_xll.BDP($B3668,"INDUSTRY_GROUP"))</f>
        <v/>
      </c>
      <c r="Y3668" t="str">
        <f>IF($B3668="","",_xll.BDP($B3668,"INDUSTRY_SUBGROUP"))</f>
        <v/>
      </c>
      <c r="Z3668" t="str">
        <f>IF($B3668="","",_xll.BDP($B3668,"COUNTRY_FULL_NAME"))</f>
        <v/>
      </c>
    </row>
    <row r="3669" spans="23:26" x14ac:dyDescent="0.25">
      <c r="W3669" t="str">
        <f>IF(B3669="","",_xll.BDP(B3669,"INDUSTRY_SECTOR"))</f>
        <v/>
      </c>
      <c r="X3669" t="str">
        <f>IF($B3669="","",_xll.BDP($B3669,"INDUSTRY_GROUP"))</f>
        <v/>
      </c>
      <c r="Y3669" t="str">
        <f>IF($B3669="","",_xll.BDP($B3669,"INDUSTRY_SUBGROUP"))</f>
        <v/>
      </c>
      <c r="Z3669" t="str">
        <f>IF($B3669="","",_xll.BDP($B3669,"COUNTRY_FULL_NAME"))</f>
        <v/>
      </c>
    </row>
    <row r="3670" spans="23:26" x14ac:dyDescent="0.25">
      <c r="W3670" t="str">
        <f>IF(B3670="","",_xll.BDP(B3670,"INDUSTRY_SECTOR"))</f>
        <v/>
      </c>
      <c r="X3670" t="str">
        <f>IF($B3670="","",_xll.BDP($B3670,"INDUSTRY_GROUP"))</f>
        <v/>
      </c>
      <c r="Y3670" t="str">
        <f>IF($B3670="","",_xll.BDP($B3670,"INDUSTRY_SUBGROUP"))</f>
        <v/>
      </c>
      <c r="Z3670" t="str">
        <f>IF($B3670="","",_xll.BDP($B3670,"COUNTRY_FULL_NAME"))</f>
        <v/>
      </c>
    </row>
    <row r="3671" spans="23:26" x14ac:dyDescent="0.25">
      <c r="W3671" t="str">
        <f>IF(B3671="","",_xll.BDP(B3671,"INDUSTRY_SECTOR"))</f>
        <v/>
      </c>
      <c r="X3671" t="str">
        <f>IF($B3671="","",_xll.BDP($B3671,"INDUSTRY_GROUP"))</f>
        <v/>
      </c>
      <c r="Y3671" t="str">
        <f>IF($B3671="","",_xll.BDP($B3671,"INDUSTRY_SUBGROUP"))</f>
        <v/>
      </c>
      <c r="Z3671" t="str">
        <f>IF($B3671="","",_xll.BDP($B3671,"COUNTRY_FULL_NAME"))</f>
        <v/>
      </c>
    </row>
    <row r="3672" spans="23:26" x14ac:dyDescent="0.25">
      <c r="W3672" t="str">
        <f>IF(B3672="","",_xll.BDP(B3672,"INDUSTRY_SECTOR"))</f>
        <v/>
      </c>
      <c r="X3672" t="str">
        <f>IF($B3672="","",_xll.BDP($B3672,"INDUSTRY_GROUP"))</f>
        <v/>
      </c>
      <c r="Y3672" t="str">
        <f>IF($B3672="","",_xll.BDP($B3672,"INDUSTRY_SUBGROUP"))</f>
        <v/>
      </c>
      <c r="Z3672" t="str">
        <f>IF($B3672="","",_xll.BDP($B3672,"COUNTRY_FULL_NAME"))</f>
        <v/>
      </c>
    </row>
    <row r="3673" spans="23:26" x14ac:dyDescent="0.25">
      <c r="W3673" t="str">
        <f>IF(B3673="","",_xll.BDP(B3673,"INDUSTRY_SECTOR"))</f>
        <v/>
      </c>
      <c r="X3673" t="str">
        <f>IF($B3673="","",_xll.BDP($B3673,"INDUSTRY_GROUP"))</f>
        <v/>
      </c>
      <c r="Y3673" t="str">
        <f>IF($B3673="","",_xll.BDP($B3673,"INDUSTRY_SUBGROUP"))</f>
        <v/>
      </c>
      <c r="Z3673" t="str">
        <f>IF($B3673="","",_xll.BDP($B3673,"COUNTRY_FULL_NAME"))</f>
        <v/>
      </c>
    </row>
    <row r="3674" spans="23:26" x14ac:dyDescent="0.25">
      <c r="W3674" t="str">
        <f>IF(B3674="","",_xll.BDP(B3674,"INDUSTRY_SECTOR"))</f>
        <v/>
      </c>
      <c r="X3674" t="str">
        <f>IF($B3674="","",_xll.BDP($B3674,"INDUSTRY_GROUP"))</f>
        <v/>
      </c>
      <c r="Y3674" t="str">
        <f>IF($B3674="","",_xll.BDP($B3674,"INDUSTRY_SUBGROUP"))</f>
        <v/>
      </c>
      <c r="Z3674" t="str">
        <f>IF($B3674="","",_xll.BDP($B3674,"COUNTRY_FULL_NAME"))</f>
        <v/>
      </c>
    </row>
    <row r="3675" spans="23:26" x14ac:dyDescent="0.25">
      <c r="W3675" t="str">
        <f>IF(B3675="","",_xll.BDP(B3675,"INDUSTRY_SECTOR"))</f>
        <v/>
      </c>
      <c r="X3675" t="str">
        <f>IF($B3675="","",_xll.BDP($B3675,"INDUSTRY_GROUP"))</f>
        <v/>
      </c>
      <c r="Y3675" t="str">
        <f>IF($B3675="","",_xll.BDP($B3675,"INDUSTRY_SUBGROUP"))</f>
        <v/>
      </c>
      <c r="Z3675" t="str">
        <f>IF($B3675="","",_xll.BDP($B3675,"COUNTRY_FULL_NAME"))</f>
        <v/>
      </c>
    </row>
    <row r="3676" spans="23:26" x14ac:dyDescent="0.25">
      <c r="W3676" t="str">
        <f>IF(B3676="","",_xll.BDP(B3676,"INDUSTRY_SECTOR"))</f>
        <v/>
      </c>
      <c r="X3676" t="str">
        <f>IF($B3676="","",_xll.BDP($B3676,"INDUSTRY_GROUP"))</f>
        <v/>
      </c>
      <c r="Y3676" t="str">
        <f>IF($B3676="","",_xll.BDP($B3676,"INDUSTRY_SUBGROUP"))</f>
        <v/>
      </c>
      <c r="Z3676" t="str">
        <f>IF($B3676="","",_xll.BDP($B3676,"COUNTRY_FULL_NAME"))</f>
        <v/>
      </c>
    </row>
    <row r="3677" spans="23:26" x14ac:dyDescent="0.25">
      <c r="W3677" t="str">
        <f>IF(B3677="","",_xll.BDP(B3677,"INDUSTRY_SECTOR"))</f>
        <v/>
      </c>
      <c r="X3677" t="str">
        <f>IF($B3677="","",_xll.BDP($B3677,"INDUSTRY_GROUP"))</f>
        <v/>
      </c>
      <c r="Y3677" t="str">
        <f>IF($B3677="","",_xll.BDP($B3677,"INDUSTRY_SUBGROUP"))</f>
        <v/>
      </c>
      <c r="Z3677" t="str">
        <f>IF($B3677="","",_xll.BDP($B3677,"COUNTRY_FULL_NAME"))</f>
        <v/>
      </c>
    </row>
    <row r="3678" spans="23:26" x14ac:dyDescent="0.25">
      <c r="W3678" t="str">
        <f>IF(B3678="","",_xll.BDP(B3678,"INDUSTRY_SECTOR"))</f>
        <v/>
      </c>
      <c r="X3678" t="str">
        <f>IF($B3678="","",_xll.BDP($B3678,"INDUSTRY_GROUP"))</f>
        <v/>
      </c>
      <c r="Y3678" t="str">
        <f>IF($B3678="","",_xll.BDP($B3678,"INDUSTRY_SUBGROUP"))</f>
        <v/>
      </c>
      <c r="Z3678" t="str">
        <f>IF($B3678="","",_xll.BDP($B3678,"COUNTRY_FULL_NAME"))</f>
        <v/>
      </c>
    </row>
    <row r="3679" spans="23:26" x14ac:dyDescent="0.25">
      <c r="W3679" t="str">
        <f>IF(B3679="","",_xll.BDP(B3679,"INDUSTRY_SECTOR"))</f>
        <v/>
      </c>
      <c r="X3679" t="str">
        <f>IF($B3679="","",_xll.BDP($B3679,"INDUSTRY_GROUP"))</f>
        <v/>
      </c>
      <c r="Y3679" t="str">
        <f>IF($B3679="","",_xll.BDP($B3679,"INDUSTRY_SUBGROUP"))</f>
        <v/>
      </c>
      <c r="Z3679" t="str">
        <f>IF($B3679="","",_xll.BDP($B3679,"COUNTRY_FULL_NAME"))</f>
        <v/>
      </c>
    </row>
    <row r="3680" spans="23:26" x14ac:dyDescent="0.25">
      <c r="W3680" t="str">
        <f>IF(B3680="","",_xll.BDP(B3680,"INDUSTRY_SECTOR"))</f>
        <v/>
      </c>
      <c r="X3680" t="str">
        <f>IF($B3680="","",_xll.BDP($B3680,"INDUSTRY_GROUP"))</f>
        <v/>
      </c>
      <c r="Y3680" t="str">
        <f>IF($B3680="","",_xll.BDP($B3680,"INDUSTRY_SUBGROUP"))</f>
        <v/>
      </c>
      <c r="Z3680" t="str">
        <f>IF($B3680="","",_xll.BDP($B3680,"COUNTRY_FULL_NAME"))</f>
        <v/>
      </c>
    </row>
    <row r="3681" spans="23:26" x14ac:dyDescent="0.25">
      <c r="W3681" t="str">
        <f>IF(B3681="","",_xll.BDP(B3681,"INDUSTRY_SECTOR"))</f>
        <v/>
      </c>
      <c r="X3681" t="str">
        <f>IF($B3681="","",_xll.BDP($B3681,"INDUSTRY_GROUP"))</f>
        <v/>
      </c>
      <c r="Y3681" t="str">
        <f>IF($B3681="","",_xll.BDP($B3681,"INDUSTRY_SUBGROUP"))</f>
        <v/>
      </c>
      <c r="Z3681" t="str">
        <f>IF($B3681="","",_xll.BDP($B3681,"COUNTRY_FULL_NAME"))</f>
        <v/>
      </c>
    </row>
    <row r="3682" spans="23:26" x14ac:dyDescent="0.25">
      <c r="W3682" t="str">
        <f>IF(B3682="","",_xll.BDP(B3682,"INDUSTRY_SECTOR"))</f>
        <v/>
      </c>
      <c r="X3682" t="str">
        <f>IF($B3682="","",_xll.BDP($B3682,"INDUSTRY_GROUP"))</f>
        <v/>
      </c>
      <c r="Y3682" t="str">
        <f>IF($B3682="","",_xll.BDP($B3682,"INDUSTRY_SUBGROUP"))</f>
        <v/>
      </c>
      <c r="Z3682" t="str">
        <f>IF($B3682="","",_xll.BDP($B3682,"COUNTRY_FULL_NAME"))</f>
        <v/>
      </c>
    </row>
    <row r="3683" spans="23:26" x14ac:dyDescent="0.25">
      <c r="W3683" t="str">
        <f>IF(B3683="","",_xll.BDP(B3683,"INDUSTRY_SECTOR"))</f>
        <v/>
      </c>
      <c r="X3683" t="str">
        <f>IF($B3683="","",_xll.BDP($B3683,"INDUSTRY_GROUP"))</f>
        <v/>
      </c>
      <c r="Y3683" t="str">
        <f>IF($B3683="","",_xll.BDP($B3683,"INDUSTRY_SUBGROUP"))</f>
        <v/>
      </c>
      <c r="Z3683" t="str">
        <f>IF($B3683="","",_xll.BDP($B3683,"COUNTRY_FULL_NAME"))</f>
        <v/>
      </c>
    </row>
    <row r="3684" spans="23:26" x14ac:dyDescent="0.25">
      <c r="W3684" t="str">
        <f>IF(B3684="","",_xll.BDP(B3684,"INDUSTRY_SECTOR"))</f>
        <v/>
      </c>
      <c r="X3684" t="str">
        <f>IF($B3684="","",_xll.BDP($B3684,"INDUSTRY_GROUP"))</f>
        <v/>
      </c>
      <c r="Y3684" t="str">
        <f>IF($B3684="","",_xll.BDP($B3684,"INDUSTRY_SUBGROUP"))</f>
        <v/>
      </c>
      <c r="Z3684" t="str">
        <f>IF($B3684="","",_xll.BDP($B3684,"COUNTRY_FULL_NAME"))</f>
        <v/>
      </c>
    </row>
    <row r="3685" spans="23:26" x14ac:dyDescent="0.25">
      <c r="W3685" t="str">
        <f>IF(B3685="","",_xll.BDP(B3685,"INDUSTRY_SECTOR"))</f>
        <v/>
      </c>
      <c r="X3685" t="str">
        <f>IF($B3685="","",_xll.BDP($B3685,"INDUSTRY_GROUP"))</f>
        <v/>
      </c>
      <c r="Y3685" t="str">
        <f>IF($B3685="","",_xll.BDP($B3685,"INDUSTRY_SUBGROUP"))</f>
        <v/>
      </c>
      <c r="Z3685" t="str">
        <f>IF($B3685="","",_xll.BDP($B3685,"COUNTRY_FULL_NAME"))</f>
        <v/>
      </c>
    </row>
    <row r="3686" spans="23:26" x14ac:dyDescent="0.25">
      <c r="W3686" t="str">
        <f>IF(B3686="","",_xll.BDP(B3686,"INDUSTRY_SECTOR"))</f>
        <v/>
      </c>
      <c r="X3686" t="str">
        <f>IF($B3686="","",_xll.BDP($B3686,"INDUSTRY_GROUP"))</f>
        <v/>
      </c>
      <c r="Y3686" t="str">
        <f>IF($B3686="","",_xll.BDP($B3686,"INDUSTRY_SUBGROUP"))</f>
        <v/>
      </c>
      <c r="Z3686" t="str">
        <f>IF($B3686="","",_xll.BDP($B3686,"COUNTRY_FULL_NAME"))</f>
        <v/>
      </c>
    </row>
    <row r="3687" spans="23:26" x14ac:dyDescent="0.25">
      <c r="W3687" t="str">
        <f>IF(B3687="","",_xll.BDP(B3687,"INDUSTRY_SECTOR"))</f>
        <v/>
      </c>
      <c r="X3687" t="str">
        <f>IF($B3687="","",_xll.BDP($B3687,"INDUSTRY_GROUP"))</f>
        <v/>
      </c>
      <c r="Y3687" t="str">
        <f>IF($B3687="","",_xll.BDP($B3687,"INDUSTRY_SUBGROUP"))</f>
        <v/>
      </c>
      <c r="Z3687" t="str">
        <f>IF($B3687="","",_xll.BDP($B3687,"COUNTRY_FULL_NAME"))</f>
        <v/>
      </c>
    </row>
    <row r="3688" spans="23:26" x14ac:dyDescent="0.25">
      <c r="W3688" t="str">
        <f>IF(B3688="","",_xll.BDP(B3688,"INDUSTRY_SECTOR"))</f>
        <v/>
      </c>
      <c r="X3688" t="str">
        <f>IF($B3688="","",_xll.BDP($B3688,"INDUSTRY_GROUP"))</f>
        <v/>
      </c>
      <c r="Y3688" t="str">
        <f>IF($B3688="","",_xll.BDP($B3688,"INDUSTRY_SUBGROUP"))</f>
        <v/>
      </c>
      <c r="Z3688" t="str">
        <f>IF($B3688="","",_xll.BDP($B3688,"COUNTRY_FULL_NAME"))</f>
        <v/>
      </c>
    </row>
    <row r="3689" spans="23:26" x14ac:dyDescent="0.25">
      <c r="W3689" t="str">
        <f>IF(B3689="","",_xll.BDP(B3689,"INDUSTRY_SECTOR"))</f>
        <v/>
      </c>
      <c r="X3689" t="str">
        <f>IF($B3689="","",_xll.BDP($B3689,"INDUSTRY_GROUP"))</f>
        <v/>
      </c>
      <c r="Y3689" t="str">
        <f>IF($B3689="","",_xll.BDP($B3689,"INDUSTRY_SUBGROUP"))</f>
        <v/>
      </c>
      <c r="Z3689" t="str">
        <f>IF($B3689="","",_xll.BDP($B3689,"COUNTRY_FULL_NAME"))</f>
        <v/>
      </c>
    </row>
    <row r="3690" spans="23:26" x14ac:dyDescent="0.25">
      <c r="W3690" t="str">
        <f>IF(B3690="","",_xll.BDP(B3690,"INDUSTRY_SECTOR"))</f>
        <v/>
      </c>
      <c r="X3690" t="str">
        <f>IF($B3690="","",_xll.BDP($B3690,"INDUSTRY_GROUP"))</f>
        <v/>
      </c>
      <c r="Y3690" t="str">
        <f>IF($B3690="","",_xll.BDP($B3690,"INDUSTRY_SUBGROUP"))</f>
        <v/>
      </c>
      <c r="Z3690" t="str">
        <f>IF($B3690="","",_xll.BDP($B3690,"COUNTRY_FULL_NAME"))</f>
        <v/>
      </c>
    </row>
    <row r="3691" spans="23:26" x14ac:dyDescent="0.25">
      <c r="W3691" t="str">
        <f>IF(B3691="","",_xll.BDP(B3691,"INDUSTRY_SECTOR"))</f>
        <v/>
      </c>
      <c r="X3691" t="str">
        <f>IF($B3691="","",_xll.BDP($B3691,"INDUSTRY_GROUP"))</f>
        <v/>
      </c>
      <c r="Y3691" t="str">
        <f>IF($B3691="","",_xll.BDP($B3691,"INDUSTRY_SUBGROUP"))</f>
        <v/>
      </c>
      <c r="Z3691" t="str">
        <f>IF($B3691="","",_xll.BDP($B3691,"COUNTRY_FULL_NAME"))</f>
        <v/>
      </c>
    </row>
    <row r="3692" spans="23:26" x14ac:dyDescent="0.25">
      <c r="W3692" t="str">
        <f>IF(B3692="","",_xll.BDP(B3692,"INDUSTRY_SECTOR"))</f>
        <v/>
      </c>
      <c r="X3692" t="str">
        <f>IF($B3692="","",_xll.BDP($B3692,"INDUSTRY_GROUP"))</f>
        <v/>
      </c>
      <c r="Y3692" t="str">
        <f>IF($B3692="","",_xll.BDP($B3692,"INDUSTRY_SUBGROUP"))</f>
        <v/>
      </c>
      <c r="Z3692" t="str">
        <f>IF($B3692="","",_xll.BDP($B3692,"COUNTRY_FULL_NAME"))</f>
        <v/>
      </c>
    </row>
    <row r="3693" spans="23:26" x14ac:dyDescent="0.25">
      <c r="W3693" t="str">
        <f>IF(B3693="","",_xll.BDP(B3693,"INDUSTRY_SECTOR"))</f>
        <v/>
      </c>
      <c r="X3693" t="str">
        <f>IF($B3693="","",_xll.BDP($B3693,"INDUSTRY_GROUP"))</f>
        <v/>
      </c>
      <c r="Y3693" t="str">
        <f>IF($B3693="","",_xll.BDP($B3693,"INDUSTRY_SUBGROUP"))</f>
        <v/>
      </c>
      <c r="Z3693" t="str">
        <f>IF($B3693="","",_xll.BDP($B3693,"COUNTRY_FULL_NAME"))</f>
        <v/>
      </c>
    </row>
    <row r="3694" spans="23:26" x14ac:dyDescent="0.25">
      <c r="W3694" t="str">
        <f>IF(B3694="","",_xll.BDP(B3694,"INDUSTRY_SECTOR"))</f>
        <v/>
      </c>
      <c r="X3694" t="str">
        <f>IF($B3694="","",_xll.BDP($B3694,"INDUSTRY_GROUP"))</f>
        <v/>
      </c>
      <c r="Y3694" t="str">
        <f>IF($B3694="","",_xll.BDP($B3694,"INDUSTRY_SUBGROUP"))</f>
        <v/>
      </c>
      <c r="Z3694" t="str">
        <f>IF($B3694="","",_xll.BDP($B3694,"COUNTRY_FULL_NAME"))</f>
        <v/>
      </c>
    </row>
    <row r="3695" spans="23:26" x14ac:dyDescent="0.25">
      <c r="W3695" t="str">
        <f>IF(B3695="","",_xll.BDP(B3695,"INDUSTRY_SECTOR"))</f>
        <v/>
      </c>
      <c r="X3695" t="str">
        <f>IF($B3695="","",_xll.BDP($B3695,"INDUSTRY_GROUP"))</f>
        <v/>
      </c>
      <c r="Y3695" t="str">
        <f>IF($B3695="","",_xll.BDP($B3695,"INDUSTRY_SUBGROUP"))</f>
        <v/>
      </c>
      <c r="Z3695" t="str">
        <f>IF($B3695="","",_xll.BDP($B3695,"COUNTRY_FULL_NAME"))</f>
        <v/>
      </c>
    </row>
    <row r="3696" spans="23:26" x14ac:dyDescent="0.25">
      <c r="W3696" t="str">
        <f>IF(B3696="","",_xll.BDP(B3696,"INDUSTRY_SECTOR"))</f>
        <v/>
      </c>
      <c r="X3696" t="str">
        <f>IF($B3696="","",_xll.BDP($B3696,"INDUSTRY_GROUP"))</f>
        <v/>
      </c>
      <c r="Y3696" t="str">
        <f>IF($B3696="","",_xll.BDP($B3696,"INDUSTRY_SUBGROUP"))</f>
        <v/>
      </c>
      <c r="Z3696" t="str">
        <f>IF($B3696="","",_xll.BDP($B3696,"COUNTRY_FULL_NAME"))</f>
        <v/>
      </c>
    </row>
    <row r="3697" spans="23:26" x14ac:dyDescent="0.25">
      <c r="W3697" t="str">
        <f>IF(B3697="","",_xll.BDP(B3697,"INDUSTRY_SECTOR"))</f>
        <v/>
      </c>
      <c r="X3697" t="str">
        <f>IF($B3697="","",_xll.BDP($B3697,"INDUSTRY_GROUP"))</f>
        <v/>
      </c>
      <c r="Y3697" t="str">
        <f>IF($B3697="","",_xll.BDP($B3697,"INDUSTRY_SUBGROUP"))</f>
        <v/>
      </c>
      <c r="Z3697" t="str">
        <f>IF($B3697="","",_xll.BDP($B3697,"COUNTRY_FULL_NAME"))</f>
        <v/>
      </c>
    </row>
    <row r="3698" spans="23:26" x14ac:dyDescent="0.25">
      <c r="W3698" t="str">
        <f>IF(B3698="","",_xll.BDP(B3698,"INDUSTRY_SECTOR"))</f>
        <v/>
      </c>
      <c r="X3698" t="str">
        <f>IF($B3698="","",_xll.BDP($B3698,"INDUSTRY_GROUP"))</f>
        <v/>
      </c>
      <c r="Y3698" t="str">
        <f>IF($B3698="","",_xll.BDP($B3698,"INDUSTRY_SUBGROUP"))</f>
        <v/>
      </c>
      <c r="Z3698" t="str">
        <f>IF($B3698="","",_xll.BDP($B3698,"COUNTRY_FULL_NAME"))</f>
        <v/>
      </c>
    </row>
    <row r="3699" spans="23:26" x14ac:dyDescent="0.25">
      <c r="W3699" t="str">
        <f>IF(B3699="","",_xll.BDP(B3699,"INDUSTRY_SECTOR"))</f>
        <v/>
      </c>
      <c r="X3699" t="str">
        <f>IF($B3699="","",_xll.BDP($B3699,"INDUSTRY_GROUP"))</f>
        <v/>
      </c>
      <c r="Y3699" t="str">
        <f>IF($B3699="","",_xll.BDP($B3699,"INDUSTRY_SUBGROUP"))</f>
        <v/>
      </c>
      <c r="Z3699" t="str">
        <f>IF($B3699="","",_xll.BDP($B3699,"COUNTRY_FULL_NAME"))</f>
        <v/>
      </c>
    </row>
    <row r="3700" spans="23:26" x14ac:dyDescent="0.25">
      <c r="W3700" t="str">
        <f>IF(B3700="","",_xll.BDP(B3700,"INDUSTRY_SECTOR"))</f>
        <v/>
      </c>
      <c r="X3700" t="str">
        <f>IF($B3700="","",_xll.BDP($B3700,"INDUSTRY_GROUP"))</f>
        <v/>
      </c>
      <c r="Y3700" t="str">
        <f>IF($B3700="","",_xll.BDP($B3700,"INDUSTRY_SUBGROUP"))</f>
        <v/>
      </c>
      <c r="Z3700" t="str">
        <f>IF($B3700="","",_xll.BDP($B3700,"COUNTRY_FULL_NAME"))</f>
        <v/>
      </c>
    </row>
    <row r="3701" spans="23:26" x14ac:dyDescent="0.25">
      <c r="W3701" t="str">
        <f>IF(B3701="","",_xll.BDP(B3701,"INDUSTRY_SECTOR"))</f>
        <v/>
      </c>
      <c r="X3701" t="str">
        <f>IF($B3701="","",_xll.BDP($B3701,"INDUSTRY_GROUP"))</f>
        <v/>
      </c>
      <c r="Y3701" t="str">
        <f>IF($B3701="","",_xll.BDP($B3701,"INDUSTRY_SUBGROUP"))</f>
        <v/>
      </c>
      <c r="Z3701" t="str">
        <f>IF($B3701="","",_xll.BDP($B3701,"COUNTRY_FULL_NAME"))</f>
        <v/>
      </c>
    </row>
    <row r="3702" spans="23:26" x14ac:dyDescent="0.25">
      <c r="W3702" t="str">
        <f>IF(B3702="","",_xll.BDP(B3702,"INDUSTRY_SECTOR"))</f>
        <v/>
      </c>
      <c r="X3702" t="str">
        <f>IF($B3702="","",_xll.BDP($B3702,"INDUSTRY_GROUP"))</f>
        <v/>
      </c>
      <c r="Y3702" t="str">
        <f>IF($B3702="","",_xll.BDP($B3702,"INDUSTRY_SUBGROUP"))</f>
        <v/>
      </c>
      <c r="Z3702" t="str">
        <f>IF($B3702="","",_xll.BDP($B3702,"COUNTRY_FULL_NAME"))</f>
        <v/>
      </c>
    </row>
    <row r="3703" spans="23:26" x14ac:dyDescent="0.25">
      <c r="W3703" t="str">
        <f>IF(B3703="","",_xll.BDP(B3703,"INDUSTRY_SECTOR"))</f>
        <v/>
      </c>
      <c r="X3703" t="str">
        <f>IF($B3703="","",_xll.BDP($B3703,"INDUSTRY_GROUP"))</f>
        <v/>
      </c>
      <c r="Y3703" t="str">
        <f>IF($B3703="","",_xll.BDP($B3703,"INDUSTRY_SUBGROUP"))</f>
        <v/>
      </c>
      <c r="Z3703" t="str">
        <f>IF($B3703="","",_xll.BDP($B3703,"COUNTRY_FULL_NAME"))</f>
        <v/>
      </c>
    </row>
    <row r="3704" spans="23:26" x14ac:dyDescent="0.25">
      <c r="W3704" t="str">
        <f>IF(B3704="","",_xll.BDP(B3704,"INDUSTRY_SECTOR"))</f>
        <v/>
      </c>
      <c r="X3704" t="str">
        <f>IF($B3704="","",_xll.BDP($B3704,"INDUSTRY_GROUP"))</f>
        <v/>
      </c>
      <c r="Y3704" t="str">
        <f>IF($B3704="","",_xll.BDP($B3704,"INDUSTRY_SUBGROUP"))</f>
        <v/>
      </c>
      <c r="Z3704" t="str">
        <f>IF($B3704="","",_xll.BDP($B3704,"COUNTRY_FULL_NAME"))</f>
        <v/>
      </c>
    </row>
    <row r="3705" spans="23:26" x14ac:dyDescent="0.25">
      <c r="W3705" t="str">
        <f>IF(B3705="","",_xll.BDP(B3705,"INDUSTRY_SECTOR"))</f>
        <v/>
      </c>
      <c r="X3705" t="str">
        <f>IF($B3705="","",_xll.BDP($B3705,"INDUSTRY_GROUP"))</f>
        <v/>
      </c>
      <c r="Y3705" t="str">
        <f>IF($B3705="","",_xll.BDP($B3705,"INDUSTRY_SUBGROUP"))</f>
        <v/>
      </c>
      <c r="Z3705" t="str">
        <f>IF($B3705="","",_xll.BDP($B3705,"COUNTRY_FULL_NAME"))</f>
        <v/>
      </c>
    </row>
    <row r="3706" spans="23:26" x14ac:dyDescent="0.25">
      <c r="W3706" t="str">
        <f>IF(B3706="","",_xll.BDP(B3706,"INDUSTRY_SECTOR"))</f>
        <v/>
      </c>
      <c r="X3706" t="str">
        <f>IF($B3706="","",_xll.BDP($B3706,"INDUSTRY_GROUP"))</f>
        <v/>
      </c>
      <c r="Y3706" t="str">
        <f>IF($B3706="","",_xll.BDP($B3706,"INDUSTRY_SUBGROUP"))</f>
        <v/>
      </c>
      <c r="Z3706" t="str">
        <f>IF($B3706="","",_xll.BDP($B3706,"COUNTRY_FULL_NAME"))</f>
        <v/>
      </c>
    </row>
    <row r="3707" spans="23:26" x14ac:dyDescent="0.25">
      <c r="W3707" t="str">
        <f>IF(B3707="","",_xll.BDP(B3707,"INDUSTRY_SECTOR"))</f>
        <v/>
      </c>
      <c r="X3707" t="str">
        <f>IF($B3707="","",_xll.BDP($B3707,"INDUSTRY_GROUP"))</f>
        <v/>
      </c>
      <c r="Y3707" t="str">
        <f>IF($B3707="","",_xll.BDP($B3707,"INDUSTRY_SUBGROUP"))</f>
        <v/>
      </c>
      <c r="Z3707" t="str">
        <f>IF($B3707="","",_xll.BDP($B3707,"COUNTRY_FULL_NAME"))</f>
        <v/>
      </c>
    </row>
    <row r="3708" spans="23:26" x14ac:dyDescent="0.25">
      <c r="W3708" t="str">
        <f>IF(B3708="","",_xll.BDP(B3708,"INDUSTRY_SECTOR"))</f>
        <v/>
      </c>
      <c r="X3708" t="str">
        <f>IF($B3708="","",_xll.BDP($B3708,"INDUSTRY_GROUP"))</f>
        <v/>
      </c>
      <c r="Y3708" t="str">
        <f>IF($B3708="","",_xll.BDP($B3708,"INDUSTRY_SUBGROUP"))</f>
        <v/>
      </c>
      <c r="Z3708" t="str">
        <f>IF($B3708="","",_xll.BDP($B3708,"COUNTRY_FULL_NAME"))</f>
        <v/>
      </c>
    </row>
    <row r="3709" spans="23:26" x14ac:dyDescent="0.25">
      <c r="W3709" t="str">
        <f>IF(B3709="","",_xll.BDP(B3709,"INDUSTRY_SECTOR"))</f>
        <v/>
      </c>
      <c r="X3709" t="str">
        <f>IF($B3709="","",_xll.BDP($B3709,"INDUSTRY_GROUP"))</f>
        <v/>
      </c>
      <c r="Y3709" t="str">
        <f>IF($B3709="","",_xll.BDP($B3709,"INDUSTRY_SUBGROUP"))</f>
        <v/>
      </c>
      <c r="Z3709" t="str">
        <f>IF($B3709="","",_xll.BDP($B3709,"COUNTRY_FULL_NAME"))</f>
        <v/>
      </c>
    </row>
    <row r="3710" spans="23:26" x14ac:dyDescent="0.25">
      <c r="W3710" t="str">
        <f>IF(B3710="","",_xll.BDP(B3710,"INDUSTRY_SECTOR"))</f>
        <v/>
      </c>
      <c r="X3710" t="str">
        <f>IF($B3710="","",_xll.BDP($B3710,"INDUSTRY_GROUP"))</f>
        <v/>
      </c>
      <c r="Y3710" t="str">
        <f>IF($B3710="","",_xll.BDP($B3710,"INDUSTRY_SUBGROUP"))</f>
        <v/>
      </c>
      <c r="Z3710" t="str">
        <f>IF($B3710="","",_xll.BDP($B3710,"COUNTRY_FULL_NAME"))</f>
        <v/>
      </c>
    </row>
    <row r="3711" spans="23:26" x14ac:dyDescent="0.25">
      <c r="W3711" t="str">
        <f>IF(B3711="","",_xll.BDP(B3711,"INDUSTRY_SECTOR"))</f>
        <v/>
      </c>
      <c r="X3711" t="str">
        <f>IF($B3711="","",_xll.BDP($B3711,"INDUSTRY_GROUP"))</f>
        <v/>
      </c>
      <c r="Y3711" t="str">
        <f>IF($B3711="","",_xll.BDP($B3711,"INDUSTRY_SUBGROUP"))</f>
        <v/>
      </c>
      <c r="Z3711" t="str">
        <f>IF($B3711="","",_xll.BDP($B3711,"COUNTRY_FULL_NAME"))</f>
        <v/>
      </c>
    </row>
    <row r="3712" spans="23:26" x14ac:dyDescent="0.25">
      <c r="W3712" t="str">
        <f>IF(B3712="","",_xll.BDP(B3712,"INDUSTRY_SECTOR"))</f>
        <v/>
      </c>
      <c r="X3712" t="str">
        <f>IF($B3712="","",_xll.BDP($B3712,"INDUSTRY_GROUP"))</f>
        <v/>
      </c>
      <c r="Y3712" t="str">
        <f>IF($B3712="","",_xll.BDP($B3712,"INDUSTRY_SUBGROUP"))</f>
        <v/>
      </c>
      <c r="Z3712" t="str">
        <f>IF($B3712="","",_xll.BDP($B3712,"COUNTRY_FULL_NAME"))</f>
        <v/>
      </c>
    </row>
    <row r="3713" spans="23:26" x14ac:dyDescent="0.25">
      <c r="W3713" t="str">
        <f>IF(B3713="","",_xll.BDP(B3713,"INDUSTRY_SECTOR"))</f>
        <v/>
      </c>
      <c r="X3713" t="str">
        <f>IF($B3713="","",_xll.BDP($B3713,"INDUSTRY_GROUP"))</f>
        <v/>
      </c>
      <c r="Y3713" t="str">
        <f>IF($B3713="","",_xll.BDP($B3713,"INDUSTRY_SUBGROUP"))</f>
        <v/>
      </c>
      <c r="Z3713" t="str">
        <f>IF($B3713="","",_xll.BDP($B3713,"COUNTRY_FULL_NAME"))</f>
        <v/>
      </c>
    </row>
    <row r="3714" spans="23:26" x14ac:dyDescent="0.25">
      <c r="W3714" t="str">
        <f>IF(B3714="","",_xll.BDP(B3714,"INDUSTRY_SECTOR"))</f>
        <v/>
      </c>
      <c r="X3714" t="str">
        <f>IF($B3714="","",_xll.BDP($B3714,"INDUSTRY_GROUP"))</f>
        <v/>
      </c>
      <c r="Y3714" t="str">
        <f>IF($B3714="","",_xll.BDP($B3714,"INDUSTRY_SUBGROUP"))</f>
        <v/>
      </c>
      <c r="Z3714" t="str">
        <f>IF($B3714="","",_xll.BDP($B3714,"COUNTRY_FULL_NAME"))</f>
        <v/>
      </c>
    </row>
    <row r="3715" spans="23:26" x14ac:dyDescent="0.25">
      <c r="W3715" t="str">
        <f>IF(B3715="","",_xll.BDP(B3715,"INDUSTRY_SECTOR"))</f>
        <v/>
      </c>
      <c r="X3715" t="str">
        <f>IF($B3715="","",_xll.BDP($B3715,"INDUSTRY_GROUP"))</f>
        <v/>
      </c>
      <c r="Y3715" t="str">
        <f>IF($B3715="","",_xll.BDP($B3715,"INDUSTRY_SUBGROUP"))</f>
        <v/>
      </c>
      <c r="Z3715" t="str">
        <f>IF($B3715="","",_xll.BDP($B3715,"COUNTRY_FULL_NAME"))</f>
        <v/>
      </c>
    </row>
    <row r="3716" spans="23:26" x14ac:dyDescent="0.25">
      <c r="W3716" t="str">
        <f>IF(B3716="","",_xll.BDP(B3716,"INDUSTRY_SECTOR"))</f>
        <v/>
      </c>
      <c r="X3716" t="str">
        <f>IF($B3716="","",_xll.BDP($B3716,"INDUSTRY_GROUP"))</f>
        <v/>
      </c>
      <c r="Y3716" t="str">
        <f>IF($B3716="","",_xll.BDP($B3716,"INDUSTRY_SUBGROUP"))</f>
        <v/>
      </c>
      <c r="Z3716" t="str">
        <f>IF($B3716="","",_xll.BDP($B3716,"COUNTRY_FULL_NAME"))</f>
        <v/>
      </c>
    </row>
    <row r="3717" spans="23:26" x14ac:dyDescent="0.25">
      <c r="W3717" t="str">
        <f>IF(B3717="","",_xll.BDP(B3717,"INDUSTRY_SECTOR"))</f>
        <v/>
      </c>
      <c r="X3717" t="str">
        <f>IF($B3717="","",_xll.BDP($B3717,"INDUSTRY_GROUP"))</f>
        <v/>
      </c>
      <c r="Y3717" t="str">
        <f>IF($B3717="","",_xll.BDP($B3717,"INDUSTRY_SUBGROUP"))</f>
        <v/>
      </c>
      <c r="Z3717" t="str">
        <f>IF($B3717="","",_xll.BDP($B3717,"COUNTRY_FULL_NAME"))</f>
        <v/>
      </c>
    </row>
    <row r="3718" spans="23:26" x14ac:dyDescent="0.25">
      <c r="W3718" t="str">
        <f>IF(B3718="","",_xll.BDP(B3718,"INDUSTRY_SECTOR"))</f>
        <v/>
      </c>
      <c r="X3718" t="str">
        <f>IF($B3718="","",_xll.BDP($B3718,"INDUSTRY_GROUP"))</f>
        <v/>
      </c>
      <c r="Y3718" t="str">
        <f>IF($B3718="","",_xll.BDP($B3718,"INDUSTRY_SUBGROUP"))</f>
        <v/>
      </c>
      <c r="Z3718" t="str">
        <f>IF($B3718="","",_xll.BDP($B3718,"COUNTRY_FULL_NAME"))</f>
        <v/>
      </c>
    </row>
    <row r="3719" spans="23:26" x14ac:dyDescent="0.25">
      <c r="W3719" t="str">
        <f>IF(B3719="","",_xll.BDP(B3719,"INDUSTRY_SECTOR"))</f>
        <v/>
      </c>
      <c r="X3719" t="str">
        <f>IF($B3719="","",_xll.BDP($B3719,"INDUSTRY_GROUP"))</f>
        <v/>
      </c>
      <c r="Y3719" t="str">
        <f>IF($B3719="","",_xll.BDP($B3719,"INDUSTRY_SUBGROUP"))</f>
        <v/>
      </c>
      <c r="Z3719" t="str">
        <f>IF($B3719="","",_xll.BDP($B3719,"COUNTRY_FULL_NAME"))</f>
        <v/>
      </c>
    </row>
    <row r="3720" spans="23:26" x14ac:dyDescent="0.25">
      <c r="W3720" t="str">
        <f>IF(B3720="","",_xll.BDP(B3720,"INDUSTRY_SECTOR"))</f>
        <v/>
      </c>
      <c r="X3720" t="str">
        <f>IF($B3720="","",_xll.BDP($B3720,"INDUSTRY_GROUP"))</f>
        <v/>
      </c>
      <c r="Y3720" t="str">
        <f>IF($B3720="","",_xll.BDP($B3720,"INDUSTRY_SUBGROUP"))</f>
        <v/>
      </c>
      <c r="Z3720" t="str">
        <f>IF($B3720="","",_xll.BDP($B3720,"COUNTRY_FULL_NAME"))</f>
        <v/>
      </c>
    </row>
    <row r="3721" spans="23:26" x14ac:dyDescent="0.25">
      <c r="W3721" t="str">
        <f>IF(B3721="","",_xll.BDP(B3721,"INDUSTRY_SECTOR"))</f>
        <v/>
      </c>
      <c r="X3721" t="str">
        <f>IF($B3721="","",_xll.BDP($B3721,"INDUSTRY_GROUP"))</f>
        <v/>
      </c>
      <c r="Y3721" t="str">
        <f>IF($B3721="","",_xll.BDP($B3721,"INDUSTRY_SUBGROUP"))</f>
        <v/>
      </c>
      <c r="Z3721" t="str">
        <f>IF($B3721="","",_xll.BDP($B3721,"COUNTRY_FULL_NAME"))</f>
        <v/>
      </c>
    </row>
    <row r="3722" spans="23:26" x14ac:dyDescent="0.25">
      <c r="W3722" t="str">
        <f>IF(B3722="","",_xll.BDP(B3722,"INDUSTRY_SECTOR"))</f>
        <v/>
      </c>
      <c r="X3722" t="str">
        <f>IF($B3722="","",_xll.BDP($B3722,"INDUSTRY_GROUP"))</f>
        <v/>
      </c>
      <c r="Y3722" t="str">
        <f>IF($B3722="","",_xll.BDP($B3722,"INDUSTRY_SUBGROUP"))</f>
        <v/>
      </c>
      <c r="Z3722" t="str">
        <f>IF($B3722="","",_xll.BDP($B3722,"COUNTRY_FULL_NAME"))</f>
        <v/>
      </c>
    </row>
    <row r="3723" spans="23:26" x14ac:dyDescent="0.25">
      <c r="W3723" t="str">
        <f>IF(B3723="","",_xll.BDP(B3723,"INDUSTRY_SECTOR"))</f>
        <v/>
      </c>
      <c r="X3723" t="str">
        <f>IF($B3723="","",_xll.BDP($B3723,"INDUSTRY_GROUP"))</f>
        <v/>
      </c>
      <c r="Y3723" t="str">
        <f>IF($B3723="","",_xll.BDP($B3723,"INDUSTRY_SUBGROUP"))</f>
        <v/>
      </c>
      <c r="Z3723" t="str">
        <f>IF($B3723="","",_xll.BDP($B3723,"COUNTRY_FULL_NAME"))</f>
        <v/>
      </c>
    </row>
    <row r="3724" spans="23:26" x14ac:dyDescent="0.25">
      <c r="W3724" t="str">
        <f>IF(B3724="","",_xll.BDP(B3724,"INDUSTRY_SECTOR"))</f>
        <v/>
      </c>
      <c r="X3724" t="str">
        <f>IF($B3724="","",_xll.BDP($B3724,"INDUSTRY_GROUP"))</f>
        <v/>
      </c>
      <c r="Y3724" t="str">
        <f>IF($B3724="","",_xll.BDP($B3724,"INDUSTRY_SUBGROUP"))</f>
        <v/>
      </c>
      <c r="Z3724" t="str">
        <f>IF($B3724="","",_xll.BDP($B3724,"COUNTRY_FULL_NAME"))</f>
        <v/>
      </c>
    </row>
    <row r="3725" spans="23:26" x14ac:dyDescent="0.25">
      <c r="W3725" t="str">
        <f>IF(B3725="","",_xll.BDP(B3725,"INDUSTRY_SECTOR"))</f>
        <v/>
      </c>
      <c r="X3725" t="str">
        <f>IF($B3725="","",_xll.BDP($B3725,"INDUSTRY_GROUP"))</f>
        <v/>
      </c>
      <c r="Y3725" t="str">
        <f>IF($B3725="","",_xll.BDP($B3725,"INDUSTRY_SUBGROUP"))</f>
        <v/>
      </c>
      <c r="Z3725" t="str">
        <f>IF($B3725="","",_xll.BDP($B3725,"COUNTRY_FULL_NAME"))</f>
        <v/>
      </c>
    </row>
    <row r="3726" spans="23:26" x14ac:dyDescent="0.25">
      <c r="W3726" t="str">
        <f>IF(B3726="","",_xll.BDP(B3726,"INDUSTRY_SECTOR"))</f>
        <v/>
      </c>
      <c r="X3726" t="str">
        <f>IF($B3726="","",_xll.BDP($B3726,"INDUSTRY_GROUP"))</f>
        <v/>
      </c>
      <c r="Y3726" t="str">
        <f>IF($B3726="","",_xll.BDP($B3726,"INDUSTRY_SUBGROUP"))</f>
        <v/>
      </c>
      <c r="Z3726" t="str">
        <f>IF($B3726="","",_xll.BDP($B3726,"COUNTRY_FULL_NAME"))</f>
        <v/>
      </c>
    </row>
    <row r="3727" spans="23:26" x14ac:dyDescent="0.25">
      <c r="W3727" t="str">
        <f>IF(B3727="","",_xll.BDP(B3727,"INDUSTRY_SECTOR"))</f>
        <v/>
      </c>
      <c r="X3727" t="str">
        <f>IF($B3727="","",_xll.BDP($B3727,"INDUSTRY_GROUP"))</f>
        <v/>
      </c>
      <c r="Y3727" t="str">
        <f>IF($B3727="","",_xll.BDP($B3727,"INDUSTRY_SUBGROUP"))</f>
        <v/>
      </c>
      <c r="Z3727" t="str">
        <f>IF($B3727="","",_xll.BDP($B3727,"COUNTRY_FULL_NAME"))</f>
        <v/>
      </c>
    </row>
    <row r="3728" spans="23:26" x14ac:dyDescent="0.25">
      <c r="W3728" t="str">
        <f>IF(B3728="","",_xll.BDP(B3728,"INDUSTRY_SECTOR"))</f>
        <v/>
      </c>
      <c r="X3728" t="str">
        <f>IF($B3728="","",_xll.BDP($B3728,"INDUSTRY_GROUP"))</f>
        <v/>
      </c>
      <c r="Y3728" t="str">
        <f>IF($B3728="","",_xll.BDP($B3728,"INDUSTRY_SUBGROUP"))</f>
        <v/>
      </c>
      <c r="Z3728" t="str">
        <f>IF($B3728="","",_xll.BDP($B3728,"COUNTRY_FULL_NAME"))</f>
        <v/>
      </c>
    </row>
    <row r="3729" spans="23:26" x14ac:dyDescent="0.25">
      <c r="W3729" t="str">
        <f>IF(B3729="","",_xll.BDP(B3729,"INDUSTRY_SECTOR"))</f>
        <v/>
      </c>
      <c r="X3729" t="str">
        <f>IF($B3729="","",_xll.BDP($B3729,"INDUSTRY_GROUP"))</f>
        <v/>
      </c>
      <c r="Y3729" t="str">
        <f>IF($B3729="","",_xll.BDP($B3729,"INDUSTRY_SUBGROUP"))</f>
        <v/>
      </c>
      <c r="Z3729" t="str">
        <f>IF($B3729="","",_xll.BDP($B3729,"COUNTRY_FULL_NAME"))</f>
        <v/>
      </c>
    </row>
    <row r="3730" spans="23:26" x14ac:dyDescent="0.25">
      <c r="W3730" t="str">
        <f>IF(B3730="","",_xll.BDP(B3730,"INDUSTRY_SECTOR"))</f>
        <v/>
      </c>
      <c r="X3730" t="str">
        <f>IF($B3730="","",_xll.BDP($B3730,"INDUSTRY_GROUP"))</f>
        <v/>
      </c>
      <c r="Y3730" t="str">
        <f>IF($B3730="","",_xll.BDP($B3730,"INDUSTRY_SUBGROUP"))</f>
        <v/>
      </c>
      <c r="Z3730" t="str">
        <f>IF($B3730="","",_xll.BDP($B3730,"COUNTRY_FULL_NAME"))</f>
        <v/>
      </c>
    </row>
    <row r="3731" spans="23:26" x14ac:dyDescent="0.25">
      <c r="W3731" t="str">
        <f>IF(B3731="","",_xll.BDP(B3731,"INDUSTRY_SECTOR"))</f>
        <v/>
      </c>
      <c r="X3731" t="str">
        <f>IF($B3731="","",_xll.BDP($B3731,"INDUSTRY_GROUP"))</f>
        <v/>
      </c>
      <c r="Y3731" t="str">
        <f>IF($B3731="","",_xll.BDP($B3731,"INDUSTRY_SUBGROUP"))</f>
        <v/>
      </c>
      <c r="Z3731" t="str">
        <f>IF($B3731="","",_xll.BDP($B3731,"COUNTRY_FULL_NAME"))</f>
        <v/>
      </c>
    </row>
    <row r="3732" spans="23:26" x14ac:dyDescent="0.25">
      <c r="W3732" t="str">
        <f>IF(B3732="","",_xll.BDP(B3732,"INDUSTRY_SECTOR"))</f>
        <v/>
      </c>
      <c r="X3732" t="str">
        <f>IF($B3732="","",_xll.BDP($B3732,"INDUSTRY_GROUP"))</f>
        <v/>
      </c>
      <c r="Y3732" t="str">
        <f>IF($B3732="","",_xll.BDP($B3732,"INDUSTRY_SUBGROUP"))</f>
        <v/>
      </c>
      <c r="Z3732" t="str">
        <f>IF($B3732="","",_xll.BDP($B3732,"COUNTRY_FULL_NAME"))</f>
        <v/>
      </c>
    </row>
    <row r="3733" spans="23:26" x14ac:dyDescent="0.25">
      <c r="W3733" t="str">
        <f>IF(B3733="","",_xll.BDP(B3733,"INDUSTRY_SECTOR"))</f>
        <v/>
      </c>
      <c r="X3733" t="str">
        <f>IF($B3733="","",_xll.BDP($B3733,"INDUSTRY_GROUP"))</f>
        <v/>
      </c>
      <c r="Y3733" t="str">
        <f>IF($B3733="","",_xll.BDP($B3733,"INDUSTRY_SUBGROUP"))</f>
        <v/>
      </c>
      <c r="Z3733" t="str">
        <f>IF($B3733="","",_xll.BDP($B3733,"COUNTRY_FULL_NAME"))</f>
        <v/>
      </c>
    </row>
    <row r="3734" spans="23:26" x14ac:dyDescent="0.25">
      <c r="W3734" t="str">
        <f>IF(B3734="","",_xll.BDP(B3734,"INDUSTRY_SECTOR"))</f>
        <v/>
      </c>
      <c r="X3734" t="str">
        <f>IF($B3734="","",_xll.BDP($B3734,"INDUSTRY_GROUP"))</f>
        <v/>
      </c>
      <c r="Y3734" t="str">
        <f>IF($B3734="","",_xll.BDP($B3734,"INDUSTRY_SUBGROUP"))</f>
        <v/>
      </c>
      <c r="Z3734" t="str">
        <f>IF($B3734="","",_xll.BDP($B3734,"COUNTRY_FULL_NAME"))</f>
        <v/>
      </c>
    </row>
    <row r="3735" spans="23:26" x14ac:dyDescent="0.25">
      <c r="W3735" t="str">
        <f>IF(B3735="","",_xll.BDP(B3735,"INDUSTRY_SECTOR"))</f>
        <v/>
      </c>
      <c r="X3735" t="str">
        <f>IF($B3735="","",_xll.BDP($B3735,"INDUSTRY_GROUP"))</f>
        <v/>
      </c>
      <c r="Y3735" t="str">
        <f>IF($B3735="","",_xll.BDP($B3735,"INDUSTRY_SUBGROUP"))</f>
        <v/>
      </c>
      <c r="Z3735" t="str">
        <f>IF($B3735="","",_xll.BDP($B3735,"COUNTRY_FULL_NAME"))</f>
        <v/>
      </c>
    </row>
    <row r="3736" spans="23:26" x14ac:dyDescent="0.25">
      <c r="W3736" t="str">
        <f>IF(B3736="","",_xll.BDP(B3736,"INDUSTRY_SECTOR"))</f>
        <v/>
      </c>
      <c r="X3736" t="str">
        <f>IF($B3736="","",_xll.BDP($B3736,"INDUSTRY_GROUP"))</f>
        <v/>
      </c>
      <c r="Y3736" t="str">
        <f>IF($B3736="","",_xll.BDP($B3736,"INDUSTRY_SUBGROUP"))</f>
        <v/>
      </c>
      <c r="Z3736" t="str">
        <f>IF($B3736="","",_xll.BDP($B3736,"COUNTRY_FULL_NAME"))</f>
        <v/>
      </c>
    </row>
    <row r="3737" spans="23:26" x14ac:dyDescent="0.25">
      <c r="W3737" t="str">
        <f>IF(B3737="","",_xll.BDP(B3737,"INDUSTRY_SECTOR"))</f>
        <v/>
      </c>
      <c r="X3737" t="str">
        <f>IF($B3737="","",_xll.BDP($B3737,"INDUSTRY_GROUP"))</f>
        <v/>
      </c>
      <c r="Y3737" t="str">
        <f>IF($B3737="","",_xll.BDP($B3737,"INDUSTRY_SUBGROUP"))</f>
        <v/>
      </c>
      <c r="Z3737" t="str">
        <f>IF($B3737="","",_xll.BDP($B3737,"COUNTRY_FULL_NAME"))</f>
        <v/>
      </c>
    </row>
    <row r="3738" spans="23:26" x14ac:dyDescent="0.25">
      <c r="W3738" t="str">
        <f>IF(B3738="","",_xll.BDP(B3738,"INDUSTRY_SECTOR"))</f>
        <v/>
      </c>
      <c r="X3738" t="str">
        <f>IF($B3738="","",_xll.BDP($B3738,"INDUSTRY_GROUP"))</f>
        <v/>
      </c>
      <c r="Y3738" t="str">
        <f>IF($B3738="","",_xll.BDP($B3738,"INDUSTRY_SUBGROUP"))</f>
        <v/>
      </c>
      <c r="Z3738" t="str">
        <f>IF($B3738="","",_xll.BDP($B3738,"COUNTRY_FULL_NAME"))</f>
        <v/>
      </c>
    </row>
    <row r="3739" spans="23:26" x14ac:dyDescent="0.25">
      <c r="W3739" t="str">
        <f>IF(B3739="","",_xll.BDP(B3739,"INDUSTRY_SECTOR"))</f>
        <v/>
      </c>
      <c r="X3739" t="str">
        <f>IF($B3739="","",_xll.BDP($B3739,"INDUSTRY_GROUP"))</f>
        <v/>
      </c>
      <c r="Y3739" t="str">
        <f>IF($B3739="","",_xll.BDP($B3739,"INDUSTRY_SUBGROUP"))</f>
        <v/>
      </c>
      <c r="Z3739" t="str">
        <f>IF($B3739="","",_xll.BDP($B3739,"COUNTRY_FULL_NAME"))</f>
        <v/>
      </c>
    </row>
    <row r="3740" spans="23:26" x14ac:dyDescent="0.25">
      <c r="W3740" t="str">
        <f>IF(B3740="","",_xll.BDP(B3740,"INDUSTRY_SECTOR"))</f>
        <v/>
      </c>
      <c r="X3740" t="str">
        <f>IF($B3740="","",_xll.BDP($B3740,"INDUSTRY_GROUP"))</f>
        <v/>
      </c>
      <c r="Y3740" t="str">
        <f>IF($B3740="","",_xll.BDP($B3740,"INDUSTRY_SUBGROUP"))</f>
        <v/>
      </c>
      <c r="Z3740" t="str">
        <f>IF($B3740="","",_xll.BDP($B3740,"COUNTRY_FULL_NAME"))</f>
        <v/>
      </c>
    </row>
    <row r="3741" spans="23:26" x14ac:dyDescent="0.25">
      <c r="W3741" t="str">
        <f>IF(B3741="","",_xll.BDP(B3741,"INDUSTRY_SECTOR"))</f>
        <v/>
      </c>
      <c r="X3741" t="str">
        <f>IF($B3741="","",_xll.BDP($B3741,"INDUSTRY_GROUP"))</f>
        <v/>
      </c>
      <c r="Y3741" t="str">
        <f>IF($B3741="","",_xll.BDP($B3741,"INDUSTRY_SUBGROUP"))</f>
        <v/>
      </c>
      <c r="Z3741" t="str">
        <f>IF($B3741="","",_xll.BDP($B3741,"COUNTRY_FULL_NAME"))</f>
        <v/>
      </c>
    </row>
    <row r="3742" spans="23:26" x14ac:dyDescent="0.25">
      <c r="W3742" t="str">
        <f>IF(B3742="","",_xll.BDP(B3742,"INDUSTRY_SECTOR"))</f>
        <v/>
      </c>
      <c r="X3742" t="str">
        <f>IF($B3742="","",_xll.BDP($B3742,"INDUSTRY_GROUP"))</f>
        <v/>
      </c>
      <c r="Y3742" t="str">
        <f>IF($B3742="","",_xll.BDP($B3742,"INDUSTRY_SUBGROUP"))</f>
        <v/>
      </c>
      <c r="Z3742" t="str">
        <f>IF($B3742="","",_xll.BDP($B3742,"COUNTRY_FULL_NAME"))</f>
        <v/>
      </c>
    </row>
    <row r="3743" spans="23:26" x14ac:dyDescent="0.25">
      <c r="W3743" t="str">
        <f>IF(B3743="","",_xll.BDP(B3743,"INDUSTRY_SECTOR"))</f>
        <v/>
      </c>
      <c r="X3743" t="str">
        <f>IF($B3743="","",_xll.BDP($B3743,"INDUSTRY_GROUP"))</f>
        <v/>
      </c>
      <c r="Y3743" t="str">
        <f>IF($B3743="","",_xll.BDP($B3743,"INDUSTRY_SUBGROUP"))</f>
        <v/>
      </c>
      <c r="Z3743" t="str">
        <f>IF($B3743="","",_xll.BDP($B3743,"COUNTRY_FULL_NAME"))</f>
        <v/>
      </c>
    </row>
    <row r="3744" spans="23:26" x14ac:dyDescent="0.25">
      <c r="W3744" t="str">
        <f>IF(B3744="","",_xll.BDP(B3744,"INDUSTRY_SECTOR"))</f>
        <v/>
      </c>
      <c r="X3744" t="str">
        <f>IF($B3744="","",_xll.BDP($B3744,"INDUSTRY_GROUP"))</f>
        <v/>
      </c>
      <c r="Y3744" t="str">
        <f>IF($B3744="","",_xll.BDP($B3744,"INDUSTRY_SUBGROUP"))</f>
        <v/>
      </c>
      <c r="Z3744" t="str">
        <f>IF($B3744="","",_xll.BDP($B3744,"COUNTRY_FULL_NAME"))</f>
        <v/>
      </c>
    </row>
    <row r="3745" spans="23:26" x14ac:dyDescent="0.25">
      <c r="W3745" t="str">
        <f>IF(B3745="","",_xll.BDP(B3745,"INDUSTRY_SECTOR"))</f>
        <v/>
      </c>
      <c r="X3745" t="str">
        <f>IF($B3745="","",_xll.BDP($B3745,"INDUSTRY_GROUP"))</f>
        <v/>
      </c>
      <c r="Y3745" t="str">
        <f>IF($B3745="","",_xll.BDP($B3745,"INDUSTRY_SUBGROUP"))</f>
        <v/>
      </c>
      <c r="Z3745" t="str">
        <f>IF($B3745="","",_xll.BDP($B3745,"COUNTRY_FULL_NAME"))</f>
        <v/>
      </c>
    </row>
    <row r="3746" spans="23:26" x14ac:dyDescent="0.25">
      <c r="W3746" t="str">
        <f>IF(B3746="","",_xll.BDP(B3746,"INDUSTRY_SECTOR"))</f>
        <v/>
      </c>
      <c r="X3746" t="str">
        <f>IF($B3746="","",_xll.BDP($B3746,"INDUSTRY_GROUP"))</f>
        <v/>
      </c>
      <c r="Y3746" t="str">
        <f>IF($B3746="","",_xll.BDP($B3746,"INDUSTRY_SUBGROUP"))</f>
        <v/>
      </c>
      <c r="Z3746" t="str">
        <f>IF($B3746="","",_xll.BDP($B3746,"COUNTRY_FULL_NAME"))</f>
        <v/>
      </c>
    </row>
    <row r="3747" spans="23:26" x14ac:dyDescent="0.25">
      <c r="W3747" t="str">
        <f>IF(B3747="","",_xll.BDP(B3747,"INDUSTRY_SECTOR"))</f>
        <v/>
      </c>
      <c r="X3747" t="str">
        <f>IF($B3747="","",_xll.BDP($B3747,"INDUSTRY_GROUP"))</f>
        <v/>
      </c>
      <c r="Y3747" t="str">
        <f>IF($B3747="","",_xll.BDP($B3747,"INDUSTRY_SUBGROUP"))</f>
        <v/>
      </c>
      <c r="Z3747" t="str">
        <f>IF($B3747="","",_xll.BDP($B3747,"COUNTRY_FULL_NAME"))</f>
        <v/>
      </c>
    </row>
    <row r="3748" spans="23:26" x14ac:dyDescent="0.25">
      <c r="W3748" t="str">
        <f>IF(B3748="","",_xll.BDP(B3748,"INDUSTRY_SECTOR"))</f>
        <v/>
      </c>
      <c r="X3748" t="str">
        <f>IF($B3748="","",_xll.BDP($B3748,"INDUSTRY_GROUP"))</f>
        <v/>
      </c>
      <c r="Y3748" t="str">
        <f>IF($B3748="","",_xll.BDP($B3748,"INDUSTRY_SUBGROUP"))</f>
        <v/>
      </c>
      <c r="Z3748" t="str">
        <f>IF($B3748="","",_xll.BDP($B3748,"COUNTRY_FULL_NAME"))</f>
        <v/>
      </c>
    </row>
    <row r="3749" spans="23:26" x14ac:dyDescent="0.25">
      <c r="W3749" t="str">
        <f>IF(B3749="","",_xll.BDP(B3749,"INDUSTRY_SECTOR"))</f>
        <v/>
      </c>
      <c r="X3749" t="str">
        <f>IF($B3749="","",_xll.BDP($B3749,"INDUSTRY_GROUP"))</f>
        <v/>
      </c>
      <c r="Y3749" t="str">
        <f>IF($B3749="","",_xll.BDP($B3749,"INDUSTRY_SUBGROUP"))</f>
        <v/>
      </c>
      <c r="Z3749" t="str">
        <f>IF($B3749="","",_xll.BDP($B3749,"COUNTRY_FULL_NAME"))</f>
        <v/>
      </c>
    </row>
    <row r="3750" spans="23:26" x14ac:dyDescent="0.25">
      <c r="W3750" t="str">
        <f>IF(B3750="","",_xll.BDP(B3750,"INDUSTRY_SECTOR"))</f>
        <v/>
      </c>
      <c r="X3750" t="str">
        <f>IF($B3750="","",_xll.BDP($B3750,"INDUSTRY_GROUP"))</f>
        <v/>
      </c>
      <c r="Y3750" t="str">
        <f>IF($B3750="","",_xll.BDP($B3750,"INDUSTRY_SUBGROUP"))</f>
        <v/>
      </c>
      <c r="Z3750" t="str">
        <f>IF($B3750="","",_xll.BDP($B3750,"COUNTRY_FULL_NAME"))</f>
        <v/>
      </c>
    </row>
    <row r="3751" spans="23:26" x14ac:dyDescent="0.25">
      <c r="W3751" t="str">
        <f>IF(B3751="","",_xll.BDP(B3751,"INDUSTRY_SECTOR"))</f>
        <v/>
      </c>
      <c r="X3751" t="str">
        <f>IF($B3751="","",_xll.BDP($B3751,"INDUSTRY_GROUP"))</f>
        <v/>
      </c>
      <c r="Y3751" t="str">
        <f>IF($B3751="","",_xll.BDP($B3751,"INDUSTRY_SUBGROUP"))</f>
        <v/>
      </c>
      <c r="Z3751" t="str">
        <f>IF($B3751="","",_xll.BDP($B3751,"COUNTRY_FULL_NAME"))</f>
        <v/>
      </c>
    </row>
    <row r="3752" spans="23:26" x14ac:dyDescent="0.25">
      <c r="W3752" t="str">
        <f>IF(B3752="","",_xll.BDP(B3752,"INDUSTRY_SECTOR"))</f>
        <v/>
      </c>
      <c r="X3752" t="str">
        <f>IF($B3752="","",_xll.BDP($B3752,"INDUSTRY_GROUP"))</f>
        <v/>
      </c>
      <c r="Y3752" t="str">
        <f>IF($B3752="","",_xll.BDP($B3752,"INDUSTRY_SUBGROUP"))</f>
        <v/>
      </c>
      <c r="Z3752" t="str">
        <f>IF($B3752="","",_xll.BDP($B3752,"COUNTRY_FULL_NAME"))</f>
        <v/>
      </c>
    </row>
    <row r="3753" spans="23:26" x14ac:dyDescent="0.25">
      <c r="W3753" t="str">
        <f>IF(B3753="","",_xll.BDP(B3753,"INDUSTRY_SECTOR"))</f>
        <v/>
      </c>
      <c r="X3753" t="str">
        <f>IF($B3753="","",_xll.BDP($B3753,"INDUSTRY_GROUP"))</f>
        <v/>
      </c>
      <c r="Y3753" t="str">
        <f>IF($B3753="","",_xll.BDP($B3753,"INDUSTRY_SUBGROUP"))</f>
        <v/>
      </c>
      <c r="Z3753" t="str">
        <f>IF($B3753="","",_xll.BDP($B3753,"COUNTRY_FULL_NAME"))</f>
        <v/>
      </c>
    </row>
    <row r="3754" spans="23:26" x14ac:dyDescent="0.25">
      <c r="W3754" t="str">
        <f>IF(B3754="","",_xll.BDP(B3754,"INDUSTRY_SECTOR"))</f>
        <v/>
      </c>
      <c r="X3754" t="str">
        <f>IF($B3754="","",_xll.BDP($B3754,"INDUSTRY_GROUP"))</f>
        <v/>
      </c>
      <c r="Y3754" t="str">
        <f>IF($B3754="","",_xll.BDP($B3754,"INDUSTRY_SUBGROUP"))</f>
        <v/>
      </c>
      <c r="Z3754" t="str">
        <f>IF($B3754="","",_xll.BDP($B3754,"COUNTRY_FULL_NAME"))</f>
        <v/>
      </c>
    </row>
    <row r="3755" spans="23:26" x14ac:dyDescent="0.25">
      <c r="W3755" t="str">
        <f>IF(B3755="","",_xll.BDP(B3755,"INDUSTRY_SECTOR"))</f>
        <v/>
      </c>
      <c r="X3755" t="str">
        <f>IF($B3755="","",_xll.BDP($B3755,"INDUSTRY_GROUP"))</f>
        <v/>
      </c>
      <c r="Y3755" t="str">
        <f>IF($B3755="","",_xll.BDP($B3755,"INDUSTRY_SUBGROUP"))</f>
        <v/>
      </c>
      <c r="Z3755" t="str">
        <f>IF($B3755="","",_xll.BDP($B3755,"COUNTRY_FULL_NAME"))</f>
        <v/>
      </c>
    </row>
    <row r="3756" spans="23:26" x14ac:dyDescent="0.25">
      <c r="W3756" t="str">
        <f>IF(B3756="","",_xll.BDP(B3756,"INDUSTRY_SECTOR"))</f>
        <v/>
      </c>
      <c r="X3756" t="str">
        <f>IF($B3756="","",_xll.BDP($B3756,"INDUSTRY_GROUP"))</f>
        <v/>
      </c>
      <c r="Y3756" t="str">
        <f>IF($B3756="","",_xll.BDP($B3756,"INDUSTRY_SUBGROUP"))</f>
        <v/>
      </c>
      <c r="Z3756" t="str">
        <f>IF($B3756="","",_xll.BDP($B3756,"COUNTRY_FULL_NAME"))</f>
        <v/>
      </c>
    </row>
    <row r="3757" spans="23:26" x14ac:dyDescent="0.25">
      <c r="W3757" t="str">
        <f>IF(B3757="","",_xll.BDP(B3757,"INDUSTRY_SECTOR"))</f>
        <v/>
      </c>
      <c r="X3757" t="str">
        <f>IF($B3757="","",_xll.BDP($B3757,"INDUSTRY_GROUP"))</f>
        <v/>
      </c>
      <c r="Y3757" t="str">
        <f>IF($B3757="","",_xll.BDP($B3757,"INDUSTRY_SUBGROUP"))</f>
        <v/>
      </c>
      <c r="Z3757" t="str">
        <f>IF($B3757="","",_xll.BDP($B3757,"COUNTRY_FULL_NAME"))</f>
        <v/>
      </c>
    </row>
    <row r="3758" spans="23:26" x14ac:dyDescent="0.25">
      <c r="W3758" t="str">
        <f>IF(B3758="","",_xll.BDP(B3758,"INDUSTRY_SECTOR"))</f>
        <v/>
      </c>
      <c r="X3758" t="str">
        <f>IF($B3758="","",_xll.BDP($B3758,"INDUSTRY_GROUP"))</f>
        <v/>
      </c>
      <c r="Y3758" t="str">
        <f>IF($B3758="","",_xll.BDP($B3758,"INDUSTRY_SUBGROUP"))</f>
        <v/>
      </c>
      <c r="Z3758" t="str">
        <f>IF($B3758="","",_xll.BDP($B3758,"COUNTRY_FULL_NAME"))</f>
        <v/>
      </c>
    </row>
    <row r="3759" spans="23:26" x14ac:dyDescent="0.25">
      <c r="W3759" t="str">
        <f>IF(B3759="","",_xll.BDP(B3759,"INDUSTRY_SECTOR"))</f>
        <v/>
      </c>
      <c r="X3759" t="str">
        <f>IF($B3759="","",_xll.BDP($B3759,"INDUSTRY_GROUP"))</f>
        <v/>
      </c>
      <c r="Y3759" t="str">
        <f>IF($B3759="","",_xll.BDP($B3759,"INDUSTRY_SUBGROUP"))</f>
        <v/>
      </c>
      <c r="Z3759" t="str">
        <f>IF($B3759="","",_xll.BDP($B3759,"COUNTRY_FULL_NAME"))</f>
        <v/>
      </c>
    </row>
    <row r="3760" spans="23:26" x14ac:dyDescent="0.25">
      <c r="W3760" t="str">
        <f>IF(B3760="","",_xll.BDP(B3760,"INDUSTRY_SECTOR"))</f>
        <v/>
      </c>
      <c r="X3760" t="str">
        <f>IF($B3760="","",_xll.BDP($B3760,"INDUSTRY_GROUP"))</f>
        <v/>
      </c>
      <c r="Y3760" t="str">
        <f>IF($B3760="","",_xll.BDP($B3760,"INDUSTRY_SUBGROUP"))</f>
        <v/>
      </c>
      <c r="Z3760" t="str">
        <f>IF($B3760="","",_xll.BDP($B3760,"COUNTRY_FULL_NAME"))</f>
        <v/>
      </c>
    </row>
    <row r="3761" spans="23:26" x14ac:dyDescent="0.25">
      <c r="W3761" t="str">
        <f>IF(B3761="","",_xll.BDP(B3761,"INDUSTRY_SECTOR"))</f>
        <v/>
      </c>
      <c r="X3761" t="str">
        <f>IF($B3761="","",_xll.BDP($B3761,"INDUSTRY_GROUP"))</f>
        <v/>
      </c>
      <c r="Y3761" t="str">
        <f>IF($B3761="","",_xll.BDP($B3761,"INDUSTRY_SUBGROUP"))</f>
        <v/>
      </c>
      <c r="Z3761" t="str">
        <f>IF($B3761="","",_xll.BDP($B3761,"COUNTRY_FULL_NAME"))</f>
        <v/>
      </c>
    </row>
    <row r="3762" spans="23:26" x14ac:dyDescent="0.25">
      <c r="W3762" t="str">
        <f>IF(B3762="","",_xll.BDP(B3762,"INDUSTRY_SECTOR"))</f>
        <v/>
      </c>
      <c r="X3762" t="str">
        <f>IF($B3762="","",_xll.BDP($B3762,"INDUSTRY_GROUP"))</f>
        <v/>
      </c>
      <c r="Y3762" t="str">
        <f>IF($B3762="","",_xll.BDP($B3762,"INDUSTRY_SUBGROUP"))</f>
        <v/>
      </c>
      <c r="Z3762" t="str">
        <f>IF($B3762="","",_xll.BDP($B3762,"COUNTRY_FULL_NAME"))</f>
        <v/>
      </c>
    </row>
    <row r="3763" spans="23:26" x14ac:dyDescent="0.25">
      <c r="W3763" t="str">
        <f>IF(B3763="","",_xll.BDP(B3763,"INDUSTRY_SECTOR"))</f>
        <v/>
      </c>
      <c r="X3763" t="str">
        <f>IF($B3763="","",_xll.BDP($B3763,"INDUSTRY_GROUP"))</f>
        <v/>
      </c>
      <c r="Y3763" t="str">
        <f>IF($B3763="","",_xll.BDP($B3763,"INDUSTRY_SUBGROUP"))</f>
        <v/>
      </c>
      <c r="Z3763" t="str">
        <f>IF($B3763="","",_xll.BDP($B3763,"COUNTRY_FULL_NAME"))</f>
        <v/>
      </c>
    </row>
    <row r="3764" spans="23:26" x14ac:dyDescent="0.25">
      <c r="W3764" t="str">
        <f>IF(B3764="","",_xll.BDP(B3764,"INDUSTRY_SECTOR"))</f>
        <v/>
      </c>
      <c r="X3764" t="str">
        <f>IF($B3764="","",_xll.BDP($B3764,"INDUSTRY_GROUP"))</f>
        <v/>
      </c>
      <c r="Y3764" t="str">
        <f>IF($B3764="","",_xll.BDP($B3764,"INDUSTRY_SUBGROUP"))</f>
        <v/>
      </c>
      <c r="Z3764" t="str">
        <f>IF($B3764="","",_xll.BDP($B3764,"COUNTRY_FULL_NAME"))</f>
        <v/>
      </c>
    </row>
    <row r="3765" spans="23:26" x14ac:dyDescent="0.25">
      <c r="W3765" t="str">
        <f>IF(B3765="","",_xll.BDP(B3765,"INDUSTRY_SECTOR"))</f>
        <v/>
      </c>
      <c r="X3765" t="str">
        <f>IF($B3765="","",_xll.BDP($B3765,"INDUSTRY_GROUP"))</f>
        <v/>
      </c>
      <c r="Y3765" t="str">
        <f>IF($B3765="","",_xll.BDP($B3765,"INDUSTRY_SUBGROUP"))</f>
        <v/>
      </c>
      <c r="Z3765" t="str">
        <f>IF($B3765="","",_xll.BDP($B3765,"COUNTRY_FULL_NAME"))</f>
        <v/>
      </c>
    </row>
    <row r="3766" spans="23:26" x14ac:dyDescent="0.25">
      <c r="W3766" t="str">
        <f>IF(B3766="","",_xll.BDP(B3766,"INDUSTRY_SECTOR"))</f>
        <v/>
      </c>
      <c r="X3766" t="str">
        <f>IF($B3766="","",_xll.BDP($B3766,"INDUSTRY_GROUP"))</f>
        <v/>
      </c>
      <c r="Y3766" t="str">
        <f>IF($B3766="","",_xll.BDP($B3766,"INDUSTRY_SUBGROUP"))</f>
        <v/>
      </c>
      <c r="Z3766" t="str">
        <f>IF($B3766="","",_xll.BDP($B3766,"COUNTRY_FULL_NAME"))</f>
        <v/>
      </c>
    </row>
    <row r="3767" spans="23:26" x14ac:dyDescent="0.25">
      <c r="W3767" t="str">
        <f>IF(B3767="","",_xll.BDP(B3767,"INDUSTRY_SECTOR"))</f>
        <v/>
      </c>
      <c r="X3767" t="str">
        <f>IF($B3767="","",_xll.BDP($B3767,"INDUSTRY_GROUP"))</f>
        <v/>
      </c>
      <c r="Y3767" t="str">
        <f>IF($B3767="","",_xll.BDP($B3767,"INDUSTRY_SUBGROUP"))</f>
        <v/>
      </c>
      <c r="Z3767" t="str">
        <f>IF($B3767="","",_xll.BDP($B3767,"COUNTRY_FULL_NAME"))</f>
        <v/>
      </c>
    </row>
    <row r="3768" spans="23:26" x14ac:dyDescent="0.25">
      <c r="W3768" t="str">
        <f>IF(B3768="","",_xll.BDP(B3768,"INDUSTRY_SECTOR"))</f>
        <v/>
      </c>
      <c r="X3768" t="str">
        <f>IF($B3768="","",_xll.BDP($B3768,"INDUSTRY_GROUP"))</f>
        <v/>
      </c>
      <c r="Y3768" t="str">
        <f>IF($B3768="","",_xll.BDP($B3768,"INDUSTRY_SUBGROUP"))</f>
        <v/>
      </c>
      <c r="Z3768" t="str">
        <f>IF($B3768="","",_xll.BDP($B3768,"COUNTRY_FULL_NAME"))</f>
        <v/>
      </c>
    </row>
    <row r="3769" spans="23:26" x14ac:dyDescent="0.25">
      <c r="W3769" t="str">
        <f>IF(B3769="","",_xll.BDP(B3769,"INDUSTRY_SECTOR"))</f>
        <v/>
      </c>
      <c r="X3769" t="str">
        <f>IF($B3769="","",_xll.BDP($B3769,"INDUSTRY_GROUP"))</f>
        <v/>
      </c>
      <c r="Y3769" t="str">
        <f>IF($B3769="","",_xll.BDP($B3769,"INDUSTRY_SUBGROUP"))</f>
        <v/>
      </c>
      <c r="Z3769" t="str">
        <f>IF($B3769="","",_xll.BDP($B3769,"COUNTRY_FULL_NAME"))</f>
        <v/>
      </c>
    </row>
    <row r="3770" spans="23:26" x14ac:dyDescent="0.25">
      <c r="W3770" t="str">
        <f>IF(B3770="","",_xll.BDP(B3770,"INDUSTRY_SECTOR"))</f>
        <v/>
      </c>
      <c r="X3770" t="str">
        <f>IF($B3770="","",_xll.BDP($B3770,"INDUSTRY_GROUP"))</f>
        <v/>
      </c>
      <c r="Y3770" t="str">
        <f>IF($B3770="","",_xll.BDP($B3770,"INDUSTRY_SUBGROUP"))</f>
        <v/>
      </c>
      <c r="Z3770" t="str">
        <f>IF($B3770="","",_xll.BDP($B3770,"COUNTRY_FULL_NAME"))</f>
        <v/>
      </c>
    </row>
    <row r="3771" spans="23:26" x14ac:dyDescent="0.25">
      <c r="W3771" t="str">
        <f>IF(B3771="","",_xll.BDP(B3771,"INDUSTRY_SECTOR"))</f>
        <v/>
      </c>
      <c r="X3771" t="str">
        <f>IF($B3771="","",_xll.BDP($B3771,"INDUSTRY_GROUP"))</f>
        <v/>
      </c>
      <c r="Y3771" t="str">
        <f>IF($B3771="","",_xll.BDP($B3771,"INDUSTRY_SUBGROUP"))</f>
        <v/>
      </c>
      <c r="Z3771" t="str">
        <f>IF($B3771="","",_xll.BDP($B3771,"COUNTRY_FULL_NAME"))</f>
        <v/>
      </c>
    </row>
    <row r="3772" spans="23:26" x14ac:dyDescent="0.25">
      <c r="W3772" t="str">
        <f>IF(B3772="","",_xll.BDP(B3772,"INDUSTRY_SECTOR"))</f>
        <v/>
      </c>
      <c r="X3772" t="str">
        <f>IF($B3772="","",_xll.BDP($B3772,"INDUSTRY_GROUP"))</f>
        <v/>
      </c>
      <c r="Y3772" t="str">
        <f>IF($B3772="","",_xll.BDP($B3772,"INDUSTRY_SUBGROUP"))</f>
        <v/>
      </c>
      <c r="Z3772" t="str">
        <f>IF($B3772="","",_xll.BDP($B3772,"COUNTRY_FULL_NAME"))</f>
        <v/>
      </c>
    </row>
    <row r="3773" spans="23:26" x14ac:dyDescent="0.25">
      <c r="W3773" t="str">
        <f>IF(B3773="","",_xll.BDP(B3773,"INDUSTRY_SECTOR"))</f>
        <v/>
      </c>
      <c r="X3773" t="str">
        <f>IF($B3773="","",_xll.BDP($B3773,"INDUSTRY_GROUP"))</f>
        <v/>
      </c>
      <c r="Y3773" t="str">
        <f>IF($B3773="","",_xll.BDP($B3773,"INDUSTRY_SUBGROUP"))</f>
        <v/>
      </c>
      <c r="Z3773" t="str">
        <f>IF($B3773="","",_xll.BDP($B3773,"COUNTRY_FULL_NAME"))</f>
        <v/>
      </c>
    </row>
    <row r="3774" spans="23:26" x14ac:dyDescent="0.25">
      <c r="W3774" t="str">
        <f>IF(B3774="","",_xll.BDP(B3774,"INDUSTRY_SECTOR"))</f>
        <v/>
      </c>
      <c r="X3774" t="str">
        <f>IF($B3774="","",_xll.BDP($B3774,"INDUSTRY_GROUP"))</f>
        <v/>
      </c>
      <c r="Y3774" t="str">
        <f>IF($B3774="","",_xll.BDP($B3774,"INDUSTRY_SUBGROUP"))</f>
        <v/>
      </c>
      <c r="Z3774" t="str">
        <f>IF($B3774="","",_xll.BDP($B3774,"COUNTRY_FULL_NAME"))</f>
        <v/>
      </c>
    </row>
    <row r="3775" spans="23:26" x14ac:dyDescent="0.25">
      <c r="W3775" t="str">
        <f>IF(B3775="","",_xll.BDP(B3775,"INDUSTRY_SECTOR"))</f>
        <v/>
      </c>
      <c r="X3775" t="str">
        <f>IF($B3775="","",_xll.BDP($B3775,"INDUSTRY_GROUP"))</f>
        <v/>
      </c>
      <c r="Y3775" t="str">
        <f>IF($B3775="","",_xll.BDP($B3775,"INDUSTRY_SUBGROUP"))</f>
        <v/>
      </c>
      <c r="Z3775" t="str">
        <f>IF($B3775="","",_xll.BDP($B3775,"COUNTRY_FULL_NAME"))</f>
        <v/>
      </c>
    </row>
    <row r="3776" spans="23:26" x14ac:dyDescent="0.25">
      <c r="W3776" t="str">
        <f>IF(B3776="","",_xll.BDP(B3776,"INDUSTRY_SECTOR"))</f>
        <v/>
      </c>
      <c r="X3776" t="str">
        <f>IF($B3776="","",_xll.BDP($B3776,"INDUSTRY_GROUP"))</f>
        <v/>
      </c>
      <c r="Y3776" t="str">
        <f>IF($B3776="","",_xll.BDP($B3776,"INDUSTRY_SUBGROUP"))</f>
        <v/>
      </c>
      <c r="Z3776" t="str">
        <f>IF($B3776="","",_xll.BDP($B3776,"COUNTRY_FULL_NAME"))</f>
        <v/>
      </c>
    </row>
    <row r="3777" spans="23:26" x14ac:dyDescent="0.25">
      <c r="W3777" t="str">
        <f>IF(B3777="","",_xll.BDP(B3777,"INDUSTRY_SECTOR"))</f>
        <v/>
      </c>
      <c r="X3777" t="str">
        <f>IF($B3777="","",_xll.BDP($B3777,"INDUSTRY_GROUP"))</f>
        <v/>
      </c>
      <c r="Y3777" t="str">
        <f>IF($B3777="","",_xll.BDP($B3777,"INDUSTRY_SUBGROUP"))</f>
        <v/>
      </c>
      <c r="Z3777" t="str">
        <f>IF($B3777="","",_xll.BDP($B3777,"COUNTRY_FULL_NAME"))</f>
        <v/>
      </c>
    </row>
    <row r="3778" spans="23:26" x14ac:dyDescent="0.25">
      <c r="W3778" t="str">
        <f>IF(B3778="","",_xll.BDP(B3778,"INDUSTRY_SECTOR"))</f>
        <v/>
      </c>
      <c r="X3778" t="str">
        <f>IF($B3778="","",_xll.BDP($B3778,"INDUSTRY_GROUP"))</f>
        <v/>
      </c>
      <c r="Y3778" t="str">
        <f>IF($B3778="","",_xll.BDP($B3778,"INDUSTRY_SUBGROUP"))</f>
        <v/>
      </c>
      <c r="Z3778" t="str">
        <f>IF($B3778="","",_xll.BDP($B3778,"COUNTRY_FULL_NAME"))</f>
        <v/>
      </c>
    </row>
    <row r="3779" spans="23:26" x14ac:dyDescent="0.25">
      <c r="W3779" t="str">
        <f>IF(B3779="","",_xll.BDP(B3779,"INDUSTRY_SECTOR"))</f>
        <v/>
      </c>
      <c r="X3779" t="str">
        <f>IF($B3779="","",_xll.BDP($B3779,"INDUSTRY_GROUP"))</f>
        <v/>
      </c>
      <c r="Y3779" t="str">
        <f>IF($B3779="","",_xll.BDP($B3779,"INDUSTRY_SUBGROUP"))</f>
        <v/>
      </c>
      <c r="Z3779" t="str">
        <f>IF($B3779="","",_xll.BDP($B3779,"COUNTRY_FULL_NAME"))</f>
        <v/>
      </c>
    </row>
    <row r="3780" spans="23:26" x14ac:dyDescent="0.25">
      <c r="W3780" t="str">
        <f>IF(B3780="","",_xll.BDP(B3780,"INDUSTRY_SECTOR"))</f>
        <v/>
      </c>
      <c r="X3780" t="str">
        <f>IF($B3780="","",_xll.BDP($B3780,"INDUSTRY_GROUP"))</f>
        <v/>
      </c>
      <c r="Y3780" t="str">
        <f>IF($B3780="","",_xll.BDP($B3780,"INDUSTRY_SUBGROUP"))</f>
        <v/>
      </c>
      <c r="Z3780" t="str">
        <f>IF($B3780="","",_xll.BDP($B3780,"COUNTRY_FULL_NAME"))</f>
        <v/>
      </c>
    </row>
    <row r="3781" spans="23:26" x14ac:dyDescent="0.25">
      <c r="W3781" t="str">
        <f>IF(B3781="","",_xll.BDP(B3781,"INDUSTRY_SECTOR"))</f>
        <v/>
      </c>
      <c r="X3781" t="str">
        <f>IF($B3781="","",_xll.BDP($B3781,"INDUSTRY_GROUP"))</f>
        <v/>
      </c>
      <c r="Y3781" t="str">
        <f>IF($B3781="","",_xll.BDP($B3781,"INDUSTRY_SUBGROUP"))</f>
        <v/>
      </c>
      <c r="Z3781" t="str">
        <f>IF($B3781="","",_xll.BDP($B3781,"COUNTRY_FULL_NAME"))</f>
        <v/>
      </c>
    </row>
    <row r="3782" spans="23:26" x14ac:dyDescent="0.25">
      <c r="W3782" t="str">
        <f>IF(B3782="","",_xll.BDP(B3782,"INDUSTRY_SECTOR"))</f>
        <v/>
      </c>
      <c r="X3782" t="str">
        <f>IF($B3782="","",_xll.BDP($B3782,"INDUSTRY_GROUP"))</f>
        <v/>
      </c>
      <c r="Y3782" t="str">
        <f>IF($B3782="","",_xll.BDP($B3782,"INDUSTRY_SUBGROUP"))</f>
        <v/>
      </c>
      <c r="Z3782" t="str">
        <f>IF($B3782="","",_xll.BDP($B3782,"COUNTRY_FULL_NAME"))</f>
        <v/>
      </c>
    </row>
    <row r="3783" spans="23:26" x14ac:dyDescent="0.25">
      <c r="W3783" t="str">
        <f>IF(B3783="","",_xll.BDP(B3783,"INDUSTRY_SECTOR"))</f>
        <v/>
      </c>
      <c r="X3783" t="str">
        <f>IF($B3783="","",_xll.BDP($B3783,"INDUSTRY_GROUP"))</f>
        <v/>
      </c>
      <c r="Y3783" t="str">
        <f>IF($B3783="","",_xll.BDP($B3783,"INDUSTRY_SUBGROUP"))</f>
        <v/>
      </c>
      <c r="Z3783" t="str">
        <f>IF($B3783="","",_xll.BDP($B3783,"COUNTRY_FULL_NAME"))</f>
        <v/>
      </c>
    </row>
    <row r="3784" spans="23:26" x14ac:dyDescent="0.25">
      <c r="W3784" t="str">
        <f>IF(B3784="","",_xll.BDP(B3784,"INDUSTRY_SECTOR"))</f>
        <v/>
      </c>
      <c r="X3784" t="str">
        <f>IF($B3784="","",_xll.BDP($B3784,"INDUSTRY_GROUP"))</f>
        <v/>
      </c>
      <c r="Y3784" t="str">
        <f>IF($B3784="","",_xll.BDP($B3784,"INDUSTRY_SUBGROUP"))</f>
        <v/>
      </c>
      <c r="Z3784" t="str">
        <f>IF($B3784="","",_xll.BDP($B3784,"COUNTRY_FULL_NAME"))</f>
        <v/>
      </c>
    </row>
    <row r="3785" spans="23:26" x14ac:dyDescent="0.25">
      <c r="W3785" t="str">
        <f>IF(B3785="","",_xll.BDP(B3785,"INDUSTRY_SECTOR"))</f>
        <v/>
      </c>
      <c r="X3785" t="str">
        <f>IF($B3785="","",_xll.BDP($B3785,"INDUSTRY_GROUP"))</f>
        <v/>
      </c>
      <c r="Y3785" t="str">
        <f>IF($B3785="","",_xll.BDP($B3785,"INDUSTRY_SUBGROUP"))</f>
        <v/>
      </c>
      <c r="Z3785" t="str">
        <f>IF($B3785="","",_xll.BDP($B3785,"COUNTRY_FULL_NAME"))</f>
        <v/>
      </c>
    </row>
    <row r="3786" spans="23:26" x14ac:dyDescent="0.25">
      <c r="W3786" t="str">
        <f>IF(B3786="","",_xll.BDP(B3786,"INDUSTRY_SECTOR"))</f>
        <v/>
      </c>
      <c r="X3786" t="str">
        <f>IF($B3786="","",_xll.BDP($B3786,"INDUSTRY_GROUP"))</f>
        <v/>
      </c>
      <c r="Y3786" t="str">
        <f>IF($B3786="","",_xll.BDP($B3786,"INDUSTRY_SUBGROUP"))</f>
        <v/>
      </c>
      <c r="Z3786" t="str">
        <f>IF($B3786="","",_xll.BDP($B3786,"COUNTRY_FULL_NAME"))</f>
        <v/>
      </c>
    </row>
    <row r="3787" spans="23:26" x14ac:dyDescent="0.25">
      <c r="W3787" t="str">
        <f>IF(B3787="","",_xll.BDP(B3787,"INDUSTRY_SECTOR"))</f>
        <v/>
      </c>
      <c r="X3787" t="str">
        <f>IF($B3787="","",_xll.BDP($B3787,"INDUSTRY_GROUP"))</f>
        <v/>
      </c>
      <c r="Y3787" t="str">
        <f>IF($B3787="","",_xll.BDP($B3787,"INDUSTRY_SUBGROUP"))</f>
        <v/>
      </c>
      <c r="Z3787" t="str">
        <f>IF($B3787="","",_xll.BDP($B3787,"COUNTRY_FULL_NAME"))</f>
        <v/>
      </c>
    </row>
    <row r="3788" spans="23:26" x14ac:dyDescent="0.25">
      <c r="W3788" t="str">
        <f>IF(B3788="","",_xll.BDP(B3788,"INDUSTRY_SECTOR"))</f>
        <v/>
      </c>
      <c r="X3788" t="str">
        <f>IF($B3788="","",_xll.BDP($B3788,"INDUSTRY_GROUP"))</f>
        <v/>
      </c>
      <c r="Y3788" t="str">
        <f>IF($B3788="","",_xll.BDP($B3788,"INDUSTRY_SUBGROUP"))</f>
        <v/>
      </c>
      <c r="Z3788" t="str">
        <f>IF($B3788="","",_xll.BDP($B3788,"COUNTRY_FULL_NAME"))</f>
        <v/>
      </c>
    </row>
    <row r="3789" spans="23:26" x14ac:dyDescent="0.25">
      <c r="W3789" t="str">
        <f>IF(B3789="","",_xll.BDP(B3789,"INDUSTRY_SECTOR"))</f>
        <v/>
      </c>
      <c r="X3789" t="str">
        <f>IF($B3789="","",_xll.BDP($B3789,"INDUSTRY_GROUP"))</f>
        <v/>
      </c>
      <c r="Y3789" t="str">
        <f>IF($B3789="","",_xll.BDP($B3789,"INDUSTRY_SUBGROUP"))</f>
        <v/>
      </c>
      <c r="Z3789" t="str">
        <f>IF($B3789="","",_xll.BDP($B3789,"COUNTRY_FULL_NAME"))</f>
        <v/>
      </c>
    </row>
    <row r="3790" spans="23:26" x14ac:dyDescent="0.25">
      <c r="W3790" t="str">
        <f>IF(B3790="","",_xll.BDP(B3790,"INDUSTRY_SECTOR"))</f>
        <v/>
      </c>
      <c r="X3790" t="str">
        <f>IF($B3790="","",_xll.BDP($B3790,"INDUSTRY_GROUP"))</f>
        <v/>
      </c>
      <c r="Y3790" t="str">
        <f>IF($B3790="","",_xll.BDP($B3790,"INDUSTRY_SUBGROUP"))</f>
        <v/>
      </c>
      <c r="Z3790" t="str">
        <f>IF($B3790="","",_xll.BDP($B3790,"COUNTRY_FULL_NAME"))</f>
        <v/>
      </c>
    </row>
    <row r="3791" spans="23:26" x14ac:dyDescent="0.25">
      <c r="W3791" t="str">
        <f>IF(B3791="","",_xll.BDP(B3791,"INDUSTRY_SECTOR"))</f>
        <v/>
      </c>
      <c r="X3791" t="str">
        <f>IF($B3791="","",_xll.BDP($B3791,"INDUSTRY_GROUP"))</f>
        <v/>
      </c>
      <c r="Y3791" t="str">
        <f>IF($B3791="","",_xll.BDP($B3791,"INDUSTRY_SUBGROUP"))</f>
        <v/>
      </c>
      <c r="Z3791" t="str">
        <f>IF($B3791="","",_xll.BDP($B3791,"COUNTRY_FULL_NAME"))</f>
        <v/>
      </c>
    </row>
    <row r="3792" spans="23:26" x14ac:dyDescent="0.25">
      <c r="W3792" t="str">
        <f>IF(B3792="","",_xll.BDP(B3792,"INDUSTRY_SECTOR"))</f>
        <v/>
      </c>
      <c r="X3792" t="str">
        <f>IF($B3792="","",_xll.BDP($B3792,"INDUSTRY_GROUP"))</f>
        <v/>
      </c>
      <c r="Y3792" t="str">
        <f>IF($B3792="","",_xll.BDP($B3792,"INDUSTRY_SUBGROUP"))</f>
        <v/>
      </c>
      <c r="Z3792" t="str">
        <f>IF($B3792="","",_xll.BDP($B3792,"COUNTRY_FULL_NAME"))</f>
        <v/>
      </c>
    </row>
    <row r="3793" spans="23:26" x14ac:dyDescent="0.25">
      <c r="W3793" t="str">
        <f>IF(B3793="","",_xll.BDP(B3793,"INDUSTRY_SECTOR"))</f>
        <v/>
      </c>
      <c r="X3793" t="str">
        <f>IF($B3793="","",_xll.BDP($B3793,"INDUSTRY_GROUP"))</f>
        <v/>
      </c>
      <c r="Y3793" t="str">
        <f>IF($B3793="","",_xll.BDP($B3793,"INDUSTRY_SUBGROUP"))</f>
        <v/>
      </c>
      <c r="Z3793" t="str">
        <f>IF($B3793="","",_xll.BDP($B3793,"COUNTRY_FULL_NAME"))</f>
        <v/>
      </c>
    </row>
    <row r="3794" spans="23:26" x14ac:dyDescent="0.25">
      <c r="W3794" t="str">
        <f>IF(B3794="","",_xll.BDP(B3794,"INDUSTRY_SECTOR"))</f>
        <v/>
      </c>
      <c r="X3794" t="str">
        <f>IF($B3794="","",_xll.BDP($B3794,"INDUSTRY_GROUP"))</f>
        <v/>
      </c>
      <c r="Y3794" t="str">
        <f>IF($B3794="","",_xll.BDP($B3794,"INDUSTRY_SUBGROUP"))</f>
        <v/>
      </c>
      <c r="Z3794" t="str">
        <f>IF($B3794="","",_xll.BDP($B3794,"COUNTRY_FULL_NAME"))</f>
        <v/>
      </c>
    </row>
    <row r="3795" spans="23:26" x14ac:dyDescent="0.25">
      <c r="W3795" t="str">
        <f>IF(B3795="","",_xll.BDP(B3795,"INDUSTRY_SECTOR"))</f>
        <v/>
      </c>
      <c r="X3795" t="str">
        <f>IF($B3795="","",_xll.BDP($B3795,"INDUSTRY_GROUP"))</f>
        <v/>
      </c>
      <c r="Y3795" t="str">
        <f>IF($B3795="","",_xll.BDP($B3795,"INDUSTRY_SUBGROUP"))</f>
        <v/>
      </c>
      <c r="Z3795" t="str">
        <f>IF($B3795="","",_xll.BDP($B3795,"COUNTRY_FULL_NAME"))</f>
        <v/>
      </c>
    </row>
    <row r="3796" spans="23:26" x14ac:dyDescent="0.25">
      <c r="W3796" t="str">
        <f>IF(B3796="","",_xll.BDP(B3796,"INDUSTRY_SECTOR"))</f>
        <v/>
      </c>
      <c r="X3796" t="str">
        <f>IF($B3796="","",_xll.BDP($B3796,"INDUSTRY_GROUP"))</f>
        <v/>
      </c>
      <c r="Y3796" t="str">
        <f>IF($B3796="","",_xll.BDP($B3796,"INDUSTRY_SUBGROUP"))</f>
        <v/>
      </c>
      <c r="Z3796" t="str">
        <f>IF($B3796="","",_xll.BDP($B3796,"COUNTRY_FULL_NAME"))</f>
        <v/>
      </c>
    </row>
    <row r="3797" spans="23:26" x14ac:dyDescent="0.25">
      <c r="W3797" t="str">
        <f>IF(B3797="","",_xll.BDP(B3797,"INDUSTRY_SECTOR"))</f>
        <v/>
      </c>
      <c r="X3797" t="str">
        <f>IF($B3797="","",_xll.BDP($B3797,"INDUSTRY_GROUP"))</f>
        <v/>
      </c>
      <c r="Y3797" t="str">
        <f>IF($B3797="","",_xll.BDP($B3797,"INDUSTRY_SUBGROUP"))</f>
        <v/>
      </c>
      <c r="Z3797" t="str">
        <f>IF($B3797="","",_xll.BDP($B3797,"COUNTRY_FULL_NAME"))</f>
        <v/>
      </c>
    </row>
    <row r="3798" spans="23:26" x14ac:dyDescent="0.25">
      <c r="W3798" t="str">
        <f>IF(B3798="","",_xll.BDP(B3798,"INDUSTRY_SECTOR"))</f>
        <v/>
      </c>
      <c r="X3798" t="str">
        <f>IF($B3798="","",_xll.BDP($B3798,"INDUSTRY_GROUP"))</f>
        <v/>
      </c>
      <c r="Y3798" t="str">
        <f>IF($B3798="","",_xll.BDP($B3798,"INDUSTRY_SUBGROUP"))</f>
        <v/>
      </c>
      <c r="Z3798" t="str">
        <f>IF($B3798="","",_xll.BDP($B3798,"COUNTRY_FULL_NAME"))</f>
        <v/>
      </c>
    </row>
    <row r="3799" spans="23:26" x14ac:dyDescent="0.25">
      <c r="W3799" t="str">
        <f>IF(B3799="","",_xll.BDP(B3799,"INDUSTRY_SECTOR"))</f>
        <v/>
      </c>
      <c r="X3799" t="str">
        <f>IF($B3799="","",_xll.BDP($B3799,"INDUSTRY_GROUP"))</f>
        <v/>
      </c>
      <c r="Y3799" t="str">
        <f>IF($B3799="","",_xll.BDP($B3799,"INDUSTRY_SUBGROUP"))</f>
        <v/>
      </c>
      <c r="Z3799" t="str">
        <f>IF($B3799="","",_xll.BDP($B3799,"COUNTRY_FULL_NAME"))</f>
        <v/>
      </c>
    </row>
    <row r="3800" spans="23:26" x14ac:dyDescent="0.25">
      <c r="W3800" t="str">
        <f>IF(B3800="","",_xll.BDP(B3800,"INDUSTRY_SECTOR"))</f>
        <v/>
      </c>
      <c r="X3800" t="str">
        <f>IF($B3800="","",_xll.BDP($B3800,"INDUSTRY_GROUP"))</f>
        <v/>
      </c>
      <c r="Y3800" t="str">
        <f>IF($B3800="","",_xll.BDP($B3800,"INDUSTRY_SUBGROUP"))</f>
        <v/>
      </c>
      <c r="Z3800" t="str">
        <f>IF($B3800="","",_xll.BDP($B3800,"COUNTRY_FULL_NAME"))</f>
        <v/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9:M49"/>
  <sheetViews>
    <sheetView topLeftCell="A26" workbookViewId="0">
      <selection activeCell="C46" sqref="C46"/>
    </sheetView>
  </sheetViews>
  <sheetFormatPr baseColWidth="10" defaultRowHeight="15" x14ac:dyDescent="0.25"/>
  <sheetData>
    <row r="9" spans="2:13" x14ac:dyDescent="0.25">
      <c r="C9" t="s">
        <v>26</v>
      </c>
    </row>
    <row r="10" spans="2:13" x14ac:dyDescent="0.25">
      <c r="E10" t="s">
        <v>27</v>
      </c>
    </row>
    <row r="11" spans="2:13" x14ac:dyDescent="0.25">
      <c r="B11" t="s">
        <v>28</v>
      </c>
      <c r="C11" s="38" t="str">
        <f>_xll.BDP(B11,$C$9)</f>
        <v>AT</v>
      </c>
      <c r="E11" t="str">
        <f>"CNTRY_OF_DOMICILE=='"&amp;C11&amp;"'"</f>
        <v>CNTRY_OF_DOMICILE=='AT'</v>
      </c>
      <c r="H11" t="str">
        <f>E11&amp;" OR "&amp;E12</f>
        <v>CNTRY_OF_DOMICILE=='AT' OR CNTRY_OF_DOMICILE=='BE'</v>
      </c>
    </row>
    <row r="12" spans="2:13" x14ac:dyDescent="0.25">
      <c r="B12" t="s">
        <v>29</v>
      </c>
      <c r="C12" s="38" t="str">
        <f>_xll.BDP(B12,$C$9)</f>
        <v>BE</v>
      </c>
      <c r="E12" t="str">
        <f t="shared" ref="E12:E29" si="0">"CNTRY_OF_DOMICILE=='"&amp;C12&amp;"'"</f>
        <v>CNTRY_OF_DOMICILE=='BE'</v>
      </c>
      <c r="H12" t="str">
        <f>H11&amp;" OR "&amp;E13</f>
        <v>CNTRY_OF_DOMICILE=='AT' OR CNTRY_OF_DOMICILE=='BE' OR CNTRY_OF_DOMICILE=='CY'</v>
      </c>
    </row>
    <row r="13" spans="2:13" x14ac:dyDescent="0.25">
      <c r="B13" t="s">
        <v>30</v>
      </c>
      <c r="C13" s="38" t="str">
        <f>_xll.BDP(B13,$C$9)</f>
        <v>CY</v>
      </c>
      <c r="E13" t="str">
        <f t="shared" si="0"/>
        <v>CNTRY_OF_DOMICILE=='CY'</v>
      </c>
      <c r="H13" t="str">
        <f t="shared" ref="H13:H28" si="1">H12&amp;" OR "&amp;E14</f>
        <v>CNTRY_OF_DOMICILE=='AT' OR CNTRY_OF_DOMICILE=='BE' OR CNTRY_OF_DOMICILE=='CY' OR CNTRY_OF_DOMICILE=='EE'</v>
      </c>
    </row>
    <row r="14" spans="2:13" x14ac:dyDescent="0.25">
      <c r="B14" t="s">
        <v>31</v>
      </c>
      <c r="C14" s="38" t="str">
        <f>_xll.BDP(B14,$C$9)</f>
        <v>EE</v>
      </c>
      <c r="E14" t="str">
        <f t="shared" si="0"/>
        <v>CNTRY_OF_DOMICILE=='EE'</v>
      </c>
      <c r="H14" t="str">
        <f t="shared" si="1"/>
        <v>CNTRY_OF_DOMICILE=='AT' OR CNTRY_OF_DOMICILE=='BE' OR CNTRY_OF_DOMICILE=='CY' OR CNTRY_OF_DOMICILE=='EE' OR CNTRY_OF_DOMICILE=='FI'</v>
      </c>
    </row>
    <row r="15" spans="2:13" x14ac:dyDescent="0.25">
      <c r="B15" t="s">
        <v>32</v>
      </c>
      <c r="C15" s="38" t="str">
        <f>_xll.BDP(B15,$C$9)</f>
        <v>FI</v>
      </c>
      <c r="E15" t="str">
        <f t="shared" si="0"/>
        <v>CNTRY_OF_DOMICILE=='FI'</v>
      </c>
      <c r="F15" s="37"/>
      <c r="H15" t="str">
        <f t="shared" si="1"/>
        <v>CNTRY_OF_DOMICILE=='AT' OR CNTRY_OF_DOMICILE=='BE' OR CNTRY_OF_DOMICILE=='CY' OR CNTRY_OF_DOMICILE=='EE' OR CNTRY_OF_DOMICILE=='FI' OR CNTRY_OF_DOMICILE=='FR'</v>
      </c>
      <c r="M15" s="37"/>
    </row>
    <row r="16" spans="2:13" x14ac:dyDescent="0.25">
      <c r="B16" t="s">
        <v>33</v>
      </c>
      <c r="C16" s="38" t="str">
        <f>_xll.BDP(B16,$C$9)</f>
        <v>FR</v>
      </c>
      <c r="E16" t="str">
        <f t="shared" si="0"/>
        <v>CNTRY_OF_DOMICILE=='FR'</v>
      </c>
      <c r="H16" t="str">
        <f t="shared" si="1"/>
        <v>CNTRY_OF_DOMICILE=='AT' OR CNTRY_OF_DOMICILE=='BE' OR CNTRY_OF_DOMICILE=='CY' OR CNTRY_OF_DOMICILE=='EE' OR CNTRY_OF_DOMICILE=='FI' OR CNTRY_OF_DOMICILE=='FR' OR CNTRY_OF_DOMICILE=='DE'</v>
      </c>
    </row>
    <row r="17" spans="2:13" x14ac:dyDescent="0.25">
      <c r="B17" t="s">
        <v>34</v>
      </c>
      <c r="C17" s="38" t="str">
        <f>_xll.BDP(B17,$C$9)</f>
        <v>DE</v>
      </c>
      <c r="E17" t="str">
        <f t="shared" si="0"/>
        <v>CNTRY_OF_DOMICILE=='DE'</v>
      </c>
      <c r="H17" t="str">
        <f t="shared" si="1"/>
        <v>CNTRY_OF_DOMICILE=='AT' OR CNTRY_OF_DOMICILE=='BE' OR CNTRY_OF_DOMICILE=='CY' OR CNTRY_OF_DOMICILE=='EE' OR CNTRY_OF_DOMICILE=='FI' OR CNTRY_OF_DOMICILE=='FR' OR CNTRY_OF_DOMICILE=='DE' OR CNTRY_OF_DOMICILE=='GR'</v>
      </c>
    </row>
    <row r="18" spans="2:13" x14ac:dyDescent="0.25">
      <c r="B18" t="s">
        <v>35</v>
      </c>
      <c r="C18" s="38" t="str">
        <f>_xll.BDP(B18,$C$9)</f>
        <v>GR</v>
      </c>
      <c r="E18" t="str">
        <f t="shared" si="0"/>
        <v>CNTRY_OF_DOMICILE=='GR'</v>
      </c>
      <c r="H18" t="str">
        <f t="shared" si="1"/>
        <v>CNTRY_OF_DOMICILE=='AT' OR CNTRY_OF_DOMICILE=='BE' OR CNTRY_OF_DOMICILE=='CY' OR CNTRY_OF_DOMICILE=='EE' OR CNTRY_OF_DOMICILE=='FI' OR CNTRY_OF_DOMICILE=='FR' OR CNTRY_OF_DOMICILE=='DE' OR CNTRY_OF_DOMICILE=='GR' OR CNTRY_OF_DOMICILE=='IE'</v>
      </c>
    </row>
    <row r="19" spans="2:13" x14ac:dyDescent="0.25">
      <c r="B19" t="s">
        <v>36</v>
      </c>
      <c r="C19" s="38" t="str">
        <f>_xll.BDP(B19,$C$9)</f>
        <v>IE</v>
      </c>
      <c r="E19" t="str">
        <f t="shared" si="0"/>
        <v>CNTRY_OF_DOMICILE=='IE'</v>
      </c>
      <c r="H19" t="str">
        <f t="shared" si="1"/>
        <v>CNTRY_OF_DOMICILE=='AT' OR CNTRY_OF_DOMICILE=='BE' OR CNTRY_OF_DOMICILE=='CY' OR CNTRY_OF_DOMICILE=='EE' OR CNTRY_OF_DOMICILE=='FI' OR CNTRY_OF_DOMICILE=='FR' OR CNTRY_OF_DOMICILE=='DE' OR CNTRY_OF_DOMICILE=='GR' OR CNTRY_OF_DOMICILE=='IE' OR CNTRY_OF_DOMICILE=='IT'</v>
      </c>
    </row>
    <row r="20" spans="2:13" x14ac:dyDescent="0.25">
      <c r="B20" t="s">
        <v>37</v>
      </c>
      <c r="C20" s="38" t="str">
        <f>_xll.BDP(B20,$C$9)</f>
        <v>IT</v>
      </c>
      <c r="E20" t="str">
        <f t="shared" si="0"/>
        <v>CNTRY_OF_DOMICILE=='IT'</v>
      </c>
      <c r="H20" t="str">
        <f t="shared" si="1"/>
        <v>CNTRY_OF_DOMICILE=='AT' OR CNTRY_OF_DOMICILE=='BE' OR CNTRY_OF_DOMICILE=='CY' OR CNTRY_OF_DOMICILE=='EE' OR CNTRY_OF_DOMICILE=='FI' OR CNTRY_OF_DOMICILE=='FR' OR CNTRY_OF_DOMICILE=='DE' OR CNTRY_OF_DOMICILE=='GR' OR CNTRY_OF_DOMICILE=='IE' OR CNTRY_OF_DOMICILE=='IT' OR CNTRY_OF_DOMICILE=='LV'</v>
      </c>
    </row>
    <row r="21" spans="2:13" x14ac:dyDescent="0.25">
      <c r="B21" t="s">
        <v>38</v>
      </c>
      <c r="C21" s="38" t="str">
        <f>_xll.BDP(B21,$C$9)</f>
        <v>LV</v>
      </c>
      <c r="E21" t="str">
        <f t="shared" si="0"/>
        <v>CNTRY_OF_DOMICILE=='LV'</v>
      </c>
      <c r="H21" t="str">
        <f t="shared" si="1"/>
        <v>CNTRY_OF_DOMICILE=='AT' OR CNTRY_OF_DOMICILE=='BE' OR CNTRY_OF_DOMICILE=='CY' OR CNTRY_OF_DOMICILE=='EE' OR CNTRY_OF_DOMICILE=='FI' OR CNTRY_OF_DOMICILE=='FR' OR CNTRY_OF_DOMICILE=='DE' OR CNTRY_OF_DOMICILE=='GR' OR CNTRY_OF_DOMICILE=='IE' OR CNTRY_OF_DOMICILE=='IT' OR CNTRY_OF_DOMICILE=='LV' OR CNTRY_OF_DOMICILE=='LT'</v>
      </c>
    </row>
    <row r="22" spans="2:13" x14ac:dyDescent="0.25">
      <c r="B22" t="s">
        <v>39</v>
      </c>
      <c r="C22" s="38" t="str">
        <f>_xll.BDP(B22,$C$9)</f>
        <v>LT</v>
      </c>
      <c r="E22" t="str">
        <f t="shared" si="0"/>
        <v>CNTRY_OF_DOMICILE=='LT'</v>
      </c>
      <c r="F22" s="37"/>
      <c r="H22" t="str">
        <f t="shared" si="1"/>
        <v>CNTRY_OF_DOMICILE=='AT' OR CNTRY_OF_DOMICILE=='BE' OR CNTRY_OF_DOMICILE=='CY' OR CNTRY_OF_DOMICILE=='EE' OR CNTRY_OF_DOMICILE=='FI' OR CNTRY_OF_DOMICILE=='FR' OR CNTRY_OF_DOMICILE=='DE' OR CNTRY_OF_DOMICILE=='GR' OR CNTRY_OF_DOMICILE=='IE' OR CNTRY_OF_DOMICILE=='IT' OR CNTRY_OF_DOMICILE=='LV' OR CNTRY_OF_DOMICILE=='LT' OR CNTRY_OF_DOMICILE=='LU'</v>
      </c>
      <c r="M22" s="37"/>
    </row>
    <row r="23" spans="2:13" x14ac:dyDescent="0.25">
      <c r="B23" t="s">
        <v>40</v>
      </c>
      <c r="C23" s="38" t="str">
        <f>_xll.BDP(B23,$C$9)</f>
        <v>LU</v>
      </c>
      <c r="E23" t="str">
        <f t="shared" si="0"/>
        <v>CNTRY_OF_DOMICILE=='LU'</v>
      </c>
      <c r="H23" t="str">
        <f t="shared" si="1"/>
        <v>CNTRY_OF_DOMICILE=='AT' OR CNTRY_OF_DOMICILE=='BE' OR CNTRY_OF_DOMICILE=='CY' OR CNTRY_OF_DOMICILE=='EE' OR CNTRY_OF_DOMICILE=='FI' OR CNTRY_OF_DOMICILE=='FR' OR CNTRY_OF_DOMICILE=='DE' OR CNTRY_OF_DOMICILE=='GR' OR CNTRY_OF_DOMICILE=='IE' OR CNTRY_OF_DOMICILE=='IT' OR CNTRY_OF_DOMICILE=='LV' OR CNTRY_OF_DOMICILE=='LT' OR CNTRY_OF_DOMICILE=='LU' OR CNTRY_OF_DOMICILE=='MT'</v>
      </c>
    </row>
    <row r="24" spans="2:13" x14ac:dyDescent="0.25">
      <c r="B24" t="s">
        <v>41</v>
      </c>
      <c r="C24" s="38" t="str">
        <f>_xll.BDP(B24,$C$9)</f>
        <v>MT</v>
      </c>
      <c r="E24" t="str">
        <f t="shared" si="0"/>
        <v>CNTRY_OF_DOMICILE=='MT'</v>
      </c>
      <c r="H24" t="str">
        <f t="shared" si="1"/>
        <v>CNTRY_OF_DOMICILE=='AT' OR CNTRY_OF_DOMICILE=='BE' OR CNTRY_OF_DOMICILE=='CY' OR CNTRY_OF_DOMICILE=='EE' OR CNTRY_OF_DOMICILE=='FI' OR CNTRY_OF_DOMICILE=='FR' OR CNTRY_OF_DOMICILE=='DE' OR CNTRY_OF_DOMICILE=='GR' OR CNTRY_OF_DOMICILE=='IE' OR CNTRY_OF_DOMICILE=='IT' OR CNTRY_OF_DOMICILE=='LV' OR CNTRY_OF_DOMICILE=='LT' OR CNTRY_OF_DOMICILE=='LU' OR CNTRY_OF_DOMICILE=='MT' OR CNTRY_OF_DOMICILE=='NL'</v>
      </c>
    </row>
    <row r="25" spans="2:13" x14ac:dyDescent="0.25">
      <c r="B25" t="s">
        <v>42</v>
      </c>
      <c r="C25" s="38" t="str">
        <f>_xll.BDP(B25,$C$9)</f>
        <v>NL</v>
      </c>
      <c r="E25" t="str">
        <f t="shared" si="0"/>
        <v>CNTRY_OF_DOMICILE=='NL'</v>
      </c>
      <c r="H25" t="str">
        <f t="shared" si="1"/>
        <v>CNTRY_OF_DOMICILE=='AT' OR CNTRY_OF_DOMICILE=='BE' OR CNTRY_OF_DOMICILE=='CY' OR CNTRY_OF_DOMICILE=='EE' OR CNTRY_OF_DOMICILE=='FI' OR CNTRY_OF_DOMICILE=='FR' OR CNTRY_OF_DOMICILE=='DE' OR CNTRY_OF_DOMICILE=='GR' OR CNTRY_OF_DOMICILE=='IE' OR CNTRY_OF_DOMICILE=='IT' OR CNTRY_OF_DOMICILE=='LV' OR CNTRY_OF_DOMICILE=='LT' OR CNTRY_OF_DOMICILE=='LU' OR CNTRY_OF_DOMICILE=='MT' OR CNTRY_OF_DOMICILE=='NL' OR CNTRY_OF_DOMICILE=='PT'</v>
      </c>
    </row>
    <row r="26" spans="2:13" x14ac:dyDescent="0.25">
      <c r="B26" t="s">
        <v>43</v>
      </c>
      <c r="C26" s="38" t="str">
        <f>_xll.BDP(B26,$C$9)</f>
        <v>PT</v>
      </c>
      <c r="E26" t="str">
        <f t="shared" si="0"/>
        <v>CNTRY_OF_DOMICILE=='PT'</v>
      </c>
      <c r="H26" t="str">
        <f t="shared" si="1"/>
        <v>CNTRY_OF_DOMICILE=='AT' OR CNTRY_OF_DOMICILE=='BE' OR CNTRY_OF_DOMICILE=='CY' OR CNTRY_OF_DOMICILE=='EE' OR CNTRY_OF_DOMICILE=='FI' OR CNTRY_OF_DOMICILE=='FR' OR CNTRY_OF_DOMICILE=='DE' OR CNTRY_OF_DOMICILE=='GR' OR CNTRY_OF_DOMICILE=='IE' OR CNTRY_OF_DOMICILE=='IT' OR CNTRY_OF_DOMICILE=='LV' OR CNTRY_OF_DOMICILE=='LT' OR CNTRY_OF_DOMICILE=='LU' OR CNTRY_OF_DOMICILE=='MT' OR CNTRY_OF_DOMICILE=='NL' OR CNTRY_OF_DOMICILE=='PT' OR CNTRY_OF_DOMICILE=='SK'</v>
      </c>
    </row>
    <row r="27" spans="2:13" x14ac:dyDescent="0.25">
      <c r="B27" t="s">
        <v>44</v>
      </c>
      <c r="C27" s="38" t="str">
        <f>_xll.BDP(B27,$C$9)</f>
        <v>SK</v>
      </c>
      <c r="E27" t="str">
        <f t="shared" si="0"/>
        <v>CNTRY_OF_DOMICILE=='SK'</v>
      </c>
      <c r="H27" t="str">
        <f t="shared" si="1"/>
        <v>CNTRY_OF_DOMICILE=='AT' OR CNTRY_OF_DOMICILE=='BE' OR CNTRY_OF_DOMICILE=='CY' OR CNTRY_OF_DOMICILE=='EE' OR CNTRY_OF_DOMICILE=='FI' OR CNTRY_OF_DOMICILE=='FR' OR CNTRY_OF_DOMICILE=='DE' OR CNTRY_OF_DOMICILE=='GR' OR CNTRY_OF_DOMICILE=='IE' OR CNTRY_OF_DOMICILE=='IT' OR CNTRY_OF_DOMICILE=='LV' OR CNTRY_OF_DOMICILE=='LT' OR CNTRY_OF_DOMICILE=='LU' OR CNTRY_OF_DOMICILE=='MT' OR CNTRY_OF_DOMICILE=='NL' OR CNTRY_OF_DOMICILE=='PT' OR CNTRY_OF_DOMICILE=='SK' OR CNTRY_OF_DOMICILE=='SI'</v>
      </c>
    </row>
    <row r="28" spans="2:13" x14ac:dyDescent="0.25">
      <c r="B28" t="s">
        <v>45</v>
      </c>
      <c r="C28" s="38" t="str">
        <f>_xll.BDP(B28,$C$9)</f>
        <v>SI</v>
      </c>
      <c r="E28" t="str">
        <f t="shared" si="0"/>
        <v>CNTRY_OF_DOMICILE=='SI'</v>
      </c>
      <c r="H28" t="str">
        <f t="shared" si="1"/>
        <v>CNTRY_OF_DOMICILE=='AT' OR CNTRY_OF_DOMICILE=='BE' OR CNTRY_OF_DOMICILE=='CY' OR CNTRY_OF_DOMICILE=='EE' OR CNTRY_OF_DOMICILE=='FI' OR CNTRY_OF_DOMICILE=='FR' OR CNTRY_OF_DOMICILE=='DE' OR CNTRY_OF_DOMICILE=='GR' OR CNTRY_OF_DOMICILE=='IE' OR CNTRY_OF_DOMICILE=='IT' OR CNTRY_OF_DOMICILE=='LV' OR CNTRY_OF_DOMICILE=='LT' OR CNTRY_OF_DOMICILE=='LU' OR CNTRY_OF_DOMICILE=='MT' OR CNTRY_OF_DOMICILE=='NL' OR CNTRY_OF_DOMICILE=='PT' OR CNTRY_OF_DOMICILE=='SK' OR CNTRY_OF_DOMICILE=='SI' OR CNTRY_OF_DOMICILE=='ES'</v>
      </c>
    </row>
    <row r="29" spans="2:13" x14ac:dyDescent="0.25">
      <c r="B29" t="s">
        <v>46</v>
      </c>
      <c r="C29" s="38" t="str">
        <f>_xll.BDP(B29,$C$9)</f>
        <v>ES</v>
      </c>
      <c r="E29" t="str">
        <f t="shared" si="0"/>
        <v>CNTRY_OF_DOMICILE=='ES'</v>
      </c>
    </row>
    <row r="32" spans="2:13" x14ac:dyDescent="0.25">
      <c r="H32" t="str">
        <f>"("&amp;H28&amp;")"</f>
        <v>(CNTRY_OF_DOMICILE=='AT' OR CNTRY_OF_DOMICILE=='BE' OR CNTRY_OF_DOMICILE=='CY' OR CNTRY_OF_DOMICILE=='EE' OR CNTRY_OF_DOMICILE=='FI' OR CNTRY_OF_DOMICILE=='FR' OR CNTRY_OF_DOMICILE=='DE' OR CNTRY_OF_DOMICILE=='GR' OR CNTRY_OF_DOMICILE=='IE' OR CNTRY_OF_DOMICILE=='IT' OR CNTRY_OF_DOMICILE=='LV' OR CNTRY_OF_DOMICILE=='LT' OR CNTRY_OF_DOMICILE=='LU' OR CNTRY_OF_DOMICILE=='MT' OR CNTRY_OF_DOMICILE=='NL' OR CNTRY_OF_DOMICILE=='PT' OR CNTRY_OF_DOMICILE=='SK' OR CNTRY_OF_DOMICILE=='SI' OR CNTRY_OF_DOMICILE=='ES')</v>
      </c>
    </row>
    <row r="34" spans="3:8" x14ac:dyDescent="0.25">
      <c r="H34" t="str">
        <f>"FOR(filter(equitiesuniv(['active','primary']),"&amp;H32&amp;" AND CUR_MKT_CAP &gt;1.0B))with(mode=cached)"</f>
        <v>FOR(filter(equitiesuniv(['active','primary']),(CNTRY_OF_DOMICILE=='AT' OR CNTRY_OF_DOMICILE=='BE' OR CNTRY_OF_DOMICILE=='CY' OR CNTRY_OF_DOMICILE=='EE' OR CNTRY_OF_DOMICILE=='FI' OR CNTRY_OF_DOMICILE=='FR' OR CNTRY_OF_DOMICILE=='DE' OR CNTRY_OF_DOMICILE=='GR' OR CNTRY_OF_DOMICILE=='IE' OR CNTRY_OF_DOMICILE=='IT' OR CNTRY_OF_DOMICILE=='LV' OR CNTRY_OF_DOMICILE=='LT' OR CNTRY_OF_DOMICILE=='LU' OR CNTRY_OF_DOMICILE=='MT' OR CNTRY_OF_DOMICILE=='NL' OR CNTRY_OF_DOMICILE=='PT' OR CNTRY_OF_DOMICILE=='SK' OR CNTRY_OF_DOMICILE=='SI' OR CNTRY_OF_DOMICILE=='ES') AND CUR_MKT_CAP &gt;1.0B))with(mode=cached)</v>
      </c>
    </row>
    <row r="35" spans="3:8" x14ac:dyDescent="0.25">
      <c r="H35" t="str">
        <f>"FOR(filter(equitiesuniv(['active','primary']),(CNTRY_OF_DOMICILE=='US' OR CNTRY_OF_DOMICILE=='CA')"&amp;H33&amp;" AND CUR_MKT_CAP &gt;2.0B))with(mode=cached)"</f>
        <v>FOR(filter(equitiesuniv(['active','primary']),(CNTRY_OF_DOMICILE=='US' OR CNTRY_OF_DOMICILE=='CA') AND CUR_MKT_CAP &gt;2.0B))with(mode=cached)</v>
      </c>
    </row>
    <row r="37" spans="3:8" x14ac:dyDescent="0.25">
      <c r="H37" s="36" t="s">
        <v>48</v>
      </c>
    </row>
    <row r="39" spans="3:8" x14ac:dyDescent="0.25">
      <c r="H39" t="s">
        <v>47</v>
      </c>
    </row>
    <row r="43" spans="3:8" x14ac:dyDescent="0.25">
      <c r="C43" t="s">
        <v>54</v>
      </c>
    </row>
    <row r="44" spans="3:8" x14ac:dyDescent="0.25">
      <c r="C44" s="51" t="str">
        <f>Generador!C5</f>
        <v>ES</v>
      </c>
    </row>
    <row r="45" spans="3:8" x14ac:dyDescent="0.25">
      <c r="C45" t="s">
        <v>55</v>
      </c>
    </row>
    <row r="46" spans="3:8" x14ac:dyDescent="0.25">
      <c r="C46" s="53" t="str">
        <f>Generador!C6</f>
        <v>0.25</v>
      </c>
    </row>
    <row r="47" spans="3:8" x14ac:dyDescent="0.25">
      <c r="C47" t="s">
        <v>58</v>
      </c>
    </row>
    <row r="49" spans="3:3" x14ac:dyDescent="0.25">
      <c r="C49" s="52" t="str">
        <f>C43&amp;C44&amp;C45&amp;C46&amp;C47</f>
        <v>FOR(filter(equitiesuniv(['active','primary']),(CNTRY_OF_DOMICILE=='ES') AND CUR_MKT_CAP &gt;0.25B))with(mode=cached)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AA844"/>
  <sheetViews>
    <sheetView workbookViewId="0">
      <selection activeCell="A2" sqref="A2"/>
    </sheetView>
  </sheetViews>
  <sheetFormatPr baseColWidth="10" defaultRowHeight="15" x14ac:dyDescent="0.25"/>
  <cols>
    <col min="2" max="2" width="20" bestFit="1" customWidth="1"/>
    <col min="3" max="3" width="28.7109375" bestFit="1" customWidth="1"/>
    <col min="16" max="18" width="17.7109375" bestFit="1" customWidth="1"/>
    <col min="24" max="24" width="22" bestFit="1" customWidth="1"/>
    <col min="25" max="25" width="25.42578125" bestFit="1" customWidth="1"/>
    <col min="26" max="26" width="25.7109375" bestFit="1" customWidth="1"/>
    <col min="27" max="27" width="13.7109375" bestFit="1" customWidth="1"/>
  </cols>
  <sheetData>
    <row r="1" spans="2:27" ht="15.75" thickBot="1" x14ac:dyDescent="0.3"/>
    <row r="2" spans="2:27" s="50" customFormat="1" ht="60.75" thickBot="1" x14ac:dyDescent="0.3">
      <c r="B2" s="39"/>
      <c r="C2" s="39"/>
      <c r="D2" s="40" t="s">
        <v>2</v>
      </c>
      <c r="E2" s="41" t="s">
        <v>3</v>
      </c>
      <c r="F2" s="41" t="s">
        <v>4</v>
      </c>
      <c r="G2" s="41" t="s">
        <v>5</v>
      </c>
      <c r="H2" s="42" t="s">
        <v>6</v>
      </c>
      <c r="I2" s="43" t="s">
        <v>7</v>
      </c>
      <c r="J2" s="43" t="s">
        <v>8</v>
      </c>
      <c r="K2" s="41" t="s">
        <v>9</v>
      </c>
      <c r="L2" s="44" t="s">
        <v>10</v>
      </c>
      <c r="M2" s="41" t="s">
        <v>11</v>
      </c>
      <c r="N2" s="41" t="s">
        <v>12</v>
      </c>
      <c r="O2" s="45" t="s">
        <v>13</v>
      </c>
      <c r="P2" s="46" t="s">
        <v>14</v>
      </c>
      <c r="Q2" s="46" t="s">
        <v>15</v>
      </c>
      <c r="R2" s="46" t="s">
        <v>16</v>
      </c>
      <c r="S2" s="47" t="s">
        <v>17</v>
      </c>
      <c r="T2" s="47" t="s">
        <v>18</v>
      </c>
      <c r="U2" s="47" t="s">
        <v>19</v>
      </c>
      <c r="V2" s="47" t="s">
        <v>20</v>
      </c>
      <c r="W2" s="47" t="s">
        <v>21</v>
      </c>
      <c r="X2" s="48" t="s">
        <v>22</v>
      </c>
      <c r="Y2" s="48" t="s">
        <v>23</v>
      </c>
      <c r="Z2" s="48" t="s">
        <v>24</v>
      </c>
      <c r="AA2" s="49" t="s">
        <v>25</v>
      </c>
    </row>
    <row r="3" spans="2:27" x14ac:dyDescent="0.25">
      <c r="B3" s="1" t="s">
        <v>49</v>
      </c>
      <c r="C3" s="1" t="str">
        <f>IF(B3="","",_xll.BDP(B3,"NAME"))</f>
        <v>BANK OF NOVA SCOTIA</v>
      </c>
      <c r="D3" s="9"/>
      <c r="E3" s="9"/>
      <c r="F3" s="9"/>
      <c r="G3" s="9"/>
      <c r="H3" s="10"/>
      <c r="I3" s="11"/>
      <c r="J3" s="11"/>
      <c r="K3" s="9"/>
      <c r="L3" s="26"/>
      <c r="M3" s="9"/>
      <c r="N3" s="27"/>
      <c r="O3" s="26"/>
      <c r="P3" s="34"/>
      <c r="Q3" s="34"/>
      <c r="R3" s="34"/>
      <c r="S3" s="26"/>
      <c r="T3" s="26"/>
      <c r="U3" s="26"/>
      <c r="V3" s="26"/>
      <c r="W3" s="26"/>
      <c r="X3" t="str">
        <f>IF(B3="","",_xll.BDP(B3,"INDUSTRY_SECTOR"))</f>
        <v>Financial</v>
      </c>
      <c r="Y3" t="str">
        <f>IF($B3="","",_xll.BDP($B3,"INDUSTRY_GROUP"))</f>
        <v>Banks</v>
      </c>
      <c r="Z3" t="str">
        <f>IF($B3="","",_xll.BDP($B3,"INDUSTRY_SUBGROUP"))</f>
        <v>Diversified Banking Inst</v>
      </c>
      <c r="AA3" t="str">
        <f>IF($B3="","",_xll.BDP($B3,"COUNTRY_FULL_NAME"))</f>
        <v>CANADA</v>
      </c>
    </row>
    <row r="4" spans="2:27" x14ac:dyDescent="0.25">
      <c r="B4" s="28"/>
      <c r="C4" s="1"/>
      <c r="D4" s="9"/>
      <c r="E4" s="9"/>
      <c r="F4" s="9"/>
      <c r="G4" s="9"/>
      <c r="H4" s="10"/>
      <c r="I4" s="11"/>
      <c r="J4" s="11"/>
      <c r="K4" s="9"/>
      <c r="L4" s="26"/>
      <c r="M4" s="9"/>
      <c r="N4" s="27"/>
      <c r="O4" s="26"/>
      <c r="P4" s="34"/>
      <c r="Q4" s="34"/>
      <c r="R4" s="34"/>
      <c r="S4" s="26"/>
      <c r="T4" s="26"/>
      <c r="U4" s="26"/>
      <c r="V4" s="26"/>
      <c r="W4" s="26"/>
    </row>
    <row r="5" spans="2:27" x14ac:dyDescent="0.25">
      <c r="C5" s="1"/>
      <c r="D5" s="29"/>
      <c r="E5" s="29"/>
      <c r="F5" s="29"/>
      <c r="G5" s="29"/>
      <c r="H5" s="30"/>
      <c r="I5" s="31"/>
      <c r="J5" s="31"/>
      <c r="K5" s="29"/>
      <c r="L5" s="32"/>
      <c r="M5" s="29"/>
      <c r="N5" s="33"/>
      <c r="O5" s="32"/>
      <c r="P5" s="34"/>
      <c r="Q5" s="34"/>
      <c r="R5" s="34"/>
      <c r="S5" s="32"/>
      <c r="T5" s="32"/>
      <c r="U5" s="32"/>
      <c r="V5" s="32"/>
      <c r="W5" s="32"/>
    </row>
    <row r="6" spans="2:27" x14ac:dyDescent="0.25">
      <c r="C6" s="1"/>
      <c r="D6" s="29"/>
      <c r="E6" s="29"/>
      <c r="F6" s="29"/>
      <c r="G6" s="29"/>
      <c r="H6" s="30"/>
      <c r="I6" s="31"/>
      <c r="J6" s="31"/>
      <c r="K6" s="29"/>
      <c r="L6" s="32"/>
      <c r="M6" s="29"/>
      <c r="N6" s="33"/>
      <c r="O6" s="32"/>
      <c r="P6" s="34"/>
      <c r="Q6" s="34"/>
      <c r="R6" s="34"/>
      <c r="S6" s="32"/>
      <c r="T6" s="32"/>
      <c r="U6" s="32"/>
      <c r="V6" s="32"/>
      <c r="W6" s="32"/>
    </row>
    <row r="7" spans="2:27" x14ac:dyDescent="0.25">
      <c r="C7" s="1"/>
      <c r="D7" s="29"/>
      <c r="E7" s="29"/>
      <c r="F7" s="29"/>
      <c r="G7" s="29"/>
      <c r="H7" s="30"/>
      <c r="I7" s="31"/>
      <c r="J7" s="31"/>
      <c r="K7" s="29"/>
      <c r="L7" s="32"/>
      <c r="M7" s="29"/>
      <c r="N7" s="33"/>
      <c r="O7" s="32"/>
      <c r="P7" s="34"/>
      <c r="Q7" s="34"/>
      <c r="R7" s="34"/>
      <c r="S7" s="32"/>
      <c r="T7" s="32"/>
      <c r="U7" s="32"/>
      <c r="V7" s="32"/>
      <c r="W7" s="32"/>
    </row>
    <row r="8" spans="2:27" x14ac:dyDescent="0.25">
      <c r="C8" s="1"/>
      <c r="D8" s="29"/>
      <c r="E8" s="29"/>
      <c r="F8" s="29"/>
      <c r="G8" s="29"/>
      <c r="H8" s="30"/>
      <c r="I8" s="31"/>
      <c r="J8" s="31"/>
      <c r="K8" s="29"/>
      <c r="L8" s="32"/>
      <c r="M8" s="29"/>
      <c r="N8" s="33"/>
      <c r="O8" s="32"/>
      <c r="P8" s="34"/>
      <c r="Q8" s="34"/>
      <c r="R8" s="34"/>
      <c r="S8" s="32"/>
      <c r="T8" s="32"/>
      <c r="U8" s="32"/>
      <c r="V8" s="32"/>
      <c r="W8" s="32"/>
    </row>
    <row r="9" spans="2:27" x14ac:dyDescent="0.25">
      <c r="C9" s="1"/>
      <c r="D9" s="29"/>
      <c r="E9" s="29"/>
      <c r="F9" s="29"/>
      <c r="G9" s="29"/>
      <c r="H9" s="30"/>
      <c r="I9" s="31"/>
      <c r="J9" s="31"/>
      <c r="K9" s="29"/>
      <c r="L9" s="32"/>
      <c r="M9" s="29"/>
      <c r="N9" s="33"/>
      <c r="O9" s="32"/>
      <c r="P9" s="34"/>
      <c r="Q9" s="34"/>
      <c r="R9" s="34"/>
      <c r="S9" s="32"/>
      <c r="T9" s="32"/>
      <c r="U9" s="32"/>
      <c r="V9" s="32"/>
      <c r="W9" s="32"/>
    </row>
    <row r="10" spans="2:27" x14ac:dyDescent="0.25">
      <c r="C10" s="1"/>
      <c r="D10" s="29"/>
      <c r="E10" s="29"/>
      <c r="F10" s="29"/>
      <c r="G10" s="29"/>
      <c r="H10" s="30"/>
      <c r="I10" s="31"/>
      <c r="J10" s="31"/>
      <c r="K10" s="29"/>
      <c r="L10" s="32"/>
      <c r="M10" s="29"/>
      <c r="N10" s="33"/>
      <c r="O10" s="32"/>
      <c r="P10" s="34"/>
      <c r="Q10" s="34"/>
      <c r="R10" s="34"/>
      <c r="S10" s="32"/>
      <c r="T10" s="32"/>
      <c r="U10" s="32"/>
      <c r="V10" s="32"/>
      <c r="W10" s="32"/>
    </row>
    <row r="11" spans="2:27" x14ac:dyDescent="0.25">
      <c r="C11" s="1"/>
      <c r="D11" s="29"/>
      <c r="E11" s="29"/>
      <c r="F11" s="29"/>
      <c r="G11" s="29"/>
      <c r="H11" s="30"/>
      <c r="I11" s="31"/>
      <c r="J11" s="31"/>
      <c r="K11" s="29"/>
      <c r="L11" s="32"/>
      <c r="M11" s="29"/>
      <c r="N11" s="33"/>
      <c r="O11" s="32"/>
      <c r="P11" s="34"/>
      <c r="Q11" s="34"/>
      <c r="R11" s="34"/>
      <c r="S11" s="32"/>
      <c r="T11" s="32"/>
      <c r="U11" s="32"/>
      <c r="V11" s="32"/>
      <c r="W11" s="32"/>
    </row>
    <row r="12" spans="2:27" x14ac:dyDescent="0.25">
      <c r="C12" s="1"/>
      <c r="D12" s="29"/>
      <c r="E12" s="29"/>
      <c r="F12" s="29"/>
      <c r="G12" s="29"/>
      <c r="H12" s="30"/>
      <c r="I12" s="31"/>
      <c r="J12" s="31"/>
      <c r="K12" s="29"/>
      <c r="L12" s="32"/>
      <c r="M12" s="29"/>
      <c r="N12" s="33"/>
      <c r="O12" s="32"/>
      <c r="P12" s="34"/>
      <c r="Q12" s="34"/>
      <c r="R12" s="34"/>
      <c r="S12" s="32"/>
      <c r="T12" s="32"/>
      <c r="U12" s="32"/>
      <c r="V12" s="32"/>
      <c r="W12" s="32"/>
    </row>
    <row r="13" spans="2:27" x14ac:dyDescent="0.25">
      <c r="C13" s="1"/>
      <c r="D13" s="29"/>
      <c r="E13" s="29"/>
      <c r="F13" s="29"/>
      <c r="G13" s="29"/>
      <c r="H13" s="30"/>
      <c r="I13" s="31"/>
      <c r="J13" s="31"/>
      <c r="K13" s="29"/>
      <c r="L13" s="32"/>
      <c r="M13" s="29"/>
      <c r="N13" s="33"/>
      <c r="O13" s="32"/>
      <c r="P13" s="34"/>
      <c r="Q13" s="34"/>
      <c r="R13" s="34"/>
      <c r="S13" s="32"/>
      <c r="T13" s="32"/>
      <c r="U13" s="32"/>
      <c r="V13" s="32"/>
      <c r="W13" s="32"/>
    </row>
    <row r="14" spans="2:27" x14ac:dyDescent="0.25">
      <c r="C14" s="1"/>
      <c r="D14" s="29"/>
      <c r="E14" s="29"/>
      <c r="F14" s="29"/>
      <c r="G14" s="29"/>
      <c r="H14" s="30"/>
      <c r="I14" s="31"/>
      <c r="J14" s="31"/>
      <c r="K14" s="29"/>
      <c r="L14" s="32"/>
      <c r="M14" s="29"/>
      <c r="N14" s="33"/>
      <c r="O14" s="32"/>
      <c r="P14" s="34"/>
      <c r="Q14" s="34"/>
      <c r="R14" s="34"/>
      <c r="S14" s="32"/>
      <c r="T14" s="32"/>
      <c r="U14" s="32"/>
      <c r="V14" s="32"/>
      <c r="W14" s="32"/>
    </row>
    <row r="15" spans="2:27" x14ac:dyDescent="0.25">
      <c r="C15" s="1"/>
      <c r="D15" s="29"/>
      <c r="E15" s="29"/>
      <c r="F15" s="29"/>
      <c r="G15" s="29"/>
      <c r="H15" s="30"/>
      <c r="I15" s="31"/>
      <c r="J15" s="31"/>
      <c r="K15" s="29"/>
      <c r="L15" s="32"/>
      <c r="M15" s="29"/>
      <c r="N15" s="33"/>
      <c r="O15" s="32"/>
      <c r="P15" s="34"/>
      <c r="Q15" s="34"/>
      <c r="R15" s="34"/>
      <c r="S15" s="32"/>
      <c r="T15" s="32"/>
      <c r="U15" s="32"/>
      <c r="V15" s="32"/>
      <c r="W15" s="32"/>
    </row>
    <row r="16" spans="2:27" x14ac:dyDescent="0.25">
      <c r="C16" s="1"/>
      <c r="D16" s="29"/>
      <c r="E16" s="29"/>
      <c r="F16" s="29"/>
      <c r="G16" s="29"/>
      <c r="H16" s="30"/>
      <c r="I16" s="31"/>
      <c r="J16" s="31"/>
      <c r="K16" s="29"/>
      <c r="L16" s="32"/>
      <c r="M16" s="29"/>
      <c r="N16" s="33"/>
      <c r="O16" s="32"/>
      <c r="P16" s="34"/>
      <c r="Q16" s="34"/>
      <c r="R16" s="34"/>
      <c r="S16" s="32"/>
      <c r="T16" s="32"/>
      <c r="U16" s="32"/>
      <c r="V16" s="32"/>
      <c r="W16" s="32"/>
    </row>
    <row r="17" spans="3:23" x14ac:dyDescent="0.25">
      <c r="C17" s="1"/>
      <c r="D17" s="29"/>
      <c r="E17" s="29"/>
      <c r="F17" s="29"/>
      <c r="G17" s="29"/>
      <c r="H17" s="30"/>
      <c r="I17" s="31"/>
      <c r="J17" s="31"/>
      <c r="K17" s="29"/>
      <c r="L17" s="32"/>
      <c r="M17" s="29"/>
      <c r="N17" s="33"/>
      <c r="O17" s="32"/>
      <c r="P17" s="34"/>
      <c r="Q17" s="34"/>
      <c r="R17" s="34"/>
      <c r="S17" s="32"/>
      <c r="T17" s="32"/>
      <c r="U17" s="32"/>
      <c r="V17" s="32"/>
      <c r="W17" s="32"/>
    </row>
    <row r="18" spans="3:23" x14ac:dyDescent="0.25">
      <c r="C18" s="1"/>
      <c r="D18" s="29"/>
      <c r="E18" s="29"/>
      <c r="F18" s="29"/>
      <c r="G18" s="29"/>
      <c r="H18" s="30"/>
      <c r="I18" s="31"/>
      <c r="J18" s="31"/>
      <c r="K18" s="29"/>
      <c r="L18" s="32"/>
      <c r="M18" s="29"/>
      <c r="N18" s="33"/>
      <c r="O18" s="32"/>
      <c r="P18" s="34"/>
      <c r="Q18" s="34"/>
      <c r="R18" s="34"/>
      <c r="S18" s="32"/>
      <c r="T18" s="32"/>
      <c r="U18" s="32"/>
      <c r="V18" s="32"/>
      <c r="W18" s="32"/>
    </row>
    <row r="19" spans="3:23" x14ac:dyDescent="0.25">
      <c r="C19" s="1"/>
      <c r="D19" s="29"/>
      <c r="E19" s="29"/>
      <c r="F19" s="29"/>
      <c r="G19" s="29"/>
      <c r="H19" s="30"/>
      <c r="I19" s="31"/>
      <c r="J19" s="31"/>
      <c r="K19" s="29"/>
      <c r="L19" s="32"/>
      <c r="M19" s="29"/>
      <c r="N19" s="33"/>
      <c r="O19" s="32"/>
      <c r="P19" s="34"/>
      <c r="Q19" s="34"/>
      <c r="R19" s="34"/>
      <c r="S19" s="32"/>
      <c r="T19" s="32"/>
      <c r="U19" s="32"/>
      <c r="V19" s="32"/>
      <c r="W19" s="32"/>
    </row>
    <row r="20" spans="3:23" x14ac:dyDescent="0.25">
      <c r="C20" s="1"/>
      <c r="D20" s="29"/>
      <c r="E20" s="29"/>
      <c r="F20" s="29"/>
      <c r="G20" s="29"/>
      <c r="H20" s="30"/>
      <c r="I20" s="31"/>
      <c r="J20" s="31"/>
      <c r="K20" s="29"/>
      <c r="L20" s="32"/>
      <c r="M20" s="29"/>
      <c r="N20" s="33"/>
      <c r="O20" s="32"/>
      <c r="P20" s="34"/>
      <c r="Q20" s="34"/>
      <c r="R20" s="34"/>
      <c r="S20" s="32"/>
      <c r="T20" s="32"/>
      <c r="U20" s="32"/>
      <c r="V20" s="32"/>
      <c r="W20" s="32"/>
    </row>
    <row r="21" spans="3:23" x14ac:dyDescent="0.25">
      <c r="C21" s="1"/>
      <c r="D21" s="29"/>
      <c r="E21" s="29"/>
      <c r="F21" s="29"/>
      <c r="G21" s="29"/>
      <c r="H21" s="30"/>
      <c r="I21" s="31"/>
      <c r="J21" s="31"/>
      <c r="K21" s="29"/>
      <c r="L21" s="32"/>
      <c r="M21" s="29"/>
      <c r="N21" s="33"/>
      <c r="O21" s="32"/>
      <c r="P21" s="34"/>
      <c r="Q21" s="34"/>
      <c r="R21" s="34"/>
      <c r="S21" s="32"/>
      <c r="T21" s="32"/>
      <c r="U21" s="32"/>
      <c r="V21" s="32"/>
      <c r="W21" s="32"/>
    </row>
    <row r="22" spans="3:23" x14ac:dyDescent="0.25">
      <c r="C22" s="1"/>
      <c r="D22" s="29"/>
      <c r="E22" s="29"/>
      <c r="F22" s="29"/>
      <c r="G22" s="29"/>
      <c r="H22" s="30"/>
      <c r="I22" s="31"/>
      <c r="J22" s="31"/>
      <c r="K22" s="29"/>
      <c r="L22" s="32"/>
      <c r="M22" s="29"/>
      <c r="N22" s="33"/>
      <c r="O22" s="32"/>
      <c r="P22" s="34"/>
      <c r="Q22" s="34"/>
      <c r="R22" s="34"/>
      <c r="S22" s="32"/>
      <c r="T22" s="32"/>
      <c r="U22" s="32"/>
      <c r="V22" s="32"/>
      <c r="W22" s="32"/>
    </row>
    <row r="23" spans="3:23" x14ac:dyDescent="0.25">
      <c r="C23" s="1"/>
      <c r="D23" s="29"/>
      <c r="E23" s="29"/>
      <c r="F23" s="29"/>
      <c r="G23" s="29"/>
      <c r="H23" s="30"/>
      <c r="I23" s="31"/>
      <c r="J23" s="31"/>
      <c r="K23" s="29"/>
      <c r="L23" s="32"/>
      <c r="M23" s="29"/>
      <c r="N23" s="33"/>
      <c r="O23" s="32"/>
      <c r="P23" s="34"/>
      <c r="Q23" s="34"/>
      <c r="R23" s="34"/>
      <c r="S23" s="32"/>
      <c r="T23" s="32"/>
      <c r="U23" s="32"/>
      <c r="V23" s="32"/>
      <c r="W23" s="32"/>
    </row>
    <row r="24" spans="3:23" x14ac:dyDescent="0.25">
      <c r="C24" s="1"/>
      <c r="D24" s="29"/>
      <c r="E24" s="29"/>
      <c r="F24" s="29"/>
      <c r="G24" s="29"/>
      <c r="H24" s="30"/>
      <c r="I24" s="31"/>
      <c r="J24" s="31"/>
      <c r="K24" s="29"/>
      <c r="L24" s="32"/>
      <c r="M24" s="29"/>
      <c r="N24" s="33"/>
      <c r="O24" s="32"/>
      <c r="P24" s="34"/>
      <c r="Q24" s="34"/>
      <c r="R24" s="34"/>
      <c r="S24" s="32"/>
      <c r="T24" s="32"/>
      <c r="U24" s="32"/>
      <c r="V24" s="32"/>
      <c r="W24" s="32"/>
    </row>
    <row r="25" spans="3:23" x14ac:dyDescent="0.25">
      <c r="C25" s="1"/>
      <c r="D25" s="29"/>
      <c r="E25" s="29"/>
      <c r="F25" s="29"/>
      <c r="G25" s="29"/>
      <c r="H25" s="30"/>
      <c r="I25" s="31"/>
      <c r="J25" s="31"/>
      <c r="K25" s="29"/>
      <c r="L25" s="32"/>
      <c r="M25" s="29"/>
      <c r="N25" s="33"/>
      <c r="O25" s="32"/>
      <c r="P25" s="34"/>
      <c r="Q25" s="34"/>
      <c r="R25" s="34"/>
      <c r="S25" s="32"/>
      <c r="T25" s="32"/>
      <c r="U25" s="32"/>
      <c r="V25" s="32"/>
      <c r="W25" s="32"/>
    </row>
    <row r="26" spans="3:23" x14ac:dyDescent="0.25">
      <c r="C26" s="1"/>
      <c r="D26" s="29"/>
      <c r="E26" s="29"/>
      <c r="F26" s="29"/>
      <c r="G26" s="29"/>
      <c r="H26" s="30"/>
      <c r="I26" s="31"/>
      <c r="J26" s="31"/>
      <c r="K26" s="29"/>
      <c r="L26" s="32"/>
      <c r="M26" s="29"/>
      <c r="N26" s="33"/>
      <c r="O26" s="32"/>
      <c r="P26" s="34"/>
      <c r="Q26" s="34"/>
      <c r="R26" s="34"/>
      <c r="S26" s="32"/>
      <c r="T26" s="32"/>
      <c r="U26" s="32"/>
      <c r="V26" s="32"/>
      <c r="W26" s="32"/>
    </row>
    <row r="27" spans="3:23" x14ac:dyDescent="0.25">
      <c r="C27" s="1"/>
      <c r="D27" s="29"/>
      <c r="E27" s="29"/>
      <c r="F27" s="29"/>
      <c r="G27" s="29"/>
      <c r="H27" s="30"/>
      <c r="I27" s="31"/>
      <c r="J27" s="31"/>
      <c r="K27" s="29"/>
      <c r="L27" s="32"/>
      <c r="M27" s="29"/>
      <c r="N27" s="33"/>
      <c r="O27" s="32"/>
      <c r="P27" s="34"/>
      <c r="Q27" s="34"/>
      <c r="R27" s="34"/>
      <c r="S27" s="32"/>
      <c r="T27" s="32"/>
      <c r="U27" s="32"/>
      <c r="V27" s="32"/>
      <c r="W27" s="32"/>
    </row>
    <row r="28" spans="3:23" x14ac:dyDescent="0.25">
      <c r="C28" s="1"/>
      <c r="D28" s="29"/>
      <c r="E28" s="29"/>
      <c r="F28" s="29"/>
      <c r="G28" s="29"/>
      <c r="H28" s="30"/>
      <c r="I28" s="31"/>
      <c r="J28" s="31"/>
      <c r="K28" s="29"/>
      <c r="L28" s="32"/>
      <c r="M28" s="29"/>
      <c r="N28" s="33"/>
      <c r="O28" s="32"/>
      <c r="P28" s="34"/>
      <c r="Q28" s="34"/>
      <c r="R28" s="34"/>
      <c r="S28" s="32"/>
      <c r="T28" s="32"/>
      <c r="U28" s="32"/>
      <c r="V28" s="32"/>
      <c r="W28" s="32"/>
    </row>
    <row r="29" spans="3:23" x14ac:dyDescent="0.25">
      <c r="C29" s="1"/>
      <c r="D29" s="29"/>
      <c r="E29" s="29"/>
      <c r="F29" s="29"/>
      <c r="G29" s="29"/>
      <c r="H29" s="30"/>
      <c r="I29" s="31"/>
      <c r="J29" s="31"/>
      <c r="K29" s="29"/>
      <c r="L29" s="32"/>
      <c r="M29" s="29"/>
      <c r="N29" s="33"/>
      <c r="O29" s="32"/>
      <c r="P29" s="34"/>
      <c r="Q29" s="34"/>
      <c r="R29" s="34"/>
      <c r="S29" s="32"/>
      <c r="T29" s="32"/>
      <c r="U29" s="32"/>
      <c r="V29" s="32"/>
      <c r="W29" s="32"/>
    </row>
    <row r="30" spans="3:23" x14ac:dyDescent="0.25">
      <c r="C30" s="1"/>
      <c r="D30" s="29"/>
      <c r="E30" s="29"/>
      <c r="F30" s="29"/>
      <c r="G30" s="29"/>
      <c r="H30" s="30"/>
      <c r="I30" s="31"/>
      <c r="J30" s="31"/>
      <c r="K30" s="29"/>
      <c r="L30" s="32"/>
      <c r="M30" s="29"/>
      <c r="N30" s="33"/>
      <c r="O30" s="32"/>
      <c r="P30" s="34"/>
      <c r="Q30" s="34"/>
      <c r="R30" s="34"/>
      <c r="S30" s="32"/>
      <c r="T30" s="32"/>
      <c r="U30" s="32"/>
      <c r="V30" s="32"/>
      <c r="W30" s="32"/>
    </row>
    <row r="31" spans="3:23" x14ac:dyDescent="0.25">
      <c r="C31" s="1"/>
      <c r="D31" s="29"/>
      <c r="E31" s="29"/>
      <c r="F31" s="29"/>
      <c r="G31" s="29"/>
      <c r="H31" s="30"/>
      <c r="I31" s="31"/>
      <c r="J31" s="31"/>
      <c r="K31" s="29"/>
      <c r="L31" s="32"/>
      <c r="M31" s="29"/>
      <c r="N31" s="33"/>
      <c r="O31" s="32"/>
      <c r="P31" s="34"/>
      <c r="Q31" s="34"/>
      <c r="R31" s="34"/>
      <c r="S31" s="32"/>
      <c r="T31" s="32"/>
      <c r="U31" s="32"/>
      <c r="V31" s="32"/>
      <c r="W31" s="32"/>
    </row>
    <row r="32" spans="3:23" x14ac:dyDescent="0.25">
      <c r="C32" s="1"/>
      <c r="D32" s="29"/>
      <c r="E32" s="29"/>
      <c r="F32" s="29"/>
      <c r="G32" s="29"/>
      <c r="H32" s="30"/>
      <c r="I32" s="31"/>
      <c r="J32" s="31"/>
      <c r="K32" s="29"/>
      <c r="L32" s="32"/>
      <c r="M32" s="29"/>
      <c r="N32" s="33"/>
      <c r="O32" s="32"/>
      <c r="P32" s="34"/>
      <c r="Q32" s="34"/>
      <c r="R32" s="34"/>
      <c r="S32" s="32"/>
      <c r="T32" s="32"/>
      <c r="U32" s="32"/>
      <c r="V32" s="32"/>
      <c r="W32" s="32"/>
    </row>
    <row r="33" spans="3:23" x14ac:dyDescent="0.25">
      <c r="C33" s="1"/>
      <c r="D33" s="29"/>
      <c r="E33" s="29"/>
      <c r="F33" s="29"/>
      <c r="G33" s="29"/>
      <c r="H33" s="30"/>
      <c r="I33" s="31"/>
      <c r="J33" s="31"/>
      <c r="K33" s="29"/>
      <c r="L33" s="32"/>
      <c r="M33" s="29"/>
      <c r="N33" s="33"/>
      <c r="O33" s="32"/>
      <c r="P33" s="34"/>
      <c r="Q33" s="34"/>
      <c r="R33" s="34"/>
      <c r="S33" s="32"/>
      <c r="T33" s="32"/>
      <c r="U33" s="32"/>
      <c r="V33" s="32"/>
      <c r="W33" s="32"/>
    </row>
    <row r="34" spans="3:23" x14ac:dyDescent="0.25">
      <c r="C34" s="1"/>
      <c r="D34" s="29"/>
      <c r="E34" s="29"/>
      <c r="F34" s="29"/>
      <c r="G34" s="29"/>
      <c r="H34" s="30"/>
      <c r="I34" s="31"/>
      <c r="J34" s="31"/>
      <c r="K34" s="29"/>
      <c r="L34" s="32"/>
      <c r="M34" s="29"/>
      <c r="N34" s="33"/>
      <c r="O34" s="32"/>
      <c r="P34" s="34"/>
      <c r="Q34" s="34"/>
      <c r="R34" s="34"/>
      <c r="S34" s="32"/>
      <c r="T34" s="32"/>
      <c r="U34" s="32"/>
      <c r="V34" s="32"/>
      <c r="W34" s="32"/>
    </row>
    <row r="35" spans="3:23" x14ac:dyDescent="0.25">
      <c r="C35" s="1"/>
      <c r="D35" s="29"/>
      <c r="E35" s="29"/>
      <c r="F35" s="29"/>
      <c r="G35" s="29"/>
      <c r="H35" s="30"/>
      <c r="I35" s="31"/>
      <c r="J35" s="31"/>
      <c r="K35" s="29"/>
      <c r="L35" s="32"/>
      <c r="M35" s="29"/>
      <c r="N35" s="33"/>
      <c r="O35" s="32"/>
      <c r="P35" s="34"/>
      <c r="Q35" s="34"/>
      <c r="R35" s="34"/>
      <c r="S35" s="32"/>
      <c r="T35" s="32"/>
      <c r="U35" s="32"/>
      <c r="V35" s="32"/>
      <c r="W35" s="32"/>
    </row>
    <row r="36" spans="3:23" x14ac:dyDescent="0.25">
      <c r="C36" s="1"/>
      <c r="D36" s="29"/>
      <c r="E36" s="29"/>
      <c r="F36" s="29"/>
      <c r="G36" s="29"/>
      <c r="H36" s="30"/>
      <c r="I36" s="31"/>
      <c r="J36" s="31"/>
      <c r="K36" s="29"/>
      <c r="L36" s="32"/>
      <c r="M36" s="29"/>
      <c r="N36" s="33"/>
      <c r="O36" s="32"/>
      <c r="P36" s="34"/>
      <c r="Q36" s="34"/>
      <c r="R36" s="34"/>
      <c r="S36" s="32"/>
      <c r="T36" s="32"/>
      <c r="U36" s="32"/>
      <c r="V36" s="32"/>
      <c r="W36" s="32"/>
    </row>
    <row r="37" spans="3:23" x14ac:dyDescent="0.25">
      <c r="C37" s="1"/>
      <c r="D37" s="29"/>
      <c r="E37" s="29"/>
      <c r="F37" s="29"/>
      <c r="G37" s="29"/>
      <c r="H37" s="30"/>
      <c r="I37" s="31"/>
      <c r="J37" s="31"/>
      <c r="K37" s="29"/>
      <c r="L37" s="32"/>
      <c r="M37" s="29"/>
      <c r="N37" s="33"/>
      <c r="O37" s="32"/>
      <c r="P37" s="34"/>
      <c r="Q37" s="34"/>
      <c r="R37" s="34"/>
      <c r="S37" s="32"/>
      <c r="T37" s="32"/>
      <c r="U37" s="32"/>
      <c r="V37" s="32"/>
      <c r="W37" s="32"/>
    </row>
    <row r="38" spans="3:23" x14ac:dyDescent="0.25">
      <c r="C38" s="1"/>
      <c r="D38" s="29"/>
      <c r="E38" s="29"/>
      <c r="F38" s="29"/>
      <c r="G38" s="29"/>
      <c r="H38" s="30"/>
      <c r="I38" s="31"/>
      <c r="J38" s="31"/>
      <c r="K38" s="29"/>
      <c r="L38" s="32"/>
      <c r="M38" s="29"/>
      <c r="N38" s="33"/>
      <c r="O38" s="32"/>
      <c r="P38" s="34"/>
      <c r="Q38" s="34"/>
      <c r="R38" s="34"/>
      <c r="S38" s="32"/>
      <c r="T38" s="32"/>
      <c r="U38" s="32"/>
      <c r="V38" s="32"/>
      <c r="W38" s="32"/>
    </row>
    <row r="39" spans="3:23" x14ac:dyDescent="0.25">
      <c r="C39" s="1"/>
      <c r="D39" s="29"/>
      <c r="E39" s="29"/>
      <c r="F39" s="29"/>
      <c r="G39" s="29"/>
      <c r="H39" s="30"/>
      <c r="I39" s="31"/>
      <c r="J39" s="31"/>
      <c r="K39" s="29"/>
      <c r="L39" s="32"/>
      <c r="M39" s="29"/>
      <c r="N39" s="33"/>
      <c r="O39" s="32"/>
      <c r="P39" s="34"/>
      <c r="Q39" s="34"/>
      <c r="R39" s="34"/>
      <c r="S39" s="32"/>
      <c r="T39" s="32"/>
      <c r="U39" s="32"/>
      <c r="V39" s="32"/>
      <c r="W39" s="32"/>
    </row>
    <row r="40" spans="3:23" x14ac:dyDescent="0.25">
      <c r="C40" s="1"/>
      <c r="D40" s="29"/>
      <c r="E40" s="29"/>
      <c r="F40" s="29"/>
      <c r="G40" s="29"/>
      <c r="H40" s="30"/>
      <c r="I40" s="31"/>
      <c r="J40" s="31"/>
      <c r="K40" s="29"/>
      <c r="L40" s="32"/>
      <c r="M40" s="29"/>
      <c r="N40" s="33"/>
      <c r="O40" s="32"/>
      <c r="P40" s="34"/>
      <c r="Q40" s="34"/>
      <c r="R40" s="34"/>
      <c r="S40" s="32"/>
      <c r="T40" s="32"/>
      <c r="U40" s="32"/>
      <c r="V40" s="32"/>
      <c r="W40" s="32"/>
    </row>
    <row r="41" spans="3:23" x14ac:dyDescent="0.25">
      <c r="C41" s="1"/>
      <c r="D41" s="29"/>
      <c r="E41" s="29"/>
      <c r="F41" s="29"/>
      <c r="G41" s="29"/>
      <c r="H41" s="30"/>
      <c r="I41" s="31"/>
      <c r="J41" s="31"/>
      <c r="K41" s="29"/>
      <c r="L41" s="32"/>
      <c r="M41" s="29"/>
      <c r="N41" s="33"/>
      <c r="O41" s="32"/>
      <c r="P41" s="34"/>
      <c r="Q41" s="34"/>
      <c r="R41" s="34"/>
      <c r="S41" s="32"/>
      <c r="T41" s="32"/>
      <c r="U41" s="32"/>
      <c r="V41" s="32"/>
      <c r="W41" s="32"/>
    </row>
    <row r="42" spans="3:23" x14ac:dyDescent="0.25">
      <c r="C42" s="1"/>
      <c r="D42" s="29"/>
      <c r="E42" s="29"/>
      <c r="F42" s="29"/>
      <c r="G42" s="29"/>
      <c r="H42" s="30"/>
      <c r="I42" s="31"/>
      <c r="J42" s="31"/>
      <c r="K42" s="29"/>
      <c r="L42" s="32"/>
      <c r="M42" s="29"/>
      <c r="N42" s="33"/>
      <c r="O42" s="32"/>
      <c r="P42" s="34"/>
      <c r="Q42" s="34"/>
      <c r="R42" s="34"/>
      <c r="S42" s="32"/>
      <c r="T42" s="32"/>
      <c r="U42" s="32"/>
      <c r="V42" s="32"/>
      <c r="W42" s="32"/>
    </row>
    <row r="43" spans="3:23" x14ac:dyDescent="0.25">
      <c r="C43" s="1"/>
      <c r="D43" s="29"/>
      <c r="E43" s="29"/>
      <c r="F43" s="29"/>
      <c r="G43" s="29"/>
      <c r="H43" s="30"/>
      <c r="I43" s="31"/>
      <c r="J43" s="31"/>
      <c r="K43" s="29"/>
      <c r="L43" s="32"/>
      <c r="M43" s="29"/>
      <c r="N43" s="33"/>
      <c r="O43" s="32"/>
      <c r="P43" s="34"/>
      <c r="Q43" s="34"/>
      <c r="R43" s="34"/>
      <c r="S43" s="32"/>
      <c r="T43" s="32"/>
      <c r="U43" s="32"/>
      <c r="V43" s="32"/>
      <c r="W43" s="32"/>
    </row>
    <row r="44" spans="3:23" x14ac:dyDescent="0.25">
      <c r="C44" s="1"/>
      <c r="D44" s="29"/>
      <c r="E44" s="29"/>
      <c r="F44" s="29"/>
      <c r="G44" s="29"/>
      <c r="H44" s="30"/>
      <c r="I44" s="31"/>
      <c r="J44" s="31"/>
      <c r="K44" s="29"/>
      <c r="L44" s="32"/>
      <c r="M44" s="29"/>
      <c r="N44" s="33"/>
      <c r="O44" s="32"/>
      <c r="P44" s="34"/>
      <c r="Q44" s="34"/>
      <c r="R44" s="34"/>
      <c r="S44" s="32"/>
      <c r="T44" s="32"/>
      <c r="U44" s="32"/>
      <c r="V44" s="32"/>
      <c r="W44" s="32"/>
    </row>
    <row r="45" spans="3:23" x14ac:dyDescent="0.25">
      <c r="C45" s="1"/>
      <c r="D45" s="29"/>
      <c r="E45" s="29"/>
      <c r="F45" s="29"/>
      <c r="G45" s="29"/>
      <c r="H45" s="30"/>
      <c r="I45" s="31"/>
      <c r="J45" s="31"/>
      <c r="K45" s="29"/>
      <c r="L45" s="32"/>
      <c r="M45" s="29"/>
      <c r="N45" s="33"/>
      <c r="O45" s="32"/>
      <c r="P45" s="34"/>
      <c r="Q45" s="34"/>
      <c r="R45" s="34"/>
      <c r="S45" s="32"/>
      <c r="T45" s="32"/>
      <c r="U45" s="32"/>
      <c r="V45" s="32"/>
      <c r="W45" s="32"/>
    </row>
    <row r="46" spans="3:23" x14ac:dyDescent="0.25">
      <c r="C46" s="1"/>
      <c r="D46" s="29"/>
      <c r="E46" s="29"/>
      <c r="F46" s="29"/>
      <c r="G46" s="29"/>
      <c r="H46" s="30"/>
      <c r="I46" s="31"/>
      <c r="J46" s="31"/>
      <c r="K46" s="29"/>
      <c r="L46" s="32"/>
      <c r="M46" s="29"/>
      <c r="N46" s="33"/>
      <c r="O46" s="32"/>
      <c r="P46" s="34"/>
      <c r="Q46" s="34"/>
      <c r="R46" s="34"/>
      <c r="S46" s="32"/>
      <c r="T46" s="32"/>
      <c r="U46" s="32"/>
      <c r="V46" s="32"/>
      <c r="W46" s="32"/>
    </row>
    <row r="47" spans="3:23" x14ac:dyDescent="0.25">
      <c r="C47" s="1"/>
      <c r="D47" s="29"/>
      <c r="E47" s="29"/>
      <c r="F47" s="29"/>
      <c r="G47" s="29"/>
      <c r="H47" s="30"/>
      <c r="I47" s="31"/>
      <c r="J47" s="31"/>
      <c r="K47" s="29"/>
      <c r="L47" s="32"/>
      <c r="M47" s="29"/>
      <c r="N47" s="33"/>
      <c r="O47" s="32"/>
      <c r="P47" s="34"/>
      <c r="Q47" s="34"/>
      <c r="R47" s="34"/>
      <c r="S47" s="32"/>
      <c r="T47" s="32"/>
      <c r="U47" s="32"/>
      <c r="V47" s="32"/>
      <c r="W47" s="32"/>
    </row>
    <row r="48" spans="3:23" x14ac:dyDescent="0.25">
      <c r="C48" s="1"/>
      <c r="D48" s="29"/>
      <c r="E48" s="29"/>
      <c r="F48" s="29"/>
      <c r="G48" s="29"/>
      <c r="H48" s="30"/>
      <c r="I48" s="31"/>
      <c r="J48" s="31"/>
      <c r="K48" s="29"/>
      <c r="L48" s="32"/>
      <c r="M48" s="29"/>
      <c r="N48" s="33"/>
      <c r="O48" s="32"/>
      <c r="P48" s="34"/>
      <c r="Q48" s="34"/>
      <c r="R48" s="34"/>
      <c r="S48" s="32"/>
      <c r="T48" s="32"/>
      <c r="U48" s="32"/>
      <c r="V48" s="32"/>
      <c r="W48" s="32"/>
    </row>
    <row r="49" spans="3:23" x14ac:dyDescent="0.25">
      <c r="C49" s="1"/>
      <c r="D49" s="29"/>
      <c r="E49" s="29"/>
      <c r="F49" s="29"/>
      <c r="G49" s="29"/>
      <c r="H49" s="30"/>
      <c r="I49" s="31"/>
      <c r="J49" s="31"/>
      <c r="K49" s="29"/>
      <c r="L49" s="32"/>
      <c r="M49" s="29"/>
      <c r="N49" s="33"/>
      <c r="O49" s="32"/>
      <c r="P49" s="34"/>
      <c r="Q49" s="34"/>
      <c r="R49" s="34"/>
      <c r="S49" s="32"/>
      <c r="T49" s="32"/>
      <c r="U49" s="32"/>
      <c r="V49" s="32"/>
      <c r="W49" s="32"/>
    </row>
    <row r="50" spans="3:23" x14ac:dyDescent="0.25">
      <c r="C50" s="1"/>
      <c r="D50" s="29"/>
      <c r="E50" s="29"/>
      <c r="F50" s="29"/>
      <c r="G50" s="29"/>
      <c r="H50" s="30"/>
      <c r="I50" s="31"/>
      <c r="J50" s="31"/>
      <c r="K50" s="29"/>
      <c r="L50" s="32"/>
      <c r="M50" s="29"/>
      <c r="N50" s="33"/>
      <c r="O50" s="32"/>
      <c r="P50" s="34"/>
      <c r="Q50" s="34"/>
      <c r="R50" s="34"/>
      <c r="S50" s="32"/>
      <c r="T50" s="32"/>
      <c r="U50" s="32"/>
      <c r="V50" s="32"/>
      <c r="W50" s="32"/>
    </row>
    <row r="51" spans="3:23" x14ac:dyDescent="0.25">
      <c r="C51" s="1"/>
      <c r="D51" s="29"/>
      <c r="E51" s="29"/>
      <c r="F51" s="29"/>
      <c r="G51" s="29"/>
      <c r="H51" s="30"/>
      <c r="I51" s="31"/>
      <c r="J51" s="31"/>
      <c r="K51" s="29"/>
      <c r="L51" s="32"/>
      <c r="M51" s="29"/>
      <c r="N51" s="33"/>
      <c r="O51" s="32"/>
      <c r="P51" s="34"/>
      <c r="Q51" s="34"/>
      <c r="R51" s="34"/>
      <c r="S51" s="32"/>
      <c r="T51" s="32"/>
      <c r="U51" s="32"/>
      <c r="V51" s="32"/>
      <c r="W51" s="32"/>
    </row>
    <row r="52" spans="3:23" x14ac:dyDescent="0.25">
      <c r="C52" s="1"/>
      <c r="D52" s="29"/>
      <c r="E52" s="29"/>
      <c r="F52" s="29"/>
      <c r="G52" s="29"/>
      <c r="H52" s="30"/>
      <c r="I52" s="31"/>
      <c r="J52" s="31"/>
      <c r="K52" s="29"/>
      <c r="L52" s="32"/>
      <c r="M52" s="29"/>
      <c r="N52" s="33"/>
      <c r="O52" s="32"/>
      <c r="P52" s="34"/>
      <c r="Q52" s="34"/>
      <c r="R52" s="34"/>
      <c r="S52" s="32"/>
      <c r="T52" s="32"/>
      <c r="U52" s="32"/>
      <c r="V52" s="32"/>
      <c r="W52" s="32"/>
    </row>
    <row r="53" spans="3:23" x14ac:dyDescent="0.25">
      <c r="C53" s="1"/>
      <c r="D53" s="29"/>
      <c r="E53" s="29"/>
      <c r="F53" s="29"/>
      <c r="G53" s="29"/>
      <c r="H53" s="30"/>
      <c r="I53" s="31"/>
      <c r="J53" s="31"/>
      <c r="K53" s="29"/>
      <c r="L53" s="32"/>
      <c r="M53" s="29"/>
      <c r="N53" s="33"/>
      <c r="O53" s="32"/>
      <c r="P53" s="34"/>
      <c r="Q53" s="34"/>
      <c r="R53" s="34"/>
      <c r="S53" s="32"/>
      <c r="T53" s="32"/>
      <c r="U53" s="32"/>
      <c r="V53" s="32"/>
      <c r="W53" s="32"/>
    </row>
    <row r="54" spans="3:23" x14ac:dyDescent="0.25">
      <c r="C54" s="1"/>
      <c r="D54" s="29"/>
      <c r="E54" s="29"/>
      <c r="F54" s="29"/>
      <c r="G54" s="29"/>
      <c r="H54" s="30"/>
      <c r="I54" s="31"/>
      <c r="J54" s="31"/>
      <c r="K54" s="29"/>
      <c r="L54" s="32"/>
      <c r="M54" s="29"/>
      <c r="N54" s="33"/>
      <c r="O54" s="32"/>
      <c r="P54" s="34"/>
      <c r="Q54" s="34"/>
      <c r="R54" s="34"/>
      <c r="S54" s="32"/>
      <c r="T54" s="32"/>
      <c r="U54" s="32"/>
      <c r="V54" s="32"/>
      <c r="W54" s="32"/>
    </row>
    <row r="55" spans="3:23" x14ac:dyDescent="0.25">
      <c r="C55" s="1"/>
      <c r="D55" s="29"/>
      <c r="E55" s="29"/>
      <c r="F55" s="29"/>
      <c r="G55" s="29"/>
      <c r="H55" s="30"/>
      <c r="I55" s="31"/>
      <c r="J55" s="31"/>
      <c r="K55" s="29"/>
      <c r="L55" s="32"/>
      <c r="M55" s="29"/>
      <c r="N55" s="33"/>
      <c r="O55" s="32"/>
      <c r="P55" s="34"/>
      <c r="Q55" s="34"/>
      <c r="R55" s="34"/>
      <c r="S55" s="32"/>
      <c r="T55" s="32"/>
      <c r="U55" s="32"/>
      <c r="V55" s="32"/>
      <c r="W55" s="32"/>
    </row>
    <row r="56" spans="3:23" x14ac:dyDescent="0.25">
      <c r="C56" s="1"/>
      <c r="D56" s="29"/>
      <c r="E56" s="29"/>
      <c r="F56" s="29"/>
      <c r="G56" s="29"/>
      <c r="H56" s="30"/>
      <c r="I56" s="31"/>
      <c r="J56" s="31"/>
      <c r="K56" s="29"/>
      <c r="L56" s="32"/>
      <c r="M56" s="29"/>
      <c r="N56" s="33"/>
      <c r="O56" s="32"/>
      <c r="P56" s="34"/>
      <c r="Q56" s="34"/>
      <c r="R56" s="34"/>
      <c r="S56" s="32"/>
      <c r="T56" s="32"/>
      <c r="U56" s="32"/>
      <c r="V56" s="32"/>
      <c r="W56" s="32"/>
    </row>
    <row r="57" spans="3:23" x14ac:dyDescent="0.25">
      <c r="C57" s="1"/>
      <c r="D57" s="29"/>
      <c r="E57" s="29"/>
      <c r="F57" s="29"/>
      <c r="G57" s="29"/>
      <c r="H57" s="30"/>
      <c r="I57" s="31"/>
      <c r="J57" s="31"/>
      <c r="K57" s="29"/>
      <c r="L57" s="32"/>
      <c r="M57" s="29"/>
      <c r="N57" s="33"/>
      <c r="O57" s="32"/>
      <c r="P57" s="34"/>
      <c r="Q57" s="34"/>
      <c r="R57" s="34"/>
      <c r="S57" s="32"/>
      <c r="T57" s="32"/>
      <c r="U57" s="32"/>
      <c r="V57" s="32"/>
      <c r="W57" s="32"/>
    </row>
    <row r="58" spans="3:23" x14ac:dyDescent="0.25">
      <c r="C58" s="1"/>
      <c r="D58" s="29"/>
      <c r="E58" s="29"/>
      <c r="F58" s="29"/>
      <c r="G58" s="29"/>
      <c r="H58" s="30"/>
      <c r="I58" s="31"/>
      <c r="J58" s="31"/>
      <c r="K58" s="29"/>
      <c r="L58" s="32"/>
      <c r="M58" s="29"/>
      <c r="N58" s="33"/>
      <c r="O58" s="32"/>
      <c r="P58" s="34"/>
      <c r="Q58" s="34"/>
      <c r="R58" s="34"/>
      <c r="S58" s="32"/>
      <c r="T58" s="32"/>
      <c r="U58" s="32"/>
      <c r="V58" s="32"/>
      <c r="W58" s="32"/>
    </row>
    <row r="59" spans="3:23" x14ac:dyDescent="0.25">
      <c r="C59" s="1"/>
      <c r="D59" s="29"/>
      <c r="E59" s="29"/>
      <c r="F59" s="29"/>
      <c r="G59" s="29"/>
      <c r="H59" s="30"/>
      <c r="I59" s="31"/>
      <c r="J59" s="31"/>
      <c r="K59" s="29"/>
      <c r="L59" s="32"/>
      <c r="M59" s="29"/>
      <c r="N59" s="33"/>
      <c r="O59" s="32"/>
      <c r="P59" s="34"/>
      <c r="Q59" s="34"/>
      <c r="R59" s="34"/>
      <c r="S59" s="32"/>
      <c r="T59" s="32"/>
      <c r="U59" s="32"/>
      <c r="V59" s="32"/>
      <c r="W59" s="32"/>
    </row>
    <row r="60" spans="3:23" x14ac:dyDescent="0.25">
      <c r="C60" s="1"/>
      <c r="D60" s="29"/>
      <c r="E60" s="29"/>
      <c r="F60" s="29"/>
      <c r="G60" s="29"/>
      <c r="H60" s="30"/>
      <c r="I60" s="31"/>
      <c r="J60" s="31"/>
      <c r="K60" s="29"/>
      <c r="L60" s="32"/>
      <c r="M60" s="29"/>
      <c r="N60" s="33"/>
      <c r="O60" s="32"/>
      <c r="P60" s="34"/>
      <c r="Q60" s="34"/>
      <c r="R60" s="34"/>
      <c r="S60" s="32"/>
      <c r="T60" s="32"/>
      <c r="U60" s="32"/>
      <c r="V60" s="32"/>
      <c r="W60" s="32"/>
    </row>
    <row r="61" spans="3:23" x14ac:dyDescent="0.25">
      <c r="C61" s="1"/>
      <c r="D61" s="29"/>
      <c r="E61" s="29"/>
      <c r="F61" s="29"/>
      <c r="G61" s="29"/>
      <c r="H61" s="30"/>
      <c r="I61" s="31"/>
      <c r="J61" s="31"/>
      <c r="K61" s="29"/>
      <c r="L61" s="32"/>
      <c r="M61" s="29"/>
      <c r="N61" s="33"/>
      <c r="O61" s="32"/>
      <c r="P61" s="34"/>
      <c r="Q61" s="34"/>
      <c r="R61" s="34"/>
      <c r="S61" s="32"/>
      <c r="T61" s="32"/>
      <c r="U61" s="32"/>
      <c r="V61" s="32"/>
      <c r="W61" s="32"/>
    </row>
    <row r="62" spans="3:23" x14ac:dyDescent="0.25">
      <c r="C62" s="1"/>
      <c r="D62" s="29"/>
      <c r="E62" s="29"/>
      <c r="F62" s="29"/>
      <c r="G62" s="29"/>
      <c r="H62" s="30"/>
      <c r="I62" s="31"/>
      <c r="J62" s="31"/>
      <c r="K62" s="29"/>
      <c r="L62" s="32"/>
      <c r="M62" s="29"/>
      <c r="N62" s="33"/>
      <c r="O62" s="32"/>
      <c r="P62" s="34"/>
      <c r="Q62" s="34"/>
      <c r="R62" s="34"/>
      <c r="S62" s="32"/>
      <c r="T62" s="32"/>
      <c r="U62" s="32"/>
      <c r="V62" s="32"/>
      <c r="W62" s="32"/>
    </row>
    <row r="63" spans="3:23" x14ac:dyDescent="0.25">
      <c r="C63" s="1"/>
      <c r="D63" s="29"/>
      <c r="E63" s="29"/>
      <c r="F63" s="29"/>
      <c r="G63" s="29"/>
      <c r="H63" s="30"/>
      <c r="I63" s="31"/>
      <c r="J63" s="31"/>
      <c r="K63" s="29"/>
      <c r="L63" s="32"/>
      <c r="M63" s="29"/>
      <c r="N63" s="33"/>
      <c r="O63" s="32"/>
      <c r="P63" s="34"/>
      <c r="Q63" s="34"/>
      <c r="R63" s="34"/>
      <c r="S63" s="32"/>
      <c r="T63" s="32"/>
      <c r="U63" s="32"/>
      <c r="V63" s="32"/>
      <c r="W63" s="32"/>
    </row>
    <row r="64" spans="3:23" x14ac:dyDescent="0.25">
      <c r="C64" s="1"/>
      <c r="D64" s="29"/>
      <c r="E64" s="29"/>
      <c r="F64" s="29"/>
      <c r="G64" s="29"/>
      <c r="H64" s="30"/>
      <c r="I64" s="31"/>
      <c r="J64" s="31"/>
      <c r="K64" s="29"/>
      <c r="L64" s="32"/>
      <c r="M64" s="29"/>
      <c r="N64" s="33"/>
      <c r="O64" s="32"/>
      <c r="P64" s="34"/>
      <c r="Q64" s="34"/>
      <c r="R64" s="34"/>
      <c r="S64" s="32"/>
      <c r="T64" s="32"/>
      <c r="U64" s="32"/>
      <c r="V64" s="32"/>
      <c r="W64" s="32"/>
    </row>
    <row r="65" spans="3:23" x14ac:dyDescent="0.25">
      <c r="C65" s="1"/>
      <c r="D65" s="29"/>
      <c r="E65" s="29"/>
      <c r="F65" s="29"/>
      <c r="G65" s="29"/>
      <c r="H65" s="30"/>
      <c r="I65" s="31"/>
      <c r="J65" s="31"/>
      <c r="K65" s="29"/>
      <c r="L65" s="32"/>
      <c r="M65" s="29"/>
      <c r="N65" s="33"/>
      <c r="O65" s="32"/>
      <c r="P65" s="34"/>
      <c r="Q65" s="34"/>
      <c r="R65" s="34"/>
      <c r="S65" s="32"/>
      <c r="T65" s="32"/>
      <c r="U65" s="32"/>
      <c r="V65" s="32"/>
      <c r="W65" s="32"/>
    </row>
    <row r="66" spans="3:23" x14ac:dyDescent="0.25">
      <c r="C66" s="1"/>
      <c r="D66" s="29"/>
      <c r="E66" s="29"/>
      <c r="F66" s="29"/>
      <c r="G66" s="29"/>
      <c r="H66" s="30"/>
      <c r="I66" s="31"/>
      <c r="J66" s="31"/>
      <c r="K66" s="29"/>
      <c r="L66" s="32"/>
      <c r="M66" s="29"/>
      <c r="N66" s="33"/>
      <c r="O66" s="32"/>
      <c r="P66" s="34"/>
      <c r="Q66" s="34"/>
      <c r="R66" s="34"/>
      <c r="S66" s="32"/>
      <c r="T66" s="32"/>
      <c r="U66" s="32"/>
      <c r="V66" s="32"/>
      <c r="W66" s="32"/>
    </row>
    <row r="67" spans="3:23" x14ac:dyDescent="0.25">
      <c r="C67" s="1"/>
      <c r="D67" s="29"/>
      <c r="E67" s="29"/>
      <c r="F67" s="29"/>
      <c r="G67" s="29"/>
      <c r="H67" s="30"/>
      <c r="I67" s="31"/>
      <c r="J67" s="31"/>
      <c r="K67" s="29"/>
      <c r="L67" s="32"/>
      <c r="M67" s="29"/>
      <c r="N67" s="33"/>
      <c r="O67" s="32"/>
      <c r="P67" s="34"/>
      <c r="Q67" s="34"/>
      <c r="R67" s="34"/>
      <c r="S67" s="32"/>
      <c r="T67" s="32"/>
      <c r="U67" s="32"/>
      <c r="V67" s="32"/>
      <c r="W67" s="32"/>
    </row>
    <row r="68" spans="3:23" x14ac:dyDescent="0.25">
      <c r="C68" s="1"/>
      <c r="D68" s="29"/>
      <c r="E68" s="29"/>
      <c r="F68" s="29"/>
      <c r="G68" s="29"/>
      <c r="H68" s="30"/>
      <c r="I68" s="31"/>
      <c r="J68" s="31"/>
      <c r="K68" s="29"/>
      <c r="L68" s="32"/>
      <c r="M68" s="29"/>
      <c r="N68" s="33"/>
      <c r="O68" s="32"/>
      <c r="P68" s="34"/>
      <c r="Q68" s="34"/>
      <c r="R68" s="34"/>
      <c r="S68" s="32"/>
      <c r="T68" s="32"/>
      <c r="U68" s="32"/>
      <c r="V68" s="32"/>
      <c r="W68" s="32"/>
    </row>
    <row r="69" spans="3:23" x14ac:dyDescent="0.25">
      <c r="C69" s="1"/>
      <c r="D69" s="29"/>
      <c r="E69" s="29"/>
      <c r="F69" s="29"/>
      <c r="G69" s="29"/>
      <c r="H69" s="30"/>
      <c r="I69" s="31"/>
      <c r="J69" s="31"/>
      <c r="K69" s="29"/>
      <c r="L69" s="32"/>
      <c r="M69" s="29"/>
      <c r="N69" s="33"/>
      <c r="O69" s="32"/>
      <c r="P69" s="34"/>
      <c r="Q69" s="34"/>
      <c r="R69" s="34"/>
      <c r="S69" s="32"/>
      <c r="T69" s="32"/>
      <c r="U69" s="32"/>
      <c r="V69" s="32"/>
      <c r="W69" s="32"/>
    </row>
    <row r="70" spans="3:23" x14ac:dyDescent="0.25">
      <c r="C70" s="1"/>
      <c r="D70" s="29"/>
      <c r="E70" s="29"/>
      <c r="F70" s="29"/>
      <c r="G70" s="29"/>
      <c r="H70" s="30"/>
      <c r="I70" s="31"/>
      <c r="J70" s="31"/>
      <c r="K70" s="29"/>
      <c r="L70" s="32"/>
      <c r="M70" s="29"/>
      <c r="N70" s="33"/>
      <c r="O70" s="32"/>
      <c r="P70" s="34"/>
      <c r="Q70" s="34"/>
      <c r="R70" s="34"/>
      <c r="S70" s="32"/>
      <c r="T70" s="32"/>
      <c r="U70" s="32"/>
      <c r="V70" s="32"/>
      <c r="W70" s="32"/>
    </row>
    <row r="71" spans="3:23" x14ac:dyDescent="0.25">
      <c r="C71" s="1"/>
      <c r="D71" s="29"/>
      <c r="E71" s="29"/>
      <c r="F71" s="29"/>
      <c r="G71" s="29"/>
      <c r="H71" s="30"/>
      <c r="I71" s="31"/>
      <c r="J71" s="31"/>
      <c r="K71" s="29"/>
      <c r="L71" s="32"/>
      <c r="M71" s="29"/>
      <c r="N71" s="33"/>
      <c r="O71" s="32"/>
      <c r="P71" s="34"/>
      <c r="Q71" s="34"/>
      <c r="R71" s="34"/>
      <c r="S71" s="32"/>
      <c r="T71" s="32"/>
      <c r="U71" s="32"/>
      <c r="V71" s="32"/>
      <c r="W71" s="32"/>
    </row>
    <row r="72" spans="3:23" x14ac:dyDescent="0.25">
      <c r="C72" s="1"/>
      <c r="D72" s="29"/>
      <c r="E72" s="29"/>
      <c r="F72" s="29"/>
      <c r="G72" s="29"/>
      <c r="H72" s="30"/>
      <c r="I72" s="31"/>
      <c r="J72" s="31"/>
      <c r="K72" s="29"/>
      <c r="L72" s="32"/>
      <c r="M72" s="29"/>
      <c r="N72" s="33"/>
      <c r="O72" s="32"/>
      <c r="P72" s="34"/>
      <c r="Q72" s="34"/>
      <c r="R72" s="34"/>
      <c r="S72" s="32"/>
      <c r="T72" s="32"/>
      <c r="U72" s="32"/>
      <c r="V72" s="32"/>
      <c r="W72" s="32"/>
    </row>
    <row r="73" spans="3:23" x14ac:dyDescent="0.25">
      <c r="C73" s="1"/>
      <c r="D73" s="29"/>
      <c r="E73" s="29"/>
      <c r="F73" s="29"/>
      <c r="G73" s="29"/>
      <c r="H73" s="30"/>
      <c r="I73" s="31"/>
      <c r="J73" s="31"/>
      <c r="K73" s="29"/>
      <c r="L73" s="32"/>
      <c r="M73" s="29"/>
      <c r="N73" s="33"/>
      <c r="O73" s="32"/>
      <c r="P73" s="34"/>
      <c r="Q73" s="34"/>
      <c r="R73" s="34"/>
      <c r="S73" s="32"/>
      <c r="T73" s="32"/>
      <c r="U73" s="32"/>
      <c r="V73" s="32"/>
      <c r="W73" s="32"/>
    </row>
    <row r="74" spans="3:23" x14ac:dyDescent="0.25">
      <c r="C74" s="1"/>
      <c r="D74" s="29"/>
      <c r="E74" s="29"/>
      <c r="F74" s="29"/>
      <c r="G74" s="29"/>
      <c r="H74" s="30"/>
      <c r="I74" s="31"/>
      <c r="J74" s="31"/>
      <c r="K74" s="29"/>
      <c r="L74" s="32"/>
      <c r="M74" s="29"/>
      <c r="N74" s="33"/>
      <c r="O74" s="32"/>
      <c r="P74" s="34"/>
      <c r="Q74" s="34"/>
      <c r="R74" s="34"/>
      <c r="S74" s="32"/>
      <c r="T74" s="32"/>
      <c r="U74" s="32"/>
      <c r="V74" s="32"/>
      <c r="W74" s="32"/>
    </row>
    <row r="75" spans="3:23" x14ac:dyDescent="0.25">
      <c r="C75" s="1"/>
      <c r="D75" s="29"/>
      <c r="E75" s="29"/>
      <c r="F75" s="29"/>
      <c r="G75" s="29"/>
      <c r="H75" s="30"/>
      <c r="I75" s="31"/>
      <c r="J75" s="31"/>
      <c r="K75" s="29"/>
      <c r="L75" s="32"/>
      <c r="M75" s="29"/>
      <c r="N75" s="33"/>
      <c r="O75" s="32"/>
      <c r="P75" s="34"/>
      <c r="Q75" s="34"/>
      <c r="R75" s="34"/>
      <c r="S75" s="32"/>
      <c r="T75" s="32"/>
      <c r="U75" s="32"/>
      <c r="V75" s="32"/>
      <c r="W75" s="32"/>
    </row>
    <row r="76" spans="3:23" x14ac:dyDescent="0.25">
      <c r="C76" s="1"/>
      <c r="D76" s="29"/>
      <c r="E76" s="29"/>
      <c r="F76" s="29"/>
      <c r="G76" s="29"/>
      <c r="H76" s="30"/>
      <c r="I76" s="31"/>
      <c r="J76" s="31"/>
      <c r="K76" s="29"/>
      <c r="L76" s="32"/>
      <c r="M76" s="29"/>
      <c r="N76" s="33"/>
      <c r="O76" s="32"/>
      <c r="P76" s="34"/>
      <c r="Q76" s="34"/>
      <c r="R76" s="34"/>
      <c r="S76" s="32"/>
      <c r="T76" s="32"/>
      <c r="U76" s="32"/>
      <c r="V76" s="32"/>
      <c r="W76" s="32"/>
    </row>
    <row r="77" spans="3:23" x14ac:dyDescent="0.25">
      <c r="C77" s="1"/>
      <c r="D77" s="29"/>
      <c r="E77" s="29"/>
      <c r="F77" s="29"/>
      <c r="G77" s="29"/>
      <c r="H77" s="30"/>
      <c r="I77" s="31"/>
      <c r="J77" s="31"/>
      <c r="K77" s="29"/>
      <c r="L77" s="32"/>
      <c r="M77" s="29"/>
      <c r="N77" s="33"/>
      <c r="O77" s="32"/>
      <c r="P77" s="34"/>
      <c r="Q77" s="34"/>
      <c r="R77" s="34"/>
      <c r="S77" s="32"/>
      <c r="T77" s="32"/>
      <c r="U77" s="32"/>
      <c r="V77" s="32"/>
      <c r="W77" s="32"/>
    </row>
    <row r="78" spans="3:23" x14ac:dyDescent="0.25">
      <c r="C78" s="1"/>
      <c r="D78" s="29"/>
      <c r="E78" s="29"/>
      <c r="F78" s="29"/>
      <c r="G78" s="29"/>
      <c r="H78" s="30"/>
      <c r="I78" s="31"/>
      <c r="J78" s="31"/>
      <c r="K78" s="29"/>
      <c r="L78" s="32"/>
      <c r="M78" s="29"/>
      <c r="N78" s="33"/>
      <c r="O78" s="32"/>
      <c r="P78" s="34"/>
      <c r="Q78" s="34"/>
      <c r="R78" s="34"/>
      <c r="S78" s="32"/>
      <c r="T78" s="32"/>
      <c r="U78" s="32"/>
      <c r="V78" s="32"/>
      <c r="W78" s="32"/>
    </row>
    <row r="79" spans="3:23" x14ac:dyDescent="0.25">
      <c r="C79" s="1"/>
      <c r="D79" s="29"/>
      <c r="E79" s="29"/>
      <c r="F79" s="29"/>
      <c r="G79" s="29"/>
      <c r="H79" s="30"/>
      <c r="I79" s="31"/>
      <c r="J79" s="31"/>
      <c r="K79" s="29"/>
      <c r="L79" s="32"/>
      <c r="M79" s="29"/>
      <c r="N79" s="33"/>
      <c r="O79" s="32"/>
      <c r="P79" s="34"/>
      <c r="Q79" s="34"/>
      <c r="R79" s="34"/>
      <c r="S79" s="32"/>
      <c r="T79" s="32"/>
      <c r="U79" s="32"/>
      <c r="V79" s="32"/>
      <c r="W79" s="32"/>
    </row>
    <row r="80" spans="3:23" x14ac:dyDescent="0.25">
      <c r="C80" s="1"/>
      <c r="D80" s="29"/>
      <c r="E80" s="29"/>
      <c r="F80" s="29"/>
      <c r="G80" s="29"/>
      <c r="H80" s="30"/>
      <c r="I80" s="31"/>
      <c r="J80" s="31"/>
      <c r="K80" s="29"/>
      <c r="L80" s="32"/>
      <c r="M80" s="29"/>
      <c r="N80" s="33"/>
      <c r="O80" s="32"/>
      <c r="P80" s="34"/>
      <c r="Q80" s="34"/>
      <c r="R80" s="34"/>
      <c r="S80" s="32"/>
      <c r="T80" s="32"/>
      <c r="U80" s="32"/>
      <c r="V80" s="32"/>
      <c r="W80" s="32"/>
    </row>
    <row r="81" spans="3:23" x14ac:dyDescent="0.25">
      <c r="C81" s="1"/>
      <c r="D81" s="29"/>
      <c r="E81" s="29"/>
      <c r="F81" s="29"/>
      <c r="G81" s="29"/>
      <c r="H81" s="30"/>
      <c r="I81" s="31"/>
      <c r="J81" s="31"/>
      <c r="K81" s="29"/>
      <c r="L81" s="32"/>
      <c r="M81" s="29"/>
      <c r="N81" s="33"/>
      <c r="O81" s="32"/>
      <c r="P81" s="34"/>
      <c r="Q81" s="34"/>
      <c r="R81" s="34"/>
      <c r="S81" s="32"/>
      <c r="T81" s="32"/>
      <c r="U81" s="32"/>
      <c r="V81" s="32"/>
      <c r="W81" s="32"/>
    </row>
    <row r="82" spans="3:23" x14ac:dyDescent="0.25">
      <c r="C82" s="1"/>
      <c r="D82" s="29"/>
      <c r="E82" s="29"/>
      <c r="F82" s="29"/>
      <c r="G82" s="29"/>
      <c r="H82" s="30"/>
      <c r="I82" s="31"/>
      <c r="J82" s="31"/>
      <c r="K82" s="29"/>
      <c r="L82" s="32"/>
      <c r="M82" s="29"/>
      <c r="N82" s="33"/>
      <c r="O82" s="32"/>
      <c r="P82" s="34"/>
      <c r="Q82" s="34"/>
      <c r="R82" s="34"/>
      <c r="S82" s="32"/>
      <c r="T82" s="32"/>
      <c r="U82" s="32"/>
      <c r="V82" s="32"/>
      <c r="W82" s="32"/>
    </row>
    <row r="83" spans="3:23" x14ac:dyDescent="0.25">
      <c r="C83" s="1"/>
      <c r="D83" s="29"/>
      <c r="E83" s="29"/>
      <c r="F83" s="29"/>
      <c r="G83" s="29"/>
      <c r="H83" s="30"/>
      <c r="I83" s="31"/>
      <c r="J83" s="31"/>
      <c r="K83" s="29"/>
      <c r="L83" s="32"/>
      <c r="M83" s="29"/>
      <c r="N83" s="33"/>
      <c r="O83" s="32"/>
      <c r="P83" s="34"/>
      <c r="Q83" s="34"/>
      <c r="R83" s="34"/>
      <c r="S83" s="32"/>
      <c r="T83" s="32"/>
      <c r="U83" s="32"/>
      <c r="V83" s="32"/>
      <c r="W83" s="32"/>
    </row>
    <row r="84" spans="3:23" x14ac:dyDescent="0.25">
      <c r="C84" s="1"/>
      <c r="D84" s="29"/>
      <c r="E84" s="29"/>
      <c r="F84" s="29"/>
      <c r="G84" s="29"/>
      <c r="H84" s="30"/>
      <c r="I84" s="31"/>
      <c r="J84" s="31"/>
      <c r="K84" s="29"/>
      <c r="L84" s="32"/>
      <c r="M84" s="29"/>
      <c r="N84" s="33"/>
      <c r="O84" s="32"/>
      <c r="P84" s="34"/>
      <c r="Q84" s="34"/>
      <c r="R84" s="34"/>
      <c r="S84" s="32"/>
      <c r="T84" s="32"/>
      <c r="U84" s="32"/>
      <c r="V84" s="32"/>
      <c r="W84" s="32"/>
    </row>
    <row r="85" spans="3:23" x14ac:dyDescent="0.25">
      <c r="C85" s="1"/>
      <c r="D85" s="29"/>
      <c r="E85" s="29"/>
      <c r="F85" s="29"/>
      <c r="G85" s="29"/>
      <c r="H85" s="30"/>
      <c r="I85" s="31"/>
      <c r="J85" s="31"/>
      <c r="K85" s="29"/>
      <c r="L85" s="32"/>
      <c r="M85" s="29"/>
      <c r="N85" s="33"/>
      <c r="O85" s="32"/>
      <c r="P85" s="34"/>
      <c r="Q85" s="34"/>
      <c r="R85" s="34"/>
      <c r="S85" s="32"/>
      <c r="T85" s="32"/>
      <c r="U85" s="32"/>
      <c r="V85" s="32"/>
      <c r="W85" s="32"/>
    </row>
    <row r="86" spans="3:23" x14ac:dyDescent="0.25">
      <c r="C86" s="1"/>
      <c r="D86" s="29"/>
      <c r="E86" s="29"/>
      <c r="F86" s="29"/>
      <c r="G86" s="29"/>
      <c r="H86" s="30"/>
      <c r="I86" s="31"/>
      <c r="J86" s="31"/>
      <c r="K86" s="29"/>
      <c r="L86" s="32"/>
      <c r="M86" s="29"/>
      <c r="N86" s="33"/>
      <c r="O86" s="32"/>
      <c r="P86" s="34"/>
      <c r="Q86" s="34"/>
      <c r="R86" s="34"/>
      <c r="S86" s="32"/>
      <c r="T86" s="32"/>
      <c r="U86" s="32"/>
      <c r="V86" s="32"/>
      <c r="W86" s="32"/>
    </row>
    <row r="87" spans="3:23" x14ac:dyDescent="0.25">
      <c r="C87" s="1"/>
      <c r="D87" s="29"/>
      <c r="E87" s="29"/>
      <c r="F87" s="29"/>
      <c r="G87" s="29"/>
      <c r="H87" s="30"/>
      <c r="I87" s="31"/>
      <c r="J87" s="31"/>
      <c r="K87" s="29"/>
      <c r="L87" s="32"/>
      <c r="M87" s="29"/>
      <c r="N87" s="33"/>
      <c r="O87" s="32"/>
      <c r="P87" s="34"/>
      <c r="Q87" s="34"/>
      <c r="R87" s="34"/>
      <c r="S87" s="32"/>
      <c r="T87" s="32"/>
      <c r="U87" s="32"/>
      <c r="V87" s="32"/>
      <c r="W87" s="32"/>
    </row>
    <row r="88" spans="3:23" x14ac:dyDescent="0.25">
      <c r="C88" s="1"/>
      <c r="D88" s="29"/>
      <c r="E88" s="29"/>
      <c r="F88" s="29"/>
      <c r="G88" s="29"/>
      <c r="H88" s="30"/>
      <c r="I88" s="31"/>
      <c r="J88" s="31"/>
      <c r="K88" s="29"/>
      <c r="L88" s="32"/>
      <c r="M88" s="29"/>
      <c r="N88" s="33"/>
      <c r="O88" s="32"/>
      <c r="P88" s="34"/>
      <c r="Q88" s="34"/>
      <c r="R88" s="34"/>
      <c r="S88" s="32"/>
      <c r="T88" s="32"/>
      <c r="U88" s="32"/>
      <c r="V88" s="32"/>
      <c r="W88" s="32"/>
    </row>
    <row r="89" spans="3:23" x14ac:dyDescent="0.25">
      <c r="C89" s="1"/>
      <c r="D89" s="29"/>
      <c r="E89" s="29"/>
      <c r="F89" s="29"/>
      <c r="G89" s="29"/>
      <c r="H89" s="30"/>
      <c r="I89" s="31"/>
      <c r="J89" s="31"/>
      <c r="K89" s="29"/>
      <c r="L89" s="32"/>
      <c r="M89" s="29"/>
      <c r="N89" s="33"/>
      <c r="O89" s="32"/>
      <c r="P89" s="34"/>
      <c r="Q89" s="34"/>
      <c r="R89" s="34"/>
      <c r="S89" s="32"/>
      <c r="T89" s="32"/>
      <c r="U89" s="32"/>
      <c r="V89" s="32"/>
      <c r="W89" s="32"/>
    </row>
    <row r="90" spans="3:23" x14ac:dyDescent="0.25">
      <c r="C90" s="1"/>
      <c r="D90" s="29"/>
      <c r="E90" s="29"/>
      <c r="F90" s="29"/>
      <c r="G90" s="29"/>
      <c r="H90" s="30"/>
      <c r="I90" s="31"/>
      <c r="J90" s="31"/>
      <c r="K90" s="29"/>
      <c r="L90" s="32"/>
      <c r="M90" s="29"/>
      <c r="N90" s="33"/>
      <c r="O90" s="32"/>
      <c r="P90" s="34"/>
      <c r="Q90" s="34"/>
      <c r="R90" s="34"/>
      <c r="S90" s="32"/>
      <c r="T90" s="32"/>
      <c r="U90" s="32"/>
      <c r="V90" s="32"/>
      <c r="W90" s="32"/>
    </row>
    <row r="91" spans="3:23" x14ac:dyDescent="0.25">
      <c r="C91" s="1"/>
      <c r="D91" s="29"/>
      <c r="E91" s="29"/>
      <c r="F91" s="29"/>
      <c r="G91" s="29"/>
      <c r="H91" s="30"/>
      <c r="I91" s="31"/>
      <c r="J91" s="31"/>
      <c r="K91" s="29"/>
      <c r="L91" s="32"/>
      <c r="M91" s="29"/>
      <c r="N91" s="33"/>
      <c r="O91" s="32"/>
      <c r="P91" s="34"/>
      <c r="Q91" s="34"/>
      <c r="R91" s="34"/>
      <c r="S91" s="32"/>
      <c r="T91" s="32"/>
      <c r="U91" s="32"/>
      <c r="V91" s="32"/>
      <c r="W91" s="32"/>
    </row>
    <row r="92" spans="3:23" x14ac:dyDescent="0.25">
      <c r="C92" s="1"/>
      <c r="D92" s="29"/>
      <c r="E92" s="29"/>
      <c r="F92" s="29"/>
      <c r="G92" s="29"/>
      <c r="H92" s="30"/>
      <c r="I92" s="31"/>
      <c r="J92" s="31"/>
      <c r="K92" s="29"/>
      <c r="L92" s="32"/>
      <c r="M92" s="29"/>
      <c r="N92" s="33"/>
      <c r="O92" s="32"/>
      <c r="P92" s="34"/>
      <c r="Q92" s="34"/>
      <c r="R92" s="34"/>
      <c r="S92" s="32"/>
      <c r="T92" s="32"/>
      <c r="U92" s="32"/>
      <c r="V92" s="32"/>
      <c r="W92" s="32"/>
    </row>
    <row r="93" spans="3:23" x14ac:dyDescent="0.25">
      <c r="C93" s="1"/>
      <c r="D93" s="29"/>
      <c r="E93" s="29"/>
      <c r="F93" s="29"/>
      <c r="G93" s="29"/>
      <c r="H93" s="30"/>
      <c r="I93" s="31"/>
      <c r="J93" s="31"/>
      <c r="K93" s="29"/>
      <c r="L93" s="32"/>
      <c r="M93" s="29"/>
      <c r="N93" s="33"/>
      <c r="O93" s="32"/>
      <c r="P93" s="34"/>
      <c r="Q93" s="34"/>
      <c r="R93" s="34"/>
      <c r="S93" s="32"/>
      <c r="T93" s="32"/>
      <c r="U93" s="32"/>
      <c r="V93" s="32"/>
      <c r="W93" s="32"/>
    </row>
    <row r="94" spans="3:23" x14ac:dyDescent="0.25">
      <c r="C94" s="1"/>
      <c r="D94" s="29"/>
      <c r="E94" s="29"/>
      <c r="F94" s="29"/>
      <c r="G94" s="29"/>
      <c r="H94" s="30"/>
      <c r="I94" s="31"/>
      <c r="J94" s="31"/>
      <c r="K94" s="29"/>
      <c r="L94" s="32"/>
      <c r="M94" s="29"/>
      <c r="N94" s="33"/>
      <c r="O94" s="32"/>
      <c r="P94" s="34"/>
      <c r="Q94" s="34"/>
      <c r="R94" s="34"/>
      <c r="S94" s="32"/>
      <c r="T94" s="32"/>
      <c r="U94" s="32"/>
      <c r="V94" s="32"/>
      <c r="W94" s="32"/>
    </row>
    <row r="95" spans="3:23" x14ac:dyDescent="0.25">
      <c r="C95" s="1"/>
      <c r="D95" s="29"/>
      <c r="E95" s="29"/>
      <c r="F95" s="29"/>
      <c r="G95" s="29"/>
      <c r="H95" s="30"/>
      <c r="I95" s="31"/>
      <c r="J95" s="31"/>
      <c r="K95" s="29"/>
      <c r="L95" s="32"/>
      <c r="M95" s="29"/>
      <c r="N95" s="33"/>
      <c r="O95" s="32"/>
      <c r="P95" s="34"/>
      <c r="Q95" s="34"/>
      <c r="R95" s="34"/>
      <c r="S95" s="32"/>
      <c r="T95" s="32"/>
      <c r="U95" s="32"/>
      <c r="V95" s="32"/>
      <c r="W95" s="32"/>
    </row>
    <row r="96" spans="3:23" x14ac:dyDescent="0.25">
      <c r="C96" s="1"/>
      <c r="D96" s="29"/>
      <c r="E96" s="29"/>
      <c r="F96" s="29"/>
      <c r="G96" s="29"/>
      <c r="H96" s="30"/>
      <c r="I96" s="31"/>
      <c r="J96" s="31"/>
      <c r="K96" s="29"/>
      <c r="L96" s="32"/>
      <c r="M96" s="29"/>
      <c r="N96" s="33"/>
      <c r="O96" s="32"/>
      <c r="P96" s="34"/>
      <c r="Q96" s="34"/>
      <c r="R96" s="34"/>
      <c r="S96" s="32"/>
      <c r="T96" s="32"/>
      <c r="U96" s="32"/>
      <c r="V96" s="32"/>
      <c r="W96" s="32"/>
    </row>
    <row r="97" spans="3:23" x14ac:dyDescent="0.25">
      <c r="C97" s="1"/>
      <c r="D97" s="29"/>
      <c r="E97" s="29"/>
      <c r="F97" s="29"/>
      <c r="G97" s="29"/>
      <c r="H97" s="30"/>
      <c r="I97" s="31"/>
      <c r="J97" s="31"/>
      <c r="K97" s="29"/>
      <c r="L97" s="32"/>
      <c r="M97" s="29"/>
      <c r="N97" s="33"/>
      <c r="O97" s="32"/>
      <c r="P97" s="34"/>
      <c r="Q97" s="34"/>
      <c r="R97" s="34"/>
      <c r="S97" s="32"/>
      <c r="T97" s="32"/>
      <c r="U97" s="32"/>
      <c r="V97" s="32"/>
      <c r="W97" s="32"/>
    </row>
    <row r="98" spans="3:23" x14ac:dyDescent="0.25">
      <c r="C98" s="1"/>
      <c r="D98" s="29"/>
      <c r="E98" s="29"/>
      <c r="F98" s="29"/>
      <c r="G98" s="29"/>
      <c r="H98" s="30"/>
      <c r="I98" s="31"/>
      <c r="J98" s="31"/>
      <c r="K98" s="29"/>
      <c r="L98" s="32"/>
      <c r="M98" s="29"/>
      <c r="N98" s="33"/>
      <c r="O98" s="32"/>
      <c r="P98" s="34"/>
      <c r="Q98" s="34"/>
      <c r="R98" s="34"/>
      <c r="S98" s="32"/>
      <c r="T98" s="32"/>
      <c r="U98" s="32"/>
      <c r="V98" s="32"/>
      <c r="W98" s="32"/>
    </row>
    <row r="99" spans="3:23" x14ac:dyDescent="0.25">
      <c r="C99" s="1"/>
      <c r="D99" s="29"/>
      <c r="E99" s="29"/>
      <c r="F99" s="29"/>
      <c r="G99" s="29"/>
      <c r="H99" s="30"/>
      <c r="I99" s="31"/>
      <c r="J99" s="31"/>
      <c r="K99" s="29"/>
      <c r="L99" s="32"/>
      <c r="M99" s="29"/>
      <c r="N99" s="33"/>
      <c r="O99" s="32"/>
      <c r="P99" s="34"/>
      <c r="Q99" s="34"/>
      <c r="R99" s="34"/>
      <c r="S99" s="32"/>
      <c r="T99" s="32"/>
      <c r="U99" s="32"/>
      <c r="V99" s="32"/>
      <c r="W99" s="32"/>
    </row>
    <row r="100" spans="3:23" x14ac:dyDescent="0.25">
      <c r="C100" s="1"/>
      <c r="D100" s="29"/>
      <c r="E100" s="29"/>
      <c r="F100" s="29"/>
      <c r="G100" s="29"/>
      <c r="H100" s="30"/>
      <c r="I100" s="31"/>
      <c r="J100" s="31"/>
      <c r="K100" s="29"/>
      <c r="L100" s="32"/>
      <c r="M100" s="29"/>
      <c r="N100" s="33"/>
      <c r="O100" s="32"/>
      <c r="P100" s="34"/>
      <c r="Q100" s="34"/>
      <c r="R100" s="34"/>
      <c r="S100" s="32"/>
      <c r="T100" s="32"/>
      <c r="U100" s="32"/>
      <c r="V100" s="32"/>
      <c r="W100" s="32"/>
    </row>
    <row r="101" spans="3:23" x14ac:dyDescent="0.25">
      <c r="C101" s="1"/>
      <c r="D101" s="29"/>
      <c r="E101" s="29"/>
      <c r="F101" s="29"/>
      <c r="G101" s="29"/>
      <c r="H101" s="30"/>
      <c r="I101" s="31"/>
      <c r="J101" s="31"/>
      <c r="K101" s="29"/>
      <c r="L101" s="32"/>
      <c r="M101" s="29"/>
      <c r="N101" s="33"/>
      <c r="O101" s="32"/>
      <c r="P101" s="34"/>
      <c r="Q101" s="34"/>
      <c r="R101" s="34"/>
      <c r="S101" s="32"/>
      <c r="T101" s="32"/>
      <c r="U101" s="32"/>
      <c r="V101" s="32"/>
      <c r="W101" s="32"/>
    </row>
    <row r="102" spans="3:23" x14ac:dyDescent="0.25">
      <c r="C102" s="1"/>
      <c r="D102" s="29"/>
      <c r="E102" s="29"/>
      <c r="F102" s="29"/>
      <c r="G102" s="29"/>
      <c r="H102" s="30"/>
      <c r="I102" s="31"/>
      <c r="J102" s="31"/>
      <c r="K102" s="29"/>
      <c r="L102" s="32"/>
      <c r="M102" s="29"/>
      <c r="N102" s="33"/>
      <c r="O102" s="32"/>
      <c r="P102" s="34"/>
      <c r="Q102" s="34"/>
      <c r="R102" s="34"/>
      <c r="S102" s="32"/>
      <c r="T102" s="32"/>
      <c r="U102" s="32"/>
      <c r="V102" s="32"/>
      <c r="W102" s="32"/>
    </row>
    <row r="103" spans="3:23" x14ac:dyDescent="0.25">
      <c r="C103" s="1"/>
      <c r="D103" s="29"/>
      <c r="E103" s="29"/>
      <c r="F103" s="29"/>
      <c r="G103" s="29"/>
      <c r="H103" s="30"/>
      <c r="I103" s="31"/>
      <c r="J103" s="31"/>
      <c r="K103" s="29"/>
      <c r="L103" s="32"/>
      <c r="M103" s="29"/>
      <c r="N103" s="33"/>
      <c r="O103" s="32"/>
      <c r="P103" s="34"/>
      <c r="Q103" s="34"/>
      <c r="R103" s="34"/>
      <c r="S103" s="32"/>
      <c r="T103" s="32"/>
      <c r="U103" s="32"/>
      <c r="V103" s="32"/>
      <c r="W103" s="32"/>
    </row>
    <row r="104" spans="3:23" x14ac:dyDescent="0.25">
      <c r="C104" s="1"/>
      <c r="D104" s="29"/>
      <c r="E104" s="29"/>
      <c r="F104" s="29"/>
      <c r="G104" s="29"/>
      <c r="H104" s="30"/>
      <c r="I104" s="31"/>
      <c r="J104" s="31"/>
      <c r="K104" s="29"/>
      <c r="L104" s="32"/>
      <c r="M104" s="29"/>
      <c r="N104" s="33"/>
      <c r="O104" s="32"/>
      <c r="P104" s="34"/>
      <c r="Q104" s="34"/>
      <c r="R104" s="34"/>
      <c r="S104" s="32"/>
      <c r="T104" s="32"/>
      <c r="U104" s="32"/>
      <c r="V104" s="32"/>
      <c r="W104" s="32"/>
    </row>
    <row r="105" spans="3:23" x14ac:dyDescent="0.25">
      <c r="C105" s="1"/>
      <c r="D105" s="29"/>
      <c r="E105" s="29"/>
      <c r="F105" s="29"/>
      <c r="G105" s="29"/>
      <c r="H105" s="30"/>
      <c r="I105" s="31"/>
      <c r="J105" s="31"/>
      <c r="K105" s="29"/>
      <c r="L105" s="32"/>
      <c r="M105" s="29"/>
      <c r="N105" s="33"/>
      <c r="O105" s="32"/>
      <c r="P105" s="34"/>
      <c r="Q105" s="34"/>
      <c r="R105" s="34"/>
      <c r="S105" s="32"/>
      <c r="T105" s="32"/>
      <c r="U105" s="32"/>
      <c r="V105" s="32"/>
      <c r="W105" s="32"/>
    </row>
    <row r="106" spans="3:23" x14ac:dyDescent="0.25">
      <c r="C106" s="1"/>
      <c r="D106" s="29"/>
      <c r="E106" s="29"/>
      <c r="F106" s="29"/>
      <c r="G106" s="29"/>
      <c r="H106" s="30"/>
      <c r="I106" s="31"/>
      <c r="J106" s="31"/>
      <c r="K106" s="29"/>
      <c r="L106" s="32"/>
      <c r="M106" s="29"/>
      <c r="N106" s="33"/>
      <c r="O106" s="32"/>
      <c r="P106" s="34"/>
      <c r="Q106" s="34"/>
      <c r="R106" s="34"/>
      <c r="S106" s="32"/>
      <c r="T106" s="32"/>
      <c r="U106" s="32"/>
      <c r="V106" s="32"/>
      <c r="W106" s="32"/>
    </row>
    <row r="107" spans="3:23" x14ac:dyDescent="0.25">
      <c r="C107" s="1"/>
      <c r="D107" s="29"/>
      <c r="E107" s="29"/>
      <c r="F107" s="29"/>
      <c r="G107" s="29"/>
      <c r="H107" s="30"/>
      <c r="I107" s="31"/>
      <c r="J107" s="31"/>
      <c r="K107" s="29"/>
      <c r="L107" s="32"/>
      <c r="M107" s="29"/>
      <c r="N107" s="33"/>
      <c r="O107" s="32"/>
      <c r="P107" s="34"/>
      <c r="Q107" s="34"/>
      <c r="R107" s="34"/>
      <c r="S107" s="32"/>
      <c r="T107" s="32"/>
      <c r="U107" s="32"/>
      <c r="V107" s="32"/>
      <c r="W107" s="32"/>
    </row>
    <row r="108" spans="3:23" x14ac:dyDescent="0.25">
      <c r="C108" s="1"/>
      <c r="D108" s="29"/>
      <c r="E108" s="29"/>
      <c r="F108" s="29"/>
      <c r="G108" s="29"/>
      <c r="H108" s="30"/>
      <c r="I108" s="31"/>
      <c r="J108" s="31"/>
      <c r="K108" s="29"/>
      <c r="L108" s="32"/>
      <c r="M108" s="29"/>
      <c r="N108" s="33"/>
      <c r="O108" s="32"/>
      <c r="P108" s="34"/>
      <c r="Q108" s="34"/>
      <c r="R108" s="34"/>
      <c r="S108" s="32"/>
      <c r="T108" s="32"/>
      <c r="U108" s="32"/>
      <c r="V108" s="32"/>
      <c r="W108" s="32"/>
    </row>
    <row r="109" spans="3:23" x14ac:dyDescent="0.25">
      <c r="C109" s="1"/>
      <c r="D109" s="29"/>
      <c r="E109" s="29"/>
      <c r="F109" s="29"/>
      <c r="G109" s="29"/>
      <c r="H109" s="30"/>
      <c r="I109" s="31"/>
      <c r="J109" s="31"/>
      <c r="K109" s="29"/>
      <c r="L109" s="32"/>
      <c r="M109" s="29"/>
      <c r="N109" s="33"/>
      <c r="O109" s="32"/>
      <c r="P109" s="34"/>
      <c r="Q109" s="34"/>
      <c r="R109" s="34"/>
      <c r="S109" s="32"/>
      <c r="T109" s="32"/>
      <c r="U109" s="32"/>
      <c r="V109" s="32"/>
      <c r="W109" s="32"/>
    </row>
    <row r="110" spans="3:23" x14ac:dyDescent="0.25">
      <c r="C110" s="1"/>
      <c r="D110" s="29"/>
      <c r="E110" s="29"/>
      <c r="F110" s="29"/>
      <c r="G110" s="29"/>
      <c r="H110" s="30"/>
      <c r="I110" s="31"/>
      <c r="J110" s="31"/>
      <c r="K110" s="29"/>
      <c r="L110" s="32"/>
      <c r="M110" s="29"/>
      <c r="N110" s="33"/>
      <c r="O110" s="32"/>
      <c r="P110" s="34"/>
      <c r="Q110" s="34"/>
      <c r="R110" s="34"/>
      <c r="S110" s="32"/>
      <c r="T110" s="32"/>
      <c r="U110" s="32"/>
      <c r="V110" s="32"/>
      <c r="W110" s="32"/>
    </row>
    <row r="111" spans="3:23" x14ac:dyDescent="0.25">
      <c r="C111" s="1"/>
      <c r="D111" s="29"/>
      <c r="E111" s="29"/>
      <c r="F111" s="29"/>
      <c r="G111" s="29"/>
      <c r="H111" s="30"/>
      <c r="I111" s="31"/>
      <c r="J111" s="31"/>
      <c r="K111" s="29"/>
      <c r="L111" s="32"/>
      <c r="M111" s="29"/>
      <c r="N111" s="33"/>
      <c r="O111" s="32"/>
      <c r="P111" s="34"/>
      <c r="Q111" s="34"/>
      <c r="R111" s="34"/>
      <c r="S111" s="32"/>
      <c r="T111" s="32"/>
      <c r="U111" s="32"/>
      <c r="V111" s="32"/>
      <c r="W111" s="32"/>
    </row>
    <row r="112" spans="3:23" x14ac:dyDescent="0.25">
      <c r="C112" s="1"/>
      <c r="D112" s="29"/>
      <c r="E112" s="29"/>
      <c r="F112" s="29"/>
      <c r="G112" s="29"/>
      <c r="H112" s="30"/>
      <c r="I112" s="31"/>
      <c r="J112" s="31"/>
      <c r="K112" s="29"/>
      <c r="L112" s="32"/>
      <c r="M112" s="29"/>
      <c r="N112" s="33"/>
      <c r="O112" s="32"/>
      <c r="P112" s="34"/>
      <c r="Q112" s="34"/>
      <c r="R112" s="34"/>
      <c r="S112" s="32"/>
      <c r="T112" s="32"/>
      <c r="U112" s="32"/>
      <c r="V112" s="32"/>
      <c r="W112" s="32"/>
    </row>
    <row r="113" spans="3:23" x14ac:dyDescent="0.25">
      <c r="C113" s="1"/>
      <c r="D113" s="29"/>
      <c r="E113" s="29"/>
      <c r="F113" s="29"/>
      <c r="G113" s="29"/>
      <c r="H113" s="30"/>
      <c r="I113" s="31"/>
      <c r="J113" s="31"/>
      <c r="K113" s="29"/>
      <c r="L113" s="32"/>
      <c r="M113" s="29"/>
      <c r="N113" s="33"/>
      <c r="O113" s="32"/>
      <c r="P113" s="34"/>
      <c r="Q113" s="34"/>
      <c r="R113" s="34"/>
      <c r="S113" s="32"/>
      <c r="T113" s="32"/>
      <c r="U113" s="32"/>
      <c r="V113" s="32"/>
      <c r="W113" s="32"/>
    </row>
    <row r="114" spans="3:23" x14ac:dyDescent="0.25">
      <c r="C114" s="1"/>
      <c r="D114" s="29"/>
      <c r="E114" s="29"/>
      <c r="F114" s="29"/>
      <c r="G114" s="29"/>
      <c r="H114" s="30"/>
      <c r="I114" s="31"/>
      <c r="J114" s="31"/>
      <c r="K114" s="29"/>
      <c r="L114" s="32"/>
      <c r="M114" s="29"/>
      <c r="N114" s="33"/>
      <c r="O114" s="32"/>
      <c r="P114" s="34"/>
      <c r="Q114" s="34"/>
      <c r="R114" s="34"/>
      <c r="S114" s="32"/>
      <c r="T114" s="32"/>
      <c r="U114" s="32"/>
      <c r="V114" s="32"/>
      <c r="W114" s="32"/>
    </row>
    <row r="115" spans="3:23" x14ac:dyDescent="0.25">
      <c r="C115" s="1"/>
      <c r="D115" s="29"/>
      <c r="E115" s="29"/>
      <c r="F115" s="29"/>
      <c r="G115" s="29"/>
      <c r="H115" s="30"/>
      <c r="I115" s="31"/>
      <c r="J115" s="31"/>
      <c r="K115" s="29"/>
      <c r="L115" s="32"/>
      <c r="M115" s="29"/>
      <c r="N115" s="33"/>
      <c r="O115" s="32"/>
      <c r="P115" s="34"/>
      <c r="Q115" s="34"/>
      <c r="R115" s="34"/>
      <c r="S115" s="32"/>
      <c r="T115" s="32"/>
      <c r="U115" s="32"/>
      <c r="V115" s="32"/>
      <c r="W115" s="32"/>
    </row>
    <row r="116" spans="3:23" x14ac:dyDescent="0.25">
      <c r="C116" s="1"/>
      <c r="D116" s="29"/>
      <c r="E116" s="29"/>
      <c r="F116" s="29"/>
      <c r="G116" s="29"/>
      <c r="H116" s="30"/>
      <c r="I116" s="31"/>
      <c r="J116" s="31"/>
      <c r="K116" s="29"/>
      <c r="L116" s="32"/>
      <c r="M116" s="29"/>
      <c r="N116" s="33"/>
      <c r="O116" s="32"/>
      <c r="P116" s="34"/>
      <c r="Q116" s="34"/>
      <c r="R116" s="34"/>
      <c r="S116" s="32"/>
      <c r="T116" s="32"/>
      <c r="U116" s="32"/>
      <c r="V116" s="32"/>
      <c r="W116" s="32"/>
    </row>
    <row r="117" spans="3:23" x14ac:dyDescent="0.25">
      <c r="C117" s="1"/>
      <c r="D117" s="29"/>
      <c r="E117" s="29"/>
      <c r="F117" s="29"/>
      <c r="G117" s="29"/>
      <c r="H117" s="30"/>
      <c r="I117" s="31"/>
      <c r="J117" s="31"/>
      <c r="K117" s="29"/>
      <c r="L117" s="32"/>
      <c r="M117" s="29"/>
      <c r="N117" s="33"/>
      <c r="O117" s="32"/>
      <c r="P117" s="34"/>
      <c r="Q117" s="34"/>
      <c r="R117" s="34"/>
      <c r="S117" s="32"/>
      <c r="T117" s="32"/>
      <c r="U117" s="32"/>
      <c r="V117" s="32"/>
      <c r="W117" s="32"/>
    </row>
    <row r="118" spans="3:23" x14ac:dyDescent="0.25">
      <c r="C118" s="1"/>
      <c r="D118" s="29"/>
      <c r="E118" s="29"/>
      <c r="F118" s="29"/>
      <c r="G118" s="29"/>
      <c r="H118" s="30"/>
      <c r="I118" s="31"/>
      <c r="J118" s="31"/>
      <c r="K118" s="29"/>
      <c r="L118" s="32"/>
      <c r="M118" s="29"/>
      <c r="N118" s="33"/>
      <c r="O118" s="32"/>
      <c r="P118" s="34"/>
      <c r="Q118" s="34"/>
      <c r="R118" s="34"/>
      <c r="S118" s="32"/>
      <c r="T118" s="32"/>
      <c r="U118" s="32"/>
      <c r="V118" s="32"/>
      <c r="W118" s="32"/>
    </row>
    <row r="119" spans="3:23" x14ac:dyDescent="0.25">
      <c r="C119" s="1"/>
      <c r="D119" s="29"/>
      <c r="E119" s="29"/>
      <c r="F119" s="29"/>
      <c r="G119" s="29"/>
      <c r="H119" s="30"/>
      <c r="I119" s="31"/>
      <c r="J119" s="31"/>
      <c r="K119" s="29"/>
      <c r="L119" s="32"/>
      <c r="M119" s="29"/>
      <c r="N119" s="33"/>
      <c r="O119" s="32"/>
      <c r="P119" s="34"/>
      <c r="Q119" s="34"/>
      <c r="R119" s="34"/>
      <c r="S119" s="32"/>
      <c r="T119" s="32"/>
      <c r="U119" s="32"/>
      <c r="V119" s="32"/>
      <c r="W119" s="32"/>
    </row>
    <row r="120" spans="3:23" x14ac:dyDescent="0.25">
      <c r="C120" s="1"/>
      <c r="D120" s="29"/>
      <c r="E120" s="29"/>
      <c r="F120" s="29"/>
      <c r="G120" s="29"/>
      <c r="H120" s="30"/>
      <c r="I120" s="31"/>
      <c r="J120" s="31"/>
      <c r="K120" s="29"/>
      <c r="L120" s="32"/>
      <c r="M120" s="29"/>
      <c r="N120" s="33"/>
      <c r="O120" s="32"/>
      <c r="P120" s="34"/>
      <c r="Q120" s="34"/>
      <c r="R120" s="34"/>
      <c r="S120" s="32"/>
      <c r="T120" s="32"/>
      <c r="U120" s="32"/>
      <c r="V120" s="32"/>
      <c r="W120" s="32"/>
    </row>
    <row r="121" spans="3:23" x14ac:dyDescent="0.25">
      <c r="C121" s="1"/>
      <c r="D121" s="29"/>
      <c r="E121" s="29"/>
      <c r="F121" s="29"/>
      <c r="G121" s="29"/>
      <c r="H121" s="30"/>
      <c r="I121" s="31"/>
      <c r="J121" s="31"/>
      <c r="K121" s="29"/>
      <c r="L121" s="32"/>
      <c r="M121" s="29"/>
      <c r="N121" s="33"/>
      <c r="O121" s="32"/>
      <c r="P121" s="34"/>
      <c r="Q121" s="34"/>
      <c r="R121" s="34"/>
      <c r="S121" s="32"/>
      <c r="T121" s="32"/>
      <c r="U121" s="32"/>
      <c r="V121" s="32"/>
      <c r="W121" s="32"/>
    </row>
    <row r="122" spans="3:23" x14ac:dyDescent="0.25">
      <c r="C122" s="1"/>
      <c r="D122" s="29"/>
      <c r="E122" s="29"/>
      <c r="F122" s="29"/>
      <c r="G122" s="29"/>
      <c r="H122" s="30"/>
      <c r="I122" s="31"/>
      <c r="J122" s="31"/>
      <c r="K122" s="29"/>
      <c r="L122" s="32"/>
      <c r="M122" s="29"/>
      <c r="N122" s="33"/>
      <c r="O122" s="32"/>
      <c r="P122" s="34"/>
      <c r="Q122" s="34"/>
      <c r="R122" s="34"/>
      <c r="S122" s="32"/>
      <c r="T122" s="32"/>
      <c r="U122" s="32"/>
      <c r="V122" s="32"/>
      <c r="W122" s="32"/>
    </row>
    <row r="123" spans="3:23" x14ac:dyDescent="0.25">
      <c r="C123" s="1"/>
      <c r="D123" s="29"/>
      <c r="E123" s="29"/>
      <c r="F123" s="29"/>
      <c r="G123" s="29"/>
      <c r="H123" s="30"/>
      <c r="I123" s="31"/>
      <c r="J123" s="31"/>
      <c r="K123" s="29"/>
      <c r="L123" s="32"/>
      <c r="M123" s="29"/>
      <c r="N123" s="33"/>
      <c r="O123" s="32"/>
      <c r="P123" s="34"/>
      <c r="Q123" s="34"/>
      <c r="R123" s="34"/>
      <c r="S123" s="32"/>
      <c r="T123" s="32"/>
      <c r="U123" s="32"/>
      <c r="V123" s="32"/>
      <c r="W123" s="32"/>
    </row>
    <row r="124" spans="3:23" x14ac:dyDescent="0.25">
      <c r="C124" s="1"/>
      <c r="D124" s="29"/>
      <c r="E124" s="29"/>
      <c r="F124" s="29"/>
      <c r="G124" s="29"/>
      <c r="H124" s="30"/>
      <c r="I124" s="31"/>
      <c r="J124" s="31"/>
      <c r="K124" s="29"/>
      <c r="L124" s="32"/>
      <c r="M124" s="29"/>
      <c r="N124" s="33"/>
      <c r="O124" s="32"/>
      <c r="P124" s="34"/>
      <c r="Q124" s="34"/>
      <c r="R124" s="34"/>
      <c r="S124" s="32"/>
      <c r="T124" s="32"/>
      <c r="U124" s="32"/>
      <c r="V124" s="32"/>
      <c r="W124" s="32"/>
    </row>
    <row r="125" spans="3:23" x14ac:dyDescent="0.25">
      <c r="C125" s="1"/>
      <c r="D125" s="29"/>
      <c r="E125" s="29"/>
      <c r="F125" s="29"/>
      <c r="G125" s="29"/>
      <c r="H125" s="30"/>
      <c r="I125" s="31"/>
      <c r="J125" s="31"/>
      <c r="K125" s="29"/>
      <c r="L125" s="32"/>
      <c r="M125" s="29"/>
      <c r="N125" s="33"/>
      <c r="O125" s="32"/>
      <c r="P125" s="34"/>
      <c r="Q125" s="34"/>
      <c r="R125" s="34"/>
      <c r="S125" s="32"/>
      <c r="T125" s="32"/>
      <c r="U125" s="32"/>
      <c r="V125" s="32"/>
      <c r="W125" s="32"/>
    </row>
    <row r="126" spans="3:23" x14ac:dyDescent="0.25">
      <c r="C126" s="1"/>
      <c r="D126" s="29"/>
      <c r="E126" s="29"/>
      <c r="F126" s="29"/>
      <c r="G126" s="29"/>
      <c r="H126" s="30"/>
      <c r="I126" s="31"/>
      <c r="J126" s="31"/>
      <c r="K126" s="29"/>
      <c r="L126" s="32"/>
      <c r="M126" s="29"/>
      <c r="N126" s="33"/>
      <c r="O126" s="32"/>
      <c r="P126" s="34"/>
      <c r="Q126" s="34"/>
      <c r="R126" s="34"/>
      <c r="S126" s="32"/>
      <c r="T126" s="32"/>
      <c r="U126" s="32"/>
      <c r="V126" s="32"/>
      <c r="W126" s="32"/>
    </row>
    <row r="127" spans="3:23" x14ac:dyDescent="0.25">
      <c r="C127" s="1"/>
      <c r="D127" s="29"/>
      <c r="E127" s="29"/>
      <c r="F127" s="29"/>
      <c r="G127" s="29"/>
      <c r="H127" s="30"/>
      <c r="I127" s="31"/>
      <c r="J127" s="31"/>
      <c r="K127" s="29"/>
      <c r="L127" s="32"/>
      <c r="M127" s="29"/>
      <c r="N127" s="33"/>
      <c r="O127" s="32"/>
      <c r="P127" s="34"/>
      <c r="Q127" s="34"/>
      <c r="R127" s="34"/>
      <c r="S127" s="32"/>
      <c r="T127" s="32"/>
      <c r="U127" s="32"/>
      <c r="V127" s="32"/>
      <c r="W127" s="32"/>
    </row>
    <row r="128" spans="3:23" x14ac:dyDescent="0.25">
      <c r="C128" s="1"/>
      <c r="D128" s="29"/>
      <c r="E128" s="29"/>
      <c r="F128" s="29"/>
      <c r="G128" s="29"/>
      <c r="H128" s="30"/>
      <c r="I128" s="31"/>
      <c r="J128" s="31"/>
      <c r="K128" s="29"/>
      <c r="L128" s="32"/>
      <c r="M128" s="29"/>
      <c r="N128" s="33"/>
      <c r="O128" s="32"/>
      <c r="P128" s="34"/>
      <c r="Q128" s="34"/>
      <c r="R128" s="34"/>
      <c r="S128" s="32"/>
      <c r="T128" s="32"/>
      <c r="U128" s="32"/>
      <c r="V128" s="32"/>
      <c r="W128" s="32"/>
    </row>
    <row r="129" spans="3:23" x14ac:dyDescent="0.25">
      <c r="C129" s="1"/>
      <c r="D129" s="29"/>
      <c r="E129" s="29"/>
      <c r="F129" s="29"/>
      <c r="G129" s="29"/>
      <c r="H129" s="30"/>
      <c r="I129" s="31"/>
      <c r="J129" s="31"/>
      <c r="K129" s="29"/>
      <c r="L129" s="32"/>
      <c r="M129" s="29"/>
      <c r="N129" s="33"/>
      <c r="O129" s="32"/>
      <c r="P129" s="34"/>
      <c r="Q129" s="34"/>
      <c r="R129" s="34"/>
      <c r="S129" s="32"/>
      <c r="T129" s="32"/>
      <c r="U129" s="32"/>
      <c r="V129" s="32"/>
      <c r="W129" s="32"/>
    </row>
    <row r="130" spans="3:23" x14ac:dyDescent="0.25">
      <c r="C130" s="1"/>
      <c r="D130" s="29"/>
      <c r="E130" s="29"/>
      <c r="F130" s="29"/>
      <c r="G130" s="29"/>
      <c r="H130" s="30"/>
      <c r="I130" s="31"/>
      <c r="J130" s="31"/>
      <c r="K130" s="29"/>
      <c r="L130" s="32"/>
      <c r="M130" s="29"/>
      <c r="N130" s="33"/>
      <c r="O130" s="32"/>
      <c r="P130" s="34"/>
      <c r="Q130" s="34"/>
      <c r="R130" s="34"/>
      <c r="S130" s="32"/>
      <c r="T130" s="32"/>
      <c r="U130" s="32"/>
      <c r="V130" s="32"/>
      <c r="W130" s="32"/>
    </row>
    <row r="131" spans="3:23" x14ac:dyDescent="0.25">
      <c r="C131" s="1"/>
      <c r="D131" s="29"/>
      <c r="E131" s="29"/>
      <c r="F131" s="29"/>
      <c r="G131" s="29"/>
      <c r="H131" s="30"/>
      <c r="I131" s="31"/>
      <c r="J131" s="31"/>
      <c r="K131" s="29"/>
      <c r="L131" s="32"/>
      <c r="M131" s="29"/>
      <c r="N131" s="33"/>
      <c r="O131" s="32"/>
      <c r="P131" s="34"/>
      <c r="Q131" s="34"/>
      <c r="R131" s="34"/>
      <c r="S131" s="32"/>
      <c r="T131" s="32"/>
      <c r="U131" s="32"/>
      <c r="V131" s="32"/>
      <c r="W131" s="32"/>
    </row>
    <row r="132" spans="3:23" x14ac:dyDescent="0.25">
      <c r="C132" s="1"/>
      <c r="D132" s="29"/>
      <c r="E132" s="29"/>
      <c r="F132" s="29"/>
      <c r="G132" s="29"/>
      <c r="H132" s="30"/>
      <c r="I132" s="31"/>
      <c r="J132" s="31"/>
      <c r="K132" s="29"/>
      <c r="L132" s="32"/>
      <c r="M132" s="29"/>
      <c r="N132" s="33"/>
      <c r="O132" s="32"/>
      <c r="P132" s="34"/>
      <c r="Q132" s="34"/>
      <c r="R132" s="34"/>
      <c r="S132" s="32"/>
      <c r="T132" s="32"/>
      <c r="U132" s="32"/>
      <c r="V132" s="32"/>
      <c r="W132" s="32"/>
    </row>
    <row r="133" spans="3:23" x14ac:dyDescent="0.25">
      <c r="C133" s="1"/>
      <c r="D133" s="29"/>
      <c r="E133" s="29"/>
      <c r="F133" s="29"/>
      <c r="G133" s="29"/>
      <c r="H133" s="30"/>
      <c r="I133" s="31"/>
      <c r="J133" s="31"/>
      <c r="K133" s="29"/>
      <c r="L133" s="32"/>
      <c r="M133" s="29"/>
      <c r="N133" s="33"/>
      <c r="O133" s="32"/>
      <c r="P133" s="34"/>
      <c r="Q133" s="34"/>
      <c r="R133" s="34"/>
      <c r="S133" s="32"/>
      <c r="T133" s="32"/>
      <c r="U133" s="32"/>
      <c r="V133" s="32"/>
      <c r="W133" s="32"/>
    </row>
    <row r="134" spans="3:23" x14ac:dyDescent="0.25">
      <c r="C134" s="1"/>
      <c r="D134" s="29"/>
      <c r="E134" s="29"/>
      <c r="F134" s="29"/>
      <c r="G134" s="29"/>
      <c r="H134" s="30"/>
      <c r="I134" s="31"/>
      <c r="J134" s="31"/>
      <c r="K134" s="29"/>
      <c r="L134" s="32"/>
      <c r="M134" s="29"/>
      <c r="N134" s="33"/>
      <c r="O134" s="32"/>
      <c r="P134" s="34"/>
      <c r="Q134" s="34"/>
      <c r="R134" s="34"/>
      <c r="S134" s="32"/>
      <c r="T134" s="32"/>
      <c r="U134" s="32"/>
      <c r="V134" s="32"/>
      <c r="W134" s="32"/>
    </row>
    <row r="135" spans="3:23" x14ac:dyDescent="0.25">
      <c r="C135" s="1"/>
      <c r="D135" s="29"/>
      <c r="E135" s="29"/>
      <c r="F135" s="29"/>
      <c r="G135" s="29"/>
      <c r="H135" s="30"/>
      <c r="I135" s="31"/>
      <c r="J135" s="31"/>
      <c r="K135" s="29"/>
      <c r="L135" s="32"/>
      <c r="M135" s="29"/>
      <c r="N135" s="33"/>
      <c r="O135" s="32"/>
      <c r="P135" s="34"/>
      <c r="Q135" s="34"/>
      <c r="R135" s="34"/>
      <c r="S135" s="32"/>
      <c r="T135" s="32"/>
      <c r="U135" s="32"/>
      <c r="V135" s="32"/>
      <c r="W135" s="32"/>
    </row>
    <row r="136" spans="3:23" x14ac:dyDescent="0.25">
      <c r="C136" s="1"/>
      <c r="D136" s="29"/>
      <c r="E136" s="29"/>
      <c r="F136" s="29"/>
      <c r="G136" s="29"/>
      <c r="H136" s="30"/>
      <c r="I136" s="31"/>
      <c r="J136" s="31"/>
      <c r="K136" s="29"/>
      <c r="L136" s="32"/>
      <c r="M136" s="29"/>
      <c r="N136" s="33"/>
      <c r="O136" s="32"/>
      <c r="P136" s="34"/>
      <c r="Q136" s="34"/>
      <c r="R136" s="34"/>
      <c r="S136" s="32"/>
      <c r="T136" s="32"/>
      <c r="U136" s="32"/>
      <c r="V136" s="32"/>
      <c r="W136" s="32"/>
    </row>
    <row r="137" spans="3:23" x14ac:dyDescent="0.25">
      <c r="C137" s="1"/>
      <c r="D137" s="29"/>
      <c r="E137" s="29"/>
      <c r="F137" s="29"/>
      <c r="G137" s="29"/>
      <c r="H137" s="30"/>
      <c r="I137" s="31"/>
      <c r="J137" s="31"/>
      <c r="K137" s="29"/>
      <c r="L137" s="32"/>
      <c r="M137" s="29"/>
      <c r="N137" s="33"/>
      <c r="O137" s="32"/>
      <c r="P137" s="34"/>
      <c r="Q137" s="34"/>
      <c r="R137" s="34"/>
      <c r="S137" s="32"/>
      <c r="T137" s="32"/>
      <c r="U137" s="32"/>
      <c r="V137" s="32"/>
      <c r="W137" s="32"/>
    </row>
    <row r="138" spans="3:23" x14ac:dyDescent="0.25">
      <c r="C138" s="1"/>
      <c r="D138" s="29"/>
      <c r="E138" s="29"/>
      <c r="F138" s="29"/>
      <c r="G138" s="29"/>
      <c r="H138" s="30"/>
      <c r="I138" s="31"/>
      <c r="J138" s="31"/>
      <c r="K138" s="29"/>
      <c r="L138" s="32"/>
      <c r="M138" s="29"/>
      <c r="N138" s="33"/>
      <c r="O138" s="32"/>
      <c r="P138" s="34"/>
      <c r="Q138" s="34"/>
      <c r="R138" s="34"/>
      <c r="S138" s="32"/>
      <c r="T138" s="32"/>
      <c r="U138" s="32"/>
      <c r="V138" s="32"/>
      <c r="W138" s="32"/>
    </row>
    <row r="139" spans="3:23" x14ac:dyDescent="0.25">
      <c r="C139" s="1"/>
      <c r="D139" s="29"/>
      <c r="E139" s="29"/>
      <c r="F139" s="29"/>
      <c r="G139" s="29"/>
      <c r="H139" s="30"/>
      <c r="I139" s="31"/>
      <c r="J139" s="31"/>
      <c r="K139" s="29"/>
      <c r="L139" s="32"/>
      <c r="M139" s="29"/>
      <c r="N139" s="33"/>
      <c r="O139" s="32"/>
      <c r="P139" s="34"/>
      <c r="Q139" s="34"/>
      <c r="R139" s="34"/>
      <c r="S139" s="32"/>
      <c r="T139" s="32"/>
      <c r="U139" s="32"/>
      <c r="V139" s="32"/>
      <c r="W139" s="32"/>
    </row>
    <row r="140" spans="3:23" x14ac:dyDescent="0.25">
      <c r="C140" s="1"/>
      <c r="D140" s="29"/>
      <c r="E140" s="29"/>
      <c r="F140" s="29"/>
      <c r="G140" s="29"/>
      <c r="H140" s="30"/>
      <c r="I140" s="31"/>
      <c r="J140" s="31"/>
      <c r="K140" s="29"/>
      <c r="L140" s="32"/>
      <c r="M140" s="29"/>
      <c r="N140" s="33"/>
      <c r="O140" s="32"/>
      <c r="P140" s="34"/>
      <c r="Q140" s="34"/>
      <c r="R140" s="34"/>
      <c r="S140" s="32"/>
      <c r="T140" s="32"/>
      <c r="U140" s="32"/>
      <c r="V140" s="32"/>
      <c r="W140" s="32"/>
    </row>
    <row r="141" spans="3:23" x14ac:dyDescent="0.25">
      <c r="C141" s="1"/>
      <c r="D141" s="29"/>
      <c r="E141" s="29"/>
      <c r="F141" s="29"/>
      <c r="G141" s="29"/>
      <c r="H141" s="30"/>
      <c r="I141" s="31"/>
      <c r="J141" s="31"/>
      <c r="K141" s="29"/>
      <c r="L141" s="32"/>
      <c r="M141" s="29"/>
      <c r="N141" s="33"/>
      <c r="O141" s="32"/>
      <c r="P141" s="34"/>
      <c r="Q141" s="34"/>
      <c r="R141" s="34"/>
      <c r="S141" s="32"/>
      <c r="T141" s="32"/>
      <c r="U141" s="32"/>
      <c r="V141" s="32"/>
      <c r="W141" s="32"/>
    </row>
    <row r="142" spans="3:23" x14ac:dyDescent="0.25">
      <c r="C142" s="1"/>
      <c r="D142" s="29"/>
      <c r="E142" s="29"/>
      <c r="F142" s="29"/>
      <c r="G142" s="29"/>
      <c r="H142" s="30"/>
      <c r="I142" s="31"/>
      <c r="J142" s="31"/>
      <c r="K142" s="29"/>
      <c r="L142" s="32"/>
      <c r="M142" s="29"/>
      <c r="N142" s="33"/>
      <c r="O142" s="32"/>
      <c r="P142" s="34"/>
      <c r="Q142" s="34"/>
      <c r="R142" s="34"/>
      <c r="S142" s="32"/>
      <c r="T142" s="32"/>
      <c r="U142" s="32"/>
      <c r="V142" s="32"/>
      <c r="W142" s="32"/>
    </row>
    <row r="143" spans="3:23" x14ac:dyDescent="0.25">
      <c r="C143" s="1"/>
      <c r="D143" s="29"/>
      <c r="E143" s="29"/>
      <c r="F143" s="29"/>
      <c r="G143" s="29"/>
      <c r="H143" s="30"/>
      <c r="I143" s="31"/>
      <c r="J143" s="31"/>
      <c r="K143" s="29"/>
      <c r="L143" s="32"/>
      <c r="M143" s="29"/>
      <c r="N143" s="33"/>
      <c r="O143" s="32"/>
      <c r="P143" s="34"/>
      <c r="Q143" s="34"/>
      <c r="R143" s="34"/>
      <c r="S143" s="32"/>
      <c r="T143" s="32"/>
      <c r="U143" s="32"/>
      <c r="V143" s="32"/>
      <c r="W143" s="32"/>
    </row>
    <row r="144" spans="3:23" x14ac:dyDescent="0.25">
      <c r="C144" s="1"/>
      <c r="D144" s="29"/>
      <c r="E144" s="29"/>
      <c r="F144" s="29"/>
      <c r="G144" s="29"/>
      <c r="H144" s="30"/>
      <c r="I144" s="31"/>
      <c r="J144" s="31"/>
      <c r="K144" s="29"/>
      <c r="L144" s="32"/>
      <c r="M144" s="29"/>
      <c r="N144" s="33"/>
      <c r="O144" s="32"/>
      <c r="P144" s="34"/>
      <c r="Q144" s="34"/>
      <c r="R144" s="34"/>
      <c r="S144" s="32"/>
      <c r="T144" s="32"/>
      <c r="U144" s="32"/>
      <c r="V144" s="32"/>
      <c r="W144" s="32"/>
    </row>
    <row r="145" spans="3:23" x14ac:dyDescent="0.25">
      <c r="C145" s="1"/>
      <c r="D145" s="29"/>
      <c r="E145" s="29"/>
      <c r="F145" s="29"/>
      <c r="G145" s="29"/>
      <c r="H145" s="30"/>
      <c r="I145" s="31"/>
      <c r="J145" s="31"/>
      <c r="K145" s="29"/>
      <c r="L145" s="32"/>
      <c r="M145" s="29"/>
      <c r="N145" s="33"/>
      <c r="O145" s="32"/>
      <c r="P145" s="34"/>
      <c r="Q145" s="34"/>
      <c r="R145" s="34"/>
      <c r="S145" s="32"/>
      <c r="T145" s="32"/>
      <c r="U145" s="32"/>
      <c r="V145" s="32"/>
      <c r="W145" s="32"/>
    </row>
    <row r="146" spans="3:23" x14ac:dyDescent="0.25">
      <c r="C146" s="1"/>
      <c r="D146" s="29"/>
      <c r="E146" s="29"/>
      <c r="F146" s="29"/>
      <c r="G146" s="29"/>
      <c r="H146" s="30"/>
      <c r="I146" s="31"/>
      <c r="J146" s="31"/>
      <c r="K146" s="29"/>
      <c r="L146" s="32"/>
      <c r="M146" s="29"/>
      <c r="N146" s="33"/>
      <c r="O146" s="32"/>
      <c r="P146" s="34"/>
      <c r="Q146" s="34"/>
      <c r="R146" s="34"/>
      <c r="S146" s="32"/>
      <c r="T146" s="32"/>
      <c r="U146" s="32"/>
      <c r="V146" s="32"/>
      <c r="W146" s="32"/>
    </row>
    <row r="147" spans="3:23" x14ac:dyDescent="0.25">
      <c r="C147" s="1"/>
      <c r="D147" s="29"/>
      <c r="E147" s="29"/>
      <c r="F147" s="29"/>
      <c r="G147" s="29"/>
      <c r="H147" s="30"/>
      <c r="I147" s="31"/>
      <c r="J147" s="31"/>
      <c r="K147" s="29"/>
      <c r="L147" s="32"/>
      <c r="M147" s="29"/>
      <c r="N147" s="33"/>
      <c r="O147" s="32"/>
      <c r="P147" s="34"/>
      <c r="Q147" s="34"/>
      <c r="R147" s="34"/>
      <c r="S147" s="32"/>
      <c r="T147" s="32"/>
      <c r="U147" s="32"/>
      <c r="V147" s="32"/>
      <c r="W147" s="32"/>
    </row>
    <row r="148" spans="3:23" x14ac:dyDescent="0.25">
      <c r="C148" s="1"/>
      <c r="D148" s="29"/>
      <c r="E148" s="29"/>
      <c r="F148" s="29"/>
      <c r="G148" s="29"/>
      <c r="H148" s="30"/>
      <c r="I148" s="31"/>
      <c r="J148" s="31"/>
      <c r="K148" s="29"/>
      <c r="L148" s="32"/>
      <c r="M148" s="29"/>
      <c r="N148" s="33"/>
      <c r="O148" s="32"/>
      <c r="P148" s="34"/>
      <c r="Q148" s="34"/>
      <c r="R148" s="34"/>
      <c r="S148" s="32"/>
      <c r="T148" s="32"/>
      <c r="U148" s="32"/>
      <c r="V148" s="32"/>
      <c r="W148" s="32"/>
    </row>
    <row r="149" spans="3:23" x14ac:dyDescent="0.25">
      <c r="C149" s="1"/>
      <c r="D149" s="29"/>
      <c r="E149" s="29"/>
      <c r="F149" s="29"/>
      <c r="G149" s="29"/>
      <c r="H149" s="30"/>
      <c r="I149" s="31"/>
      <c r="J149" s="31"/>
      <c r="K149" s="29"/>
      <c r="L149" s="32"/>
      <c r="M149" s="29"/>
      <c r="N149" s="33"/>
      <c r="O149" s="32"/>
      <c r="P149" s="34"/>
      <c r="Q149" s="34"/>
      <c r="R149" s="34"/>
      <c r="S149" s="32"/>
      <c r="T149" s="32"/>
      <c r="U149" s="32"/>
      <c r="V149" s="32"/>
      <c r="W149" s="32"/>
    </row>
    <row r="150" spans="3:23" x14ac:dyDescent="0.25">
      <c r="C150" s="1"/>
      <c r="D150" s="29"/>
      <c r="E150" s="29"/>
      <c r="F150" s="29"/>
      <c r="G150" s="29"/>
      <c r="H150" s="30"/>
      <c r="I150" s="31"/>
      <c r="J150" s="31"/>
      <c r="K150" s="29"/>
      <c r="L150" s="32"/>
      <c r="M150" s="29"/>
      <c r="N150" s="33"/>
      <c r="O150" s="32"/>
      <c r="P150" s="34"/>
      <c r="Q150" s="34"/>
      <c r="R150" s="34"/>
      <c r="S150" s="32"/>
      <c r="T150" s="32"/>
      <c r="U150" s="32"/>
      <c r="V150" s="32"/>
      <c r="W150" s="32"/>
    </row>
    <row r="151" spans="3:23" x14ac:dyDescent="0.25">
      <c r="C151" s="1"/>
      <c r="D151" s="29"/>
      <c r="E151" s="29"/>
      <c r="F151" s="29"/>
      <c r="G151" s="29"/>
      <c r="H151" s="30"/>
      <c r="I151" s="31"/>
      <c r="J151" s="31"/>
      <c r="K151" s="29"/>
      <c r="L151" s="32"/>
      <c r="M151" s="29"/>
      <c r="N151" s="33"/>
      <c r="O151" s="32"/>
      <c r="P151" s="34"/>
      <c r="Q151" s="34"/>
      <c r="R151" s="34"/>
      <c r="S151" s="32"/>
      <c r="T151" s="32"/>
      <c r="U151" s="32"/>
      <c r="V151" s="32"/>
      <c r="W151" s="32"/>
    </row>
    <row r="152" spans="3:23" x14ac:dyDescent="0.25">
      <c r="C152" s="1"/>
      <c r="D152" s="29"/>
      <c r="E152" s="29"/>
      <c r="F152" s="29"/>
      <c r="G152" s="29"/>
      <c r="H152" s="30"/>
      <c r="I152" s="31"/>
      <c r="J152" s="31"/>
      <c r="K152" s="29"/>
      <c r="L152" s="32"/>
      <c r="M152" s="29"/>
      <c r="N152" s="33"/>
      <c r="O152" s="32"/>
      <c r="P152" s="34"/>
      <c r="Q152" s="34"/>
      <c r="R152" s="34"/>
      <c r="S152" s="32"/>
      <c r="T152" s="32"/>
      <c r="U152" s="32"/>
      <c r="V152" s="32"/>
      <c r="W152" s="32"/>
    </row>
    <row r="153" spans="3:23" x14ac:dyDescent="0.25">
      <c r="C153" s="1"/>
      <c r="D153" s="29"/>
      <c r="E153" s="29"/>
      <c r="F153" s="29"/>
      <c r="G153" s="29"/>
      <c r="H153" s="30"/>
      <c r="I153" s="31"/>
      <c r="J153" s="31"/>
      <c r="K153" s="29"/>
      <c r="L153" s="32"/>
      <c r="M153" s="29"/>
      <c r="N153" s="33"/>
      <c r="O153" s="32"/>
      <c r="P153" s="34"/>
      <c r="Q153" s="34"/>
      <c r="R153" s="34"/>
      <c r="S153" s="32"/>
      <c r="T153" s="32"/>
      <c r="U153" s="32"/>
      <c r="V153" s="32"/>
      <c r="W153" s="32"/>
    </row>
    <row r="154" spans="3:23" x14ac:dyDescent="0.25">
      <c r="C154" s="1"/>
      <c r="D154" s="29"/>
      <c r="E154" s="29"/>
      <c r="F154" s="29"/>
      <c r="G154" s="29"/>
      <c r="H154" s="30"/>
      <c r="I154" s="31"/>
      <c r="J154" s="31"/>
      <c r="K154" s="29"/>
      <c r="L154" s="32"/>
      <c r="M154" s="29"/>
      <c r="N154" s="33"/>
      <c r="O154" s="32"/>
      <c r="P154" s="34"/>
      <c r="Q154" s="34"/>
      <c r="R154" s="34"/>
      <c r="S154" s="32"/>
      <c r="T154" s="32"/>
      <c r="U154" s="32"/>
      <c r="V154" s="32"/>
      <c r="W154" s="32"/>
    </row>
    <row r="155" spans="3:23" x14ac:dyDescent="0.25">
      <c r="C155" s="1"/>
      <c r="D155" s="29"/>
      <c r="E155" s="29"/>
      <c r="F155" s="29"/>
      <c r="G155" s="29"/>
      <c r="H155" s="30"/>
      <c r="I155" s="31"/>
      <c r="J155" s="31"/>
      <c r="K155" s="29"/>
      <c r="L155" s="32"/>
      <c r="M155" s="29"/>
      <c r="N155" s="33"/>
      <c r="O155" s="32"/>
      <c r="P155" s="34"/>
      <c r="Q155" s="34"/>
      <c r="R155" s="34"/>
      <c r="S155" s="32"/>
      <c r="T155" s="32"/>
      <c r="U155" s="32"/>
      <c r="V155" s="32"/>
      <c r="W155" s="32"/>
    </row>
    <row r="156" spans="3:23" x14ac:dyDescent="0.25">
      <c r="C156" s="1"/>
      <c r="D156" s="29"/>
      <c r="E156" s="29"/>
      <c r="F156" s="29"/>
      <c r="G156" s="29"/>
      <c r="H156" s="30"/>
      <c r="I156" s="31"/>
      <c r="J156" s="31"/>
      <c r="K156" s="29"/>
      <c r="L156" s="32"/>
      <c r="M156" s="29"/>
      <c r="N156" s="33"/>
      <c r="O156" s="32"/>
      <c r="P156" s="34"/>
      <c r="Q156" s="34"/>
      <c r="R156" s="34"/>
      <c r="S156" s="32"/>
      <c r="T156" s="32"/>
      <c r="U156" s="32"/>
      <c r="V156" s="32"/>
      <c r="W156" s="32"/>
    </row>
    <row r="157" spans="3:23" x14ac:dyDescent="0.25">
      <c r="C157" s="1"/>
      <c r="D157" s="29"/>
      <c r="E157" s="29"/>
      <c r="F157" s="29"/>
      <c r="G157" s="29"/>
      <c r="H157" s="30"/>
      <c r="I157" s="31"/>
      <c r="J157" s="31"/>
      <c r="K157" s="29"/>
      <c r="L157" s="32"/>
      <c r="M157" s="29"/>
      <c r="N157" s="33"/>
      <c r="O157" s="32"/>
      <c r="P157" s="34"/>
      <c r="Q157" s="34"/>
      <c r="R157" s="34"/>
      <c r="S157" s="32"/>
      <c r="T157" s="32"/>
      <c r="U157" s="32"/>
      <c r="V157" s="32"/>
      <c r="W157" s="32"/>
    </row>
    <row r="158" spans="3:23" x14ac:dyDescent="0.25">
      <c r="C158" s="1"/>
      <c r="D158" s="29"/>
      <c r="E158" s="29"/>
      <c r="F158" s="29"/>
      <c r="G158" s="29"/>
      <c r="H158" s="30"/>
      <c r="I158" s="31"/>
      <c r="J158" s="31"/>
      <c r="K158" s="29"/>
      <c r="L158" s="32"/>
      <c r="M158" s="29"/>
      <c r="N158" s="33"/>
      <c r="O158" s="32"/>
      <c r="P158" s="34"/>
      <c r="Q158" s="34"/>
      <c r="R158" s="34"/>
      <c r="S158" s="32"/>
      <c r="T158" s="32"/>
      <c r="U158" s="32"/>
      <c r="V158" s="32"/>
      <c r="W158" s="32"/>
    </row>
    <row r="159" spans="3:23" x14ac:dyDescent="0.25">
      <c r="C159" s="1"/>
      <c r="D159" s="29"/>
      <c r="E159" s="29"/>
      <c r="F159" s="29"/>
      <c r="G159" s="29"/>
      <c r="H159" s="30"/>
      <c r="I159" s="31"/>
      <c r="J159" s="31"/>
      <c r="K159" s="29"/>
      <c r="L159" s="32"/>
      <c r="M159" s="29"/>
      <c r="N159" s="33"/>
      <c r="O159" s="32"/>
      <c r="P159" s="34"/>
      <c r="Q159" s="34"/>
      <c r="R159" s="34"/>
      <c r="S159" s="32"/>
      <c r="T159" s="32"/>
      <c r="U159" s="32"/>
      <c r="V159" s="32"/>
      <c r="W159" s="32"/>
    </row>
    <row r="160" spans="3:23" x14ac:dyDescent="0.25">
      <c r="C160" s="1"/>
      <c r="D160" s="29"/>
      <c r="E160" s="29"/>
      <c r="F160" s="29"/>
      <c r="G160" s="29"/>
      <c r="H160" s="30"/>
      <c r="I160" s="31"/>
      <c r="J160" s="31"/>
      <c r="K160" s="29"/>
      <c r="L160" s="32"/>
      <c r="M160" s="29"/>
      <c r="N160" s="33"/>
      <c r="O160" s="32"/>
      <c r="P160" s="34"/>
      <c r="Q160" s="34"/>
      <c r="R160" s="34"/>
      <c r="S160" s="32"/>
      <c r="T160" s="32"/>
      <c r="U160" s="32"/>
      <c r="V160" s="32"/>
      <c r="W160" s="32"/>
    </row>
    <row r="161" spans="3:23" x14ac:dyDescent="0.25">
      <c r="C161" s="1"/>
      <c r="D161" s="29"/>
      <c r="E161" s="29"/>
      <c r="F161" s="29"/>
      <c r="G161" s="29"/>
      <c r="H161" s="30"/>
      <c r="I161" s="31"/>
      <c r="J161" s="31"/>
      <c r="K161" s="29"/>
      <c r="L161" s="32"/>
      <c r="M161" s="29"/>
      <c r="N161" s="33"/>
      <c r="O161" s="32"/>
      <c r="P161" s="34"/>
      <c r="Q161" s="34"/>
      <c r="R161" s="34"/>
      <c r="S161" s="32"/>
      <c r="T161" s="32"/>
      <c r="U161" s="32"/>
      <c r="V161" s="32"/>
      <c r="W161" s="32"/>
    </row>
    <row r="162" spans="3:23" x14ac:dyDescent="0.25">
      <c r="C162" s="1"/>
      <c r="D162" s="29"/>
      <c r="E162" s="29"/>
      <c r="F162" s="29"/>
      <c r="G162" s="29"/>
      <c r="H162" s="30"/>
      <c r="I162" s="31"/>
      <c r="J162" s="31"/>
      <c r="K162" s="29"/>
      <c r="L162" s="32"/>
      <c r="M162" s="29"/>
      <c r="N162" s="33"/>
      <c r="O162" s="32"/>
      <c r="P162" s="34"/>
      <c r="Q162" s="34"/>
      <c r="R162" s="34"/>
      <c r="S162" s="32"/>
      <c r="T162" s="32"/>
      <c r="U162" s="32"/>
      <c r="V162" s="32"/>
      <c r="W162" s="32"/>
    </row>
    <row r="163" spans="3:23" x14ac:dyDescent="0.25">
      <c r="C163" s="1"/>
      <c r="D163" s="29"/>
      <c r="E163" s="29"/>
      <c r="F163" s="29"/>
      <c r="G163" s="29"/>
      <c r="H163" s="30"/>
      <c r="I163" s="31"/>
      <c r="J163" s="31"/>
      <c r="K163" s="29"/>
      <c r="L163" s="32"/>
      <c r="M163" s="29"/>
      <c r="N163" s="33"/>
      <c r="O163" s="32"/>
      <c r="P163" s="34"/>
      <c r="Q163" s="34"/>
      <c r="R163" s="34"/>
      <c r="S163" s="32"/>
      <c r="T163" s="32"/>
      <c r="U163" s="32"/>
      <c r="V163" s="32"/>
      <c r="W163" s="32"/>
    </row>
    <row r="164" spans="3:23" x14ac:dyDescent="0.25">
      <c r="C164" s="1"/>
      <c r="D164" s="29"/>
      <c r="E164" s="29"/>
      <c r="F164" s="29"/>
      <c r="G164" s="29"/>
      <c r="H164" s="30"/>
      <c r="I164" s="31"/>
      <c r="J164" s="31"/>
      <c r="K164" s="29"/>
      <c r="L164" s="32"/>
      <c r="M164" s="29"/>
      <c r="N164" s="33"/>
      <c r="O164" s="32"/>
      <c r="P164" s="34"/>
      <c r="Q164" s="34"/>
      <c r="R164" s="34"/>
      <c r="S164" s="32"/>
      <c r="T164" s="32"/>
      <c r="U164" s="32"/>
      <c r="V164" s="32"/>
      <c r="W164" s="32"/>
    </row>
    <row r="165" spans="3:23" x14ac:dyDescent="0.25">
      <c r="C165" s="1"/>
      <c r="D165" s="29"/>
      <c r="E165" s="29"/>
      <c r="F165" s="29"/>
      <c r="G165" s="29"/>
      <c r="H165" s="30"/>
      <c r="I165" s="31"/>
      <c r="J165" s="31"/>
      <c r="K165" s="29"/>
      <c r="L165" s="32"/>
      <c r="M165" s="29"/>
      <c r="N165" s="33"/>
      <c r="O165" s="32"/>
      <c r="P165" s="34"/>
      <c r="Q165" s="34"/>
      <c r="R165" s="34"/>
      <c r="S165" s="32"/>
      <c r="T165" s="32"/>
      <c r="U165" s="32"/>
      <c r="V165" s="32"/>
      <c r="W165" s="32"/>
    </row>
    <row r="166" spans="3:23" x14ac:dyDescent="0.25">
      <c r="C166" s="1"/>
      <c r="D166" s="29"/>
      <c r="E166" s="29"/>
      <c r="F166" s="29"/>
      <c r="G166" s="29"/>
      <c r="H166" s="30"/>
      <c r="I166" s="31"/>
      <c r="J166" s="31"/>
      <c r="K166" s="29"/>
      <c r="L166" s="32"/>
      <c r="M166" s="29"/>
      <c r="N166" s="33"/>
      <c r="O166" s="32"/>
      <c r="P166" s="34"/>
      <c r="Q166" s="34"/>
      <c r="R166" s="34"/>
      <c r="S166" s="32"/>
      <c r="T166" s="32"/>
      <c r="U166" s="32"/>
      <c r="V166" s="32"/>
      <c r="W166" s="32"/>
    </row>
    <row r="167" spans="3:23" x14ac:dyDescent="0.25">
      <c r="C167" s="1"/>
      <c r="D167" s="29"/>
      <c r="E167" s="29"/>
      <c r="F167" s="29"/>
      <c r="G167" s="29"/>
      <c r="H167" s="30"/>
      <c r="I167" s="31"/>
      <c r="J167" s="31"/>
      <c r="K167" s="29"/>
      <c r="L167" s="32"/>
      <c r="M167" s="29"/>
      <c r="N167" s="33"/>
      <c r="O167" s="32"/>
      <c r="P167" s="34"/>
      <c r="Q167" s="34"/>
      <c r="R167" s="34"/>
      <c r="S167" s="32"/>
      <c r="T167" s="32"/>
      <c r="U167" s="32"/>
      <c r="V167" s="32"/>
      <c r="W167" s="32"/>
    </row>
    <row r="168" spans="3:23" x14ac:dyDescent="0.25">
      <c r="C168" s="1"/>
      <c r="D168" s="29"/>
      <c r="E168" s="29"/>
      <c r="F168" s="29"/>
      <c r="G168" s="29"/>
      <c r="H168" s="30"/>
      <c r="I168" s="31"/>
      <c r="J168" s="31"/>
      <c r="K168" s="29"/>
      <c r="L168" s="32"/>
      <c r="M168" s="29"/>
      <c r="N168" s="33"/>
      <c r="O168" s="32"/>
      <c r="P168" s="34"/>
      <c r="Q168" s="34"/>
      <c r="R168" s="34"/>
      <c r="S168" s="32"/>
      <c r="T168" s="32"/>
      <c r="U168" s="32"/>
      <c r="V168" s="32"/>
      <c r="W168" s="32"/>
    </row>
    <row r="169" spans="3:23" x14ac:dyDescent="0.25">
      <c r="C169" s="1"/>
      <c r="D169" s="29"/>
      <c r="E169" s="29"/>
      <c r="F169" s="29"/>
      <c r="G169" s="29"/>
      <c r="H169" s="30"/>
      <c r="I169" s="31"/>
      <c r="J169" s="31"/>
      <c r="K169" s="29"/>
      <c r="L169" s="32"/>
      <c r="M169" s="29"/>
      <c r="N169" s="33"/>
      <c r="O169" s="32"/>
      <c r="P169" s="34"/>
      <c r="Q169" s="34"/>
      <c r="R169" s="34"/>
      <c r="S169" s="32"/>
      <c r="T169" s="32"/>
      <c r="U169" s="32"/>
      <c r="V169" s="32"/>
      <c r="W169" s="32"/>
    </row>
    <row r="170" spans="3:23" x14ac:dyDescent="0.25">
      <c r="C170" s="1"/>
      <c r="D170" s="29"/>
      <c r="E170" s="29"/>
      <c r="F170" s="29"/>
      <c r="G170" s="29"/>
      <c r="H170" s="30"/>
      <c r="I170" s="31"/>
      <c r="J170" s="31"/>
      <c r="K170" s="29"/>
      <c r="L170" s="32"/>
      <c r="M170" s="29"/>
      <c r="N170" s="33"/>
      <c r="O170" s="32"/>
      <c r="P170" s="34"/>
      <c r="Q170" s="34"/>
      <c r="R170" s="34"/>
      <c r="S170" s="32"/>
      <c r="T170" s="32"/>
      <c r="U170" s="32"/>
      <c r="V170" s="32"/>
      <c r="W170" s="32"/>
    </row>
    <row r="171" spans="3:23" x14ac:dyDescent="0.25">
      <c r="C171" s="1"/>
      <c r="D171" s="29"/>
      <c r="E171" s="29"/>
      <c r="F171" s="29"/>
      <c r="G171" s="29"/>
      <c r="H171" s="30"/>
      <c r="I171" s="31"/>
      <c r="J171" s="31"/>
      <c r="K171" s="29"/>
      <c r="L171" s="32"/>
      <c r="M171" s="29"/>
      <c r="N171" s="33"/>
      <c r="O171" s="32"/>
      <c r="P171" s="34"/>
      <c r="Q171" s="34"/>
      <c r="R171" s="34"/>
      <c r="S171" s="32"/>
      <c r="T171" s="32"/>
      <c r="U171" s="32"/>
      <c r="V171" s="32"/>
      <c r="W171" s="32"/>
    </row>
    <row r="172" spans="3:23" x14ac:dyDescent="0.25">
      <c r="C172" s="1"/>
      <c r="D172" s="29"/>
      <c r="E172" s="29"/>
      <c r="F172" s="29"/>
      <c r="G172" s="29"/>
      <c r="H172" s="30"/>
      <c r="I172" s="31"/>
      <c r="J172" s="31"/>
      <c r="K172" s="29"/>
      <c r="L172" s="32"/>
      <c r="M172" s="29"/>
      <c r="N172" s="33"/>
      <c r="O172" s="32"/>
      <c r="P172" s="34"/>
      <c r="Q172" s="34"/>
      <c r="R172" s="34"/>
      <c r="S172" s="32"/>
      <c r="T172" s="32"/>
      <c r="U172" s="32"/>
      <c r="V172" s="32"/>
      <c r="W172" s="32"/>
    </row>
    <row r="173" spans="3:23" x14ac:dyDescent="0.25">
      <c r="C173" s="1"/>
      <c r="D173" s="29"/>
      <c r="E173" s="29"/>
      <c r="F173" s="29"/>
      <c r="G173" s="29"/>
      <c r="H173" s="30"/>
      <c r="I173" s="31"/>
      <c r="J173" s="31"/>
      <c r="K173" s="29"/>
      <c r="L173" s="32"/>
      <c r="M173" s="29"/>
      <c r="N173" s="33"/>
      <c r="O173" s="32"/>
      <c r="P173" s="34"/>
      <c r="Q173" s="34"/>
      <c r="R173" s="34"/>
      <c r="S173" s="32"/>
      <c r="T173" s="32"/>
      <c r="U173" s="32"/>
      <c r="V173" s="32"/>
      <c r="W173" s="32"/>
    </row>
    <row r="174" spans="3:23" x14ac:dyDescent="0.25">
      <c r="C174" s="1"/>
      <c r="D174" s="29"/>
      <c r="E174" s="29"/>
      <c r="F174" s="29"/>
      <c r="G174" s="29"/>
      <c r="H174" s="30"/>
      <c r="I174" s="31"/>
      <c r="J174" s="31"/>
      <c r="K174" s="29"/>
      <c r="L174" s="32"/>
      <c r="M174" s="29"/>
      <c r="N174" s="33"/>
      <c r="O174" s="32"/>
      <c r="P174" s="34"/>
      <c r="Q174" s="34"/>
      <c r="R174" s="34"/>
      <c r="S174" s="32"/>
      <c r="T174" s="32"/>
      <c r="U174" s="32"/>
      <c r="V174" s="32"/>
      <c r="W174" s="32"/>
    </row>
    <row r="175" spans="3:23" x14ac:dyDescent="0.25">
      <c r="C175" s="1"/>
      <c r="D175" s="29"/>
      <c r="E175" s="29"/>
      <c r="F175" s="29"/>
      <c r="G175" s="29"/>
      <c r="H175" s="30"/>
      <c r="I175" s="31"/>
      <c r="J175" s="31"/>
      <c r="K175" s="29"/>
      <c r="L175" s="32"/>
      <c r="M175" s="29"/>
      <c r="N175" s="33"/>
      <c r="O175" s="32"/>
      <c r="P175" s="34"/>
      <c r="Q175" s="34"/>
      <c r="R175" s="34"/>
      <c r="S175" s="32"/>
      <c r="T175" s="32"/>
      <c r="U175" s="32"/>
      <c r="V175" s="32"/>
      <c r="W175" s="32"/>
    </row>
    <row r="176" spans="3:23" x14ac:dyDescent="0.25">
      <c r="C176" s="1"/>
      <c r="D176" s="29"/>
      <c r="E176" s="29"/>
      <c r="F176" s="29"/>
      <c r="G176" s="29"/>
      <c r="H176" s="30"/>
      <c r="I176" s="31"/>
      <c r="J176" s="31"/>
      <c r="K176" s="29"/>
      <c r="L176" s="32"/>
      <c r="M176" s="29"/>
      <c r="N176" s="33"/>
      <c r="O176" s="32"/>
      <c r="P176" s="34"/>
      <c r="Q176" s="34"/>
      <c r="R176" s="34"/>
      <c r="S176" s="32"/>
      <c r="T176" s="32"/>
      <c r="U176" s="32"/>
      <c r="V176" s="32"/>
      <c r="W176" s="32"/>
    </row>
    <row r="177" spans="3:23" x14ac:dyDescent="0.25">
      <c r="C177" s="1"/>
      <c r="D177" s="29"/>
      <c r="E177" s="29"/>
      <c r="F177" s="29"/>
      <c r="G177" s="29"/>
      <c r="H177" s="30"/>
      <c r="I177" s="31"/>
      <c r="J177" s="31"/>
      <c r="K177" s="29"/>
      <c r="L177" s="32"/>
      <c r="M177" s="29"/>
      <c r="N177" s="33"/>
      <c r="O177" s="32"/>
      <c r="P177" s="34"/>
      <c r="Q177" s="34"/>
      <c r="R177" s="34"/>
      <c r="S177" s="32"/>
      <c r="T177" s="32"/>
      <c r="U177" s="32"/>
      <c r="V177" s="32"/>
      <c r="W177" s="32"/>
    </row>
    <row r="178" spans="3:23" x14ac:dyDescent="0.25">
      <c r="C178" s="1"/>
      <c r="D178" s="29"/>
      <c r="E178" s="29"/>
      <c r="F178" s="29"/>
      <c r="G178" s="29"/>
      <c r="H178" s="30"/>
      <c r="I178" s="31"/>
      <c r="J178" s="31"/>
      <c r="K178" s="29"/>
      <c r="L178" s="32"/>
      <c r="M178" s="29"/>
      <c r="N178" s="33"/>
      <c r="O178" s="32"/>
      <c r="P178" s="34"/>
      <c r="Q178" s="34"/>
      <c r="R178" s="34"/>
      <c r="S178" s="32"/>
      <c r="T178" s="32"/>
      <c r="U178" s="32"/>
      <c r="V178" s="32"/>
      <c r="W178" s="32"/>
    </row>
    <row r="179" spans="3:23" x14ac:dyDescent="0.25">
      <c r="C179" s="1"/>
      <c r="D179" s="29"/>
      <c r="E179" s="29"/>
      <c r="F179" s="29"/>
      <c r="G179" s="29"/>
      <c r="H179" s="30"/>
      <c r="I179" s="31"/>
      <c r="J179" s="31"/>
      <c r="K179" s="29"/>
      <c r="L179" s="32"/>
      <c r="M179" s="29"/>
      <c r="N179" s="33"/>
      <c r="O179" s="32"/>
      <c r="P179" s="34"/>
      <c r="Q179" s="34"/>
      <c r="R179" s="34"/>
      <c r="S179" s="32"/>
      <c r="T179" s="32"/>
      <c r="U179" s="32"/>
      <c r="V179" s="32"/>
      <c r="W179" s="32"/>
    </row>
    <row r="180" spans="3:23" x14ac:dyDescent="0.25">
      <c r="C180" s="1"/>
      <c r="D180" s="29"/>
      <c r="E180" s="29"/>
      <c r="F180" s="29"/>
      <c r="G180" s="29"/>
      <c r="H180" s="30"/>
      <c r="I180" s="31"/>
      <c r="J180" s="31"/>
      <c r="K180" s="29"/>
      <c r="L180" s="32"/>
      <c r="M180" s="29"/>
      <c r="N180" s="33"/>
      <c r="O180" s="32"/>
      <c r="P180" s="34"/>
      <c r="Q180" s="34"/>
      <c r="R180" s="34"/>
      <c r="S180" s="32"/>
      <c r="T180" s="32"/>
      <c r="U180" s="32"/>
      <c r="V180" s="32"/>
      <c r="W180" s="32"/>
    </row>
    <row r="181" spans="3:23" x14ac:dyDescent="0.25">
      <c r="C181" s="1"/>
      <c r="D181" s="29"/>
      <c r="E181" s="29"/>
      <c r="F181" s="29"/>
      <c r="G181" s="29"/>
      <c r="H181" s="30"/>
      <c r="I181" s="31"/>
      <c r="J181" s="31"/>
      <c r="K181" s="29"/>
      <c r="L181" s="32"/>
      <c r="M181" s="29"/>
      <c r="N181" s="33"/>
      <c r="O181" s="32"/>
      <c r="P181" s="34"/>
      <c r="Q181" s="34"/>
      <c r="R181" s="34"/>
      <c r="S181" s="32"/>
      <c r="T181" s="32"/>
      <c r="U181" s="32"/>
      <c r="V181" s="32"/>
      <c r="W181" s="32"/>
    </row>
    <row r="182" spans="3:23" x14ac:dyDescent="0.25">
      <c r="C182" s="1"/>
      <c r="D182" s="29"/>
      <c r="E182" s="29"/>
      <c r="F182" s="29"/>
      <c r="G182" s="29"/>
      <c r="H182" s="30"/>
      <c r="I182" s="31"/>
      <c r="J182" s="31"/>
      <c r="K182" s="29"/>
      <c r="L182" s="32"/>
      <c r="M182" s="29"/>
      <c r="N182" s="33"/>
      <c r="O182" s="32"/>
      <c r="P182" s="34"/>
      <c r="Q182" s="34"/>
      <c r="R182" s="34"/>
      <c r="S182" s="32"/>
      <c r="T182" s="32"/>
      <c r="U182" s="32"/>
      <c r="V182" s="32"/>
      <c r="W182" s="32"/>
    </row>
    <row r="183" spans="3:23" x14ac:dyDescent="0.25">
      <c r="C183" s="1"/>
      <c r="D183" s="29"/>
      <c r="E183" s="29"/>
      <c r="F183" s="29"/>
      <c r="G183" s="29"/>
      <c r="H183" s="30"/>
      <c r="I183" s="31"/>
      <c r="J183" s="31"/>
      <c r="K183" s="29"/>
      <c r="L183" s="32"/>
      <c r="M183" s="29"/>
      <c r="N183" s="33"/>
      <c r="O183" s="32"/>
      <c r="P183" s="34"/>
      <c r="Q183" s="34"/>
      <c r="R183" s="34"/>
      <c r="S183" s="32"/>
      <c r="T183" s="32"/>
      <c r="U183" s="32"/>
      <c r="V183" s="32"/>
      <c r="W183" s="32"/>
    </row>
    <row r="184" spans="3:23" x14ac:dyDescent="0.25">
      <c r="C184" s="1"/>
      <c r="D184" s="29"/>
      <c r="E184" s="29"/>
      <c r="F184" s="29"/>
      <c r="G184" s="29"/>
      <c r="H184" s="30"/>
      <c r="I184" s="31"/>
      <c r="J184" s="31"/>
      <c r="K184" s="29"/>
      <c r="L184" s="32"/>
      <c r="M184" s="29"/>
      <c r="N184" s="33"/>
      <c r="O184" s="32"/>
      <c r="P184" s="34"/>
      <c r="Q184" s="34"/>
      <c r="R184" s="34"/>
      <c r="S184" s="32"/>
      <c r="T184" s="32"/>
      <c r="U184" s="32"/>
      <c r="V184" s="32"/>
      <c r="W184" s="32"/>
    </row>
    <row r="185" spans="3:23" x14ac:dyDescent="0.25">
      <c r="C185" s="1"/>
      <c r="D185" s="29"/>
      <c r="E185" s="29"/>
      <c r="F185" s="29"/>
      <c r="G185" s="29"/>
      <c r="H185" s="30"/>
      <c r="I185" s="31"/>
      <c r="J185" s="31"/>
      <c r="K185" s="29"/>
      <c r="L185" s="32"/>
      <c r="M185" s="29"/>
      <c r="N185" s="33"/>
      <c r="O185" s="32"/>
      <c r="P185" s="34"/>
      <c r="Q185" s="34"/>
      <c r="R185" s="34"/>
      <c r="S185" s="32"/>
      <c r="T185" s="32"/>
      <c r="U185" s="32"/>
      <c r="V185" s="32"/>
      <c r="W185" s="32"/>
    </row>
    <row r="186" spans="3:23" x14ac:dyDescent="0.25">
      <c r="C186" s="1"/>
      <c r="D186" s="29"/>
      <c r="E186" s="29"/>
      <c r="F186" s="29"/>
      <c r="G186" s="29"/>
      <c r="H186" s="30"/>
      <c r="I186" s="31"/>
      <c r="J186" s="31"/>
      <c r="K186" s="29"/>
      <c r="L186" s="32"/>
      <c r="M186" s="29"/>
      <c r="N186" s="33"/>
      <c r="O186" s="32"/>
      <c r="P186" s="34"/>
      <c r="Q186" s="34"/>
      <c r="R186" s="34"/>
      <c r="S186" s="32"/>
      <c r="T186" s="32"/>
      <c r="U186" s="32"/>
      <c r="V186" s="32"/>
      <c r="W186" s="32"/>
    </row>
    <row r="187" spans="3:23" x14ac:dyDescent="0.25">
      <c r="C187" s="1"/>
      <c r="D187" s="29"/>
      <c r="E187" s="29"/>
      <c r="F187" s="29"/>
      <c r="G187" s="29"/>
      <c r="H187" s="30"/>
      <c r="I187" s="31"/>
      <c r="J187" s="31"/>
      <c r="K187" s="29"/>
      <c r="L187" s="32"/>
      <c r="M187" s="29"/>
      <c r="N187" s="33"/>
      <c r="O187" s="32"/>
      <c r="P187" s="34"/>
      <c r="Q187" s="34"/>
      <c r="R187" s="34"/>
      <c r="S187" s="32"/>
      <c r="T187" s="32"/>
      <c r="U187" s="32"/>
      <c r="V187" s="32"/>
      <c r="W187" s="32"/>
    </row>
    <row r="188" spans="3:23" x14ac:dyDescent="0.25">
      <c r="C188" s="1"/>
      <c r="D188" s="29"/>
      <c r="E188" s="29"/>
      <c r="F188" s="29"/>
      <c r="G188" s="29"/>
      <c r="H188" s="30"/>
      <c r="I188" s="31"/>
      <c r="J188" s="31"/>
      <c r="K188" s="29"/>
      <c r="L188" s="32"/>
      <c r="M188" s="29"/>
      <c r="N188" s="33"/>
      <c r="O188" s="32"/>
      <c r="P188" s="34"/>
      <c r="Q188" s="34"/>
      <c r="R188" s="34"/>
      <c r="S188" s="32"/>
      <c r="T188" s="32"/>
      <c r="U188" s="32"/>
      <c r="V188" s="32"/>
      <c r="W188" s="32"/>
    </row>
    <row r="189" spans="3:23" x14ac:dyDescent="0.25">
      <c r="C189" s="1"/>
      <c r="D189" s="29"/>
      <c r="E189" s="29"/>
      <c r="F189" s="29"/>
      <c r="G189" s="29"/>
      <c r="H189" s="30"/>
      <c r="I189" s="31"/>
      <c r="J189" s="31"/>
      <c r="K189" s="29"/>
      <c r="L189" s="32"/>
      <c r="M189" s="29"/>
      <c r="N189" s="33"/>
      <c r="O189" s="32"/>
      <c r="P189" s="34"/>
      <c r="Q189" s="34"/>
      <c r="R189" s="34"/>
      <c r="S189" s="32"/>
      <c r="T189" s="32"/>
      <c r="U189" s="32"/>
      <c r="V189" s="32"/>
      <c r="W189" s="32"/>
    </row>
    <row r="190" spans="3:23" x14ac:dyDescent="0.25">
      <c r="C190" s="1"/>
      <c r="D190" s="29"/>
      <c r="E190" s="29"/>
      <c r="F190" s="29"/>
      <c r="G190" s="29"/>
      <c r="H190" s="30"/>
      <c r="I190" s="31"/>
      <c r="J190" s="31"/>
      <c r="K190" s="29"/>
      <c r="L190" s="32"/>
      <c r="M190" s="29"/>
      <c r="N190" s="33"/>
      <c r="O190" s="32"/>
      <c r="P190" s="34"/>
      <c r="Q190" s="34"/>
      <c r="R190" s="34"/>
      <c r="S190" s="32"/>
      <c r="T190" s="32"/>
      <c r="U190" s="32"/>
      <c r="V190" s="32"/>
      <c r="W190" s="32"/>
    </row>
    <row r="191" spans="3:23" x14ac:dyDescent="0.25">
      <c r="C191" s="1"/>
      <c r="D191" s="29"/>
      <c r="E191" s="29"/>
      <c r="F191" s="29"/>
      <c r="G191" s="29"/>
      <c r="H191" s="30"/>
      <c r="I191" s="31"/>
      <c r="J191" s="31"/>
      <c r="K191" s="29"/>
      <c r="L191" s="32"/>
      <c r="M191" s="29"/>
      <c r="N191" s="33"/>
      <c r="O191" s="32"/>
      <c r="P191" s="34"/>
      <c r="Q191" s="34"/>
      <c r="R191" s="34"/>
      <c r="S191" s="32"/>
      <c r="T191" s="32"/>
      <c r="U191" s="32"/>
      <c r="V191" s="32"/>
      <c r="W191" s="32"/>
    </row>
    <row r="192" spans="3:23" x14ac:dyDescent="0.25">
      <c r="C192" s="1"/>
      <c r="D192" s="29"/>
      <c r="E192" s="29"/>
      <c r="F192" s="29"/>
      <c r="G192" s="29"/>
      <c r="H192" s="30"/>
      <c r="I192" s="31"/>
      <c r="J192" s="31"/>
      <c r="K192" s="29"/>
      <c r="L192" s="32"/>
      <c r="M192" s="29"/>
      <c r="N192" s="33"/>
      <c r="O192" s="32"/>
      <c r="P192" s="34"/>
      <c r="Q192" s="34"/>
      <c r="R192" s="34"/>
      <c r="S192" s="32"/>
      <c r="T192" s="32"/>
      <c r="U192" s="32"/>
      <c r="V192" s="32"/>
      <c r="W192" s="32"/>
    </row>
    <row r="193" spans="3:23" x14ac:dyDescent="0.25">
      <c r="C193" s="1"/>
      <c r="D193" s="29"/>
      <c r="E193" s="29"/>
      <c r="F193" s="29"/>
      <c r="G193" s="29"/>
      <c r="H193" s="30"/>
      <c r="I193" s="31"/>
      <c r="J193" s="31"/>
      <c r="K193" s="29"/>
      <c r="L193" s="32"/>
      <c r="M193" s="29"/>
      <c r="N193" s="33"/>
      <c r="O193" s="32"/>
      <c r="P193" s="34"/>
      <c r="Q193" s="34"/>
      <c r="R193" s="34"/>
      <c r="S193" s="32"/>
      <c r="T193" s="32"/>
      <c r="U193" s="32"/>
      <c r="V193" s="32"/>
      <c r="W193" s="32"/>
    </row>
    <row r="194" spans="3:23" x14ac:dyDescent="0.25">
      <c r="C194" s="1"/>
      <c r="D194" s="29"/>
      <c r="E194" s="29"/>
      <c r="F194" s="29"/>
      <c r="G194" s="29"/>
      <c r="H194" s="30"/>
      <c r="I194" s="31"/>
      <c r="J194" s="31"/>
      <c r="K194" s="29"/>
      <c r="L194" s="32"/>
      <c r="M194" s="29"/>
      <c r="N194" s="33"/>
      <c r="O194" s="32"/>
      <c r="P194" s="34"/>
      <c r="Q194" s="34"/>
      <c r="R194" s="34"/>
      <c r="S194" s="32"/>
      <c r="T194" s="32"/>
      <c r="U194" s="32"/>
      <c r="V194" s="32"/>
      <c r="W194" s="32"/>
    </row>
    <row r="195" spans="3:23" x14ac:dyDescent="0.25">
      <c r="C195" s="1"/>
      <c r="D195" s="29"/>
      <c r="E195" s="29"/>
      <c r="F195" s="29"/>
      <c r="G195" s="29"/>
      <c r="H195" s="30"/>
      <c r="I195" s="31"/>
      <c r="J195" s="31"/>
      <c r="K195" s="29"/>
      <c r="L195" s="32"/>
      <c r="M195" s="29"/>
      <c r="N195" s="33"/>
      <c r="O195" s="32"/>
      <c r="P195" s="34"/>
      <c r="Q195" s="34"/>
      <c r="R195" s="34"/>
      <c r="S195" s="32"/>
      <c r="T195" s="32"/>
      <c r="U195" s="32"/>
      <c r="V195" s="32"/>
      <c r="W195" s="32"/>
    </row>
    <row r="196" spans="3:23" x14ac:dyDescent="0.25">
      <c r="C196" s="1"/>
      <c r="D196" s="29"/>
      <c r="E196" s="29"/>
      <c r="F196" s="29"/>
      <c r="G196" s="29"/>
      <c r="H196" s="30"/>
      <c r="I196" s="31"/>
      <c r="J196" s="31"/>
      <c r="K196" s="29"/>
      <c r="L196" s="32"/>
      <c r="M196" s="29"/>
      <c r="N196" s="33"/>
      <c r="O196" s="32"/>
      <c r="P196" s="34"/>
      <c r="Q196" s="34"/>
      <c r="R196" s="34"/>
      <c r="S196" s="32"/>
      <c r="T196" s="32"/>
      <c r="U196" s="32"/>
      <c r="V196" s="32"/>
      <c r="W196" s="32"/>
    </row>
    <row r="197" spans="3:23" x14ac:dyDescent="0.25">
      <c r="C197" s="1"/>
      <c r="D197" s="29"/>
      <c r="E197" s="29"/>
      <c r="F197" s="29"/>
      <c r="G197" s="29"/>
      <c r="H197" s="30"/>
      <c r="I197" s="31"/>
      <c r="J197" s="31"/>
      <c r="K197" s="29"/>
      <c r="L197" s="32"/>
      <c r="M197" s="29"/>
      <c r="N197" s="33"/>
      <c r="O197" s="32"/>
      <c r="P197" s="34"/>
      <c r="Q197" s="34"/>
      <c r="R197" s="34"/>
      <c r="S197" s="32"/>
      <c r="T197" s="32"/>
      <c r="U197" s="32"/>
      <c r="V197" s="32"/>
      <c r="W197" s="32"/>
    </row>
    <row r="198" spans="3:23" x14ac:dyDescent="0.25">
      <c r="C198" s="1"/>
      <c r="D198" s="29"/>
      <c r="E198" s="29"/>
      <c r="F198" s="29"/>
      <c r="G198" s="29"/>
      <c r="H198" s="30"/>
      <c r="I198" s="31"/>
      <c r="J198" s="31"/>
      <c r="K198" s="29"/>
      <c r="L198" s="32"/>
      <c r="M198" s="29"/>
      <c r="N198" s="33"/>
      <c r="O198" s="32"/>
      <c r="P198" s="34"/>
      <c r="Q198" s="34"/>
      <c r="R198" s="34"/>
      <c r="S198" s="32"/>
      <c r="T198" s="32"/>
      <c r="U198" s="32"/>
      <c r="V198" s="32"/>
      <c r="W198" s="32"/>
    </row>
    <row r="199" spans="3:23" x14ac:dyDescent="0.25">
      <c r="C199" s="1"/>
      <c r="D199" s="29"/>
      <c r="E199" s="29"/>
      <c r="F199" s="29"/>
      <c r="G199" s="29"/>
      <c r="H199" s="30"/>
      <c r="I199" s="31"/>
      <c r="J199" s="31"/>
      <c r="K199" s="29"/>
      <c r="L199" s="32"/>
      <c r="M199" s="29"/>
      <c r="N199" s="33"/>
      <c r="O199" s="32"/>
      <c r="P199" s="34"/>
      <c r="Q199" s="34"/>
      <c r="R199" s="34"/>
      <c r="S199" s="32"/>
      <c r="T199" s="32"/>
      <c r="U199" s="32"/>
      <c r="V199" s="32"/>
      <c r="W199" s="32"/>
    </row>
    <row r="200" spans="3:23" x14ac:dyDescent="0.25">
      <c r="C200" s="1"/>
      <c r="D200" s="29"/>
      <c r="E200" s="29"/>
      <c r="F200" s="29"/>
      <c r="G200" s="29"/>
      <c r="H200" s="30"/>
      <c r="I200" s="31"/>
      <c r="J200" s="31"/>
      <c r="K200" s="29"/>
      <c r="L200" s="32"/>
      <c r="M200" s="29"/>
      <c r="N200" s="33"/>
      <c r="O200" s="32"/>
      <c r="P200" s="34"/>
      <c r="Q200" s="34"/>
      <c r="R200" s="34"/>
      <c r="S200" s="32"/>
      <c r="T200" s="32"/>
      <c r="U200" s="32"/>
      <c r="V200" s="32"/>
      <c r="W200" s="32"/>
    </row>
    <row r="201" spans="3:23" x14ac:dyDescent="0.25">
      <c r="C201" s="1"/>
      <c r="D201" s="29"/>
      <c r="E201" s="29"/>
      <c r="F201" s="29"/>
      <c r="G201" s="29"/>
      <c r="H201" s="30"/>
      <c r="I201" s="31"/>
      <c r="J201" s="31"/>
      <c r="K201" s="29"/>
      <c r="L201" s="32"/>
      <c r="M201" s="29"/>
      <c r="N201" s="33"/>
      <c r="O201" s="32"/>
      <c r="P201" s="34"/>
      <c r="Q201" s="34"/>
      <c r="R201" s="34"/>
      <c r="S201" s="32"/>
      <c r="T201" s="32"/>
      <c r="U201" s="32"/>
      <c r="V201" s="32"/>
      <c r="W201" s="32"/>
    </row>
    <row r="202" spans="3:23" x14ac:dyDescent="0.25">
      <c r="C202" s="1"/>
      <c r="D202" s="29"/>
      <c r="E202" s="29"/>
      <c r="F202" s="29"/>
      <c r="G202" s="29"/>
      <c r="H202" s="30"/>
      <c r="I202" s="31"/>
      <c r="J202" s="31"/>
      <c r="K202" s="29"/>
      <c r="L202" s="32"/>
      <c r="M202" s="29"/>
      <c r="N202" s="33"/>
      <c r="O202" s="32"/>
      <c r="P202" s="34"/>
      <c r="Q202" s="34"/>
      <c r="R202" s="34"/>
      <c r="S202" s="32"/>
      <c r="T202" s="32"/>
      <c r="U202" s="32"/>
      <c r="V202" s="32"/>
      <c r="W202" s="32"/>
    </row>
    <row r="203" spans="3:23" x14ac:dyDescent="0.25">
      <c r="C203" s="1"/>
      <c r="D203" s="29"/>
      <c r="E203" s="29"/>
      <c r="F203" s="29"/>
      <c r="G203" s="29"/>
      <c r="H203" s="30"/>
      <c r="I203" s="31"/>
      <c r="J203" s="31"/>
      <c r="K203" s="29"/>
      <c r="L203" s="32"/>
      <c r="M203" s="29"/>
      <c r="N203" s="33"/>
      <c r="O203" s="32"/>
      <c r="P203" s="34"/>
      <c r="Q203" s="34"/>
      <c r="R203" s="34"/>
      <c r="S203" s="32"/>
      <c r="T203" s="32"/>
      <c r="U203" s="32"/>
      <c r="V203" s="32"/>
      <c r="W203" s="32"/>
    </row>
    <row r="204" spans="3:23" x14ac:dyDescent="0.25">
      <c r="C204" s="1"/>
      <c r="D204" s="29"/>
      <c r="E204" s="29"/>
      <c r="F204" s="29"/>
      <c r="G204" s="29"/>
      <c r="H204" s="30"/>
      <c r="I204" s="31"/>
      <c r="J204" s="31"/>
      <c r="K204" s="29"/>
      <c r="L204" s="32"/>
      <c r="M204" s="29"/>
      <c r="N204" s="33"/>
      <c r="O204" s="32"/>
      <c r="P204" s="34"/>
      <c r="Q204" s="34"/>
      <c r="R204" s="34"/>
      <c r="S204" s="32"/>
      <c r="T204" s="32"/>
      <c r="U204" s="32"/>
      <c r="V204" s="32"/>
      <c r="W204" s="32"/>
    </row>
    <row r="205" spans="3:23" x14ac:dyDescent="0.25">
      <c r="C205" s="1"/>
      <c r="D205" s="29"/>
      <c r="E205" s="29"/>
      <c r="F205" s="29"/>
      <c r="G205" s="29"/>
      <c r="H205" s="30"/>
      <c r="I205" s="31"/>
      <c r="J205" s="31"/>
      <c r="K205" s="29"/>
      <c r="L205" s="32"/>
      <c r="M205" s="29"/>
      <c r="N205" s="33"/>
      <c r="O205" s="32"/>
      <c r="P205" s="34"/>
      <c r="Q205" s="34"/>
      <c r="R205" s="34"/>
      <c r="S205" s="32"/>
      <c r="T205" s="32"/>
      <c r="U205" s="32"/>
      <c r="V205" s="32"/>
      <c r="W205" s="32"/>
    </row>
    <row r="206" spans="3:23" x14ac:dyDescent="0.25">
      <c r="C206" s="1"/>
      <c r="D206" s="29"/>
      <c r="E206" s="29"/>
      <c r="F206" s="29"/>
      <c r="G206" s="29"/>
      <c r="H206" s="30"/>
      <c r="I206" s="31"/>
      <c r="J206" s="31"/>
      <c r="K206" s="29"/>
      <c r="L206" s="32"/>
      <c r="M206" s="29"/>
      <c r="N206" s="33"/>
      <c r="O206" s="32"/>
      <c r="P206" s="34"/>
      <c r="Q206" s="34"/>
      <c r="R206" s="34"/>
      <c r="S206" s="32"/>
      <c r="T206" s="32"/>
      <c r="U206" s="32"/>
      <c r="V206" s="32"/>
      <c r="W206" s="32"/>
    </row>
    <row r="207" spans="3:23" x14ac:dyDescent="0.25">
      <c r="C207" s="1"/>
      <c r="D207" s="29"/>
      <c r="E207" s="29"/>
      <c r="F207" s="29"/>
      <c r="G207" s="29"/>
      <c r="H207" s="30"/>
      <c r="I207" s="31"/>
      <c r="J207" s="31"/>
      <c r="K207" s="29"/>
      <c r="L207" s="32"/>
      <c r="M207" s="29"/>
      <c r="N207" s="33"/>
      <c r="O207" s="32"/>
      <c r="P207" s="34"/>
      <c r="Q207" s="34"/>
      <c r="R207" s="34"/>
      <c r="S207" s="32"/>
      <c r="T207" s="32"/>
      <c r="U207" s="32"/>
      <c r="V207" s="32"/>
      <c r="W207" s="32"/>
    </row>
    <row r="208" spans="3:23" x14ac:dyDescent="0.25">
      <c r="C208" s="1"/>
      <c r="D208" s="29"/>
      <c r="E208" s="29"/>
      <c r="F208" s="29"/>
      <c r="G208" s="29"/>
      <c r="H208" s="30"/>
      <c r="I208" s="31"/>
      <c r="J208" s="31"/>
      <c r="K208" s="29"/>
      <c r="L208" s="32"/>
      <c r="M208" s="29"/>
      <c r="N208" s="33"/>
      <c r="O208" s="32"/>
      <c r="P208" s="34"/>
      <c r="Q208" s="34"/>
      <c r="R208" s="34"/>
      <c r="S208" s="32"/>
      <c r="T208" s="32"/>
      <c r="U208" s="32"/>
      <c r="V208" s="32"/>
      <c r="W208" s="32"/>
    </row>
    <row r="209" spans="3:23" x14ac:dyDescent="0.25">
      <c r="C209" s="1"/>
      <c r="D209" s="29"/>
      <c r="E209" s="29"/>
      <c r="F209" s="29"/>
      <c r="G209" s="29"/>
      <c r="H209" s="30"/>
      <c r="I209" s="31"/>
      <c r="J209" s="31"/>
      <c r="K209" s="29"/>
      <c r="L209" s="32"/>
      <c r="M209" s="29"/>
      <c r="N209" s="33"/>
      <c r="O209" s="32"/>
      <c r="P209" s="34"/>
      <c r="Q209" s="34"/>
      <c r="R209" s="34"/>
      <c r="S209" s="32"/>
      <c r="T209" s="32"/>
      <c r="U209" s="32"/>
      <c r="V209" s="32"/>
      <c r="W209" s="32"/>
    </row>
    <row r="210" spans="3:23" x14ac:dyDescent="0.25">
      <c r="C210" s="1"/>
      <c r="D210" s="29"/>
      <c r="E210" s="29"/>
      <c r="F210" s="29"/>
      <c r="G210" s="29"/>
      <c r="H210" s="30"/>
      <c r="I210" s="31"/>
      <c r="J210" s="31"/>
      <c r="K210" s="29"/>
      <c r="L210" s="32"/>
      <c r="M210" s="29"/>
      <c r="N210" s="33"/>
      <c r="O210" s="32"/>
      <c r="P210" s="34"/>
      <c r="Q210" s="34"/>
      <c r="R210" s="34"/>
      <c r="S210" s="32"/>
      <c r="T210" s="32"/>
      <c r="U210" s="32"/>
      <c r="V210" s="32"/>
      <c r="W210" s="32"/>
    </row>
    <row r="211" spans="3:23" x14ac:dyDescent="0.25">
      <c r="C211" s="1"/>
      <c r="D211" s="29"/>
      <c r="E211" s="29"/>
      <c r="F211" s="29"/>
      <c r="G211" s="29"/>
      <c r="H211" s="30"/>
      <c r="I211" s="31"/>
      <c r="J211" s="31"/>
      <c r="K211" s="29"/>
      <c r="L211" s="32"/>
      <c r="M211" s="29"/>
      <c r="N211" s="33"/>
      <c r="O211" s="32"/>
      <c r="P211" s="34"/>
      <c r="Q211" s="34"/>
      <c r="R211" s="34"/>
      <c r="S211" s="32"/>
      <c r="T211" s="32"/>
      <c r="U211" s="32"/>
      <c r="V211" s="32"/>
      <c r="W211" s="32"/>
    </row>
    <row r="212" spans="3:23" x14ac:dyDescent="0.25">
      <c r="C212" s="1"/>
      <c r="D212" s="29"/>
      <c r="E212" s="29"/>
      <c r="F212" s="29"/>
      <c r="G212" s="29"/>
      <c r="H212" s="30"/>
      <c r="I212" s="31"/>
      <c r="J212" s="31"/>
      <c r="K212" s="29"/>
      <c r="L212" s="32"/>
      <c r="M212" s="29"/>
      <c r="N212" s="33"/>
      <c r="O212" s="32"/>
      <c r="P212" s="34"/>
      <c r="Q212" s="34"/>
      <c r="R212" s="34"/>
      <c r="S212" s="32"/>
      <c r="T212" s="32"/>
      <c r="U212" s="32"/>
      <c r="V212" s="32"/>
      <c r="W212" s="32"/>
    </row>
    <row r="213" spans="3:23" x14ac:dyDescent="0.25">
      <c r="C213" s="1"/>
      <c r="D213" s="29"/>
      <c r="E213" s="29"/>
      <c r="F213" s="29"/>
      <c r="G213" s="29"/>
      <c r="H213" s="30"/>
      <c r="I213" s="31"/>
      <c r="J213" s="31"/>
      <c r="K213" s="29"/>
      <c r="L213" s="32"/>
      <c r="M213" s="29"/>
      <c r="N213" s="33"/>
      <c r="O213" s="32"/>
      <c r="P213" s="34"/>
      <c r="Q213" s="34"/>
      <c r="R213" s="34"/>
      <c r="S213" s="32"/>
      <c r="T213" s="32"/>
      <c r="U213" s="32"/>
      <c r="V213" s="32"/>
      <c r="W213" s="32"/>
    </row>
    <row r="214" spans="3:23" x14ac:dyDescent="0.25">
      <c r="C214" s="1"/>
      <c r="D214" s="29"/>
      <c r="E214" s="29"/>
      <c r="F214" s="29"/>
      <c r="G214" s="29"/>
      <c r="H214" s="30"/>
      <c r="I214" s="31"/>
      <c r="J214" s="31"/>
      <c r="K214" s="29"/>
      <c r="L214" s="32"/>
      <c r="M214" s="29"/>
      <c r="N214" s="33"/>
      <c r="O214" s="32"/>
      <c r="P214" s="34"/>
      <c r="Q214" s="34"/>
      <c r="R214" s="34"/>
      <c r="S214" s="32"/>
      <c r="T214" s="32"/>
      <c r="U214" s="32"/>
      <c r="V214" s="32"/>
      <c r="W214" s="32"/>
    </row>
    <row r="215" spans="3:23" x14ac:dyDescent="0.25">
      <c r="C215" s="1"/>
      <c r="D215" s="29"/>
      <c r="E215" s="29"/>
      <c r="F215" s="29"/>
      <c r="G215" s="29"/>
      <c r="H215" s="30"/>
      <c r="I215" s="31"/>
      <c r="J215" s="31"/>
      <c r="K215" s="29"/>
      <c r="L215" s="32"/>
      <c r="M215" s="29"/>
      <c r="N215" s="33"/>
      <c r="O215" s="32"/>
      <c r="P215" s="34"/>
      <c r="Q215" s="34"/>
      <c r="R215" s="34"/>
      <c r="S215" s="32"/>
      <c r="T215" s="32"/>
      <c r="U215" s="32"/>
      <c r="V215" s="32"/>
      <c r="W215" s="32"/>
    </row>
    <row r="216" spans="3:23" x14ac:dyDescent="0.25">
      <c r="C216" s="1"/>
      <c r="D216" s="29"/>
      <c r="E216" s="29"/>
      <c r="F216" s="29"/>
      <c r="G216" s="29"/>
      <c r="H216" s="30"/>
      <c r="I216" s="31"/>
      <c r="J216" s="31"/>
      <c r="K216" s="29"/>
      <c r="L216" s="32"/>
      <c r="M216" s="29"/>
      <c r="N216" s="33"/>
      <c r="O216" s="32"/>
      <c r="P216" s="34"/>
      <c r="Q216" s="34"/>
      <c r="R216" s="34"/>
      <c r="S216" s="32"/>
      <c r="T216" s="32"/>
      <c r="U216" s="32"/>
      <c r="V216" s="32"/>
      <c r="W216" s="32"/>
    </row>
    <row r="217" spans="3:23" x14ac:dyDescent="0.25">
      <c r="C217" s="1"/>
      <c r="D217" s="29"/>
      <c r="E217" s="29"/>
      <c r="F217" s="29"/>
      <c r="G217" s="29"/>
      <c r="H217" s="30"/>
      <c r="I217" s="31"/>
      <c r="J217" s="31"/>
      <c r="K217" s="29"/>
      <c r="L217" s="32"/>
      <c r="M217" s="29"/>
      <c r="N217" s="33"/>
      <c r="O217" s="32"/>
      <c r="P217" s="34"/>
      <c r="Q217" s="34"/>
      <c r="R217" s="34"/>
      <c r="S217" s="32"/>
      <c r="T217" s="32"/>
      <c r="U217" s="32"/>
      <c r="V217" s="32"/>
      <c r="W217" s="32"/>
    </row>
    <row r="218" spans="3:23" x14ac:dyDescent="0.25">
      <c r="C218" s="1"/>
      <c r="D218" s="29"/>
      <c r="E218" s="29"/>
      <c r="F218" s="29"/>
      <c r="G218" s="29"/>
      <c r="H218" s="30"/>
      <c r="I218" s="31"/>
      <c r="J218" s="31"/>
      <c r="K218" s="29"/>
      <c r="L218" s="32"/>
      <c r="M218" s="29"/>
      <c r="N218" s="33"/>
      <c r="O218" s="32"/>
      <c r="P218" s="34"/>
      <c r="Q218" s="34"/>
      <c r="R218" s="34"/>
      <c r="S218" s="32"/>
      <c r="T218" s="32"/>
      <c r="U218" s="32"/>
      <c r="V218" s="32"/>
      <c r="W218" s="32"/>
    </row>
    <row r="219" spans="3:23" x14ac:dyDescent="0.25">
      <c r="C219" s="1"/>
      <c r="D219" s="29"/>
      <c r="E219" s="29"/>
      <c r="F219" s="29"/>
      <c r="G219" s="29"/>
      <c r="H219" s="30"/>
      <c r="I219" s="31"/>
      <c r="J219" s="31"/>
      <c r="K219" s="29"/>
      <c r="L219" s="32"/>
      <c r="M219" s="29"/>
      <c r="N219" s="33"/>
      <c r="O219" s="32"/>
      <c r="P219" s="34"/>
      <c r="Q219" s="34"/>
      <c r="R219" s="34"/>
      <c r="S219" s="32"/>
      <c r="T219" s="32"/>
      <c r="U219" s="32"/>
      <c r="V219" s="32"/>
      <c r="W219" s="32"/>
    </row>
    <row r="220" spans="3:23" x14ac:dyDescent="0.25">
      <c r="C220" s="1"/>
      <c r="D220" s="29"/>
      <c r="E220" s="29"/>
      <c r="F220" s="29"/>
      <c r="G220" s="29"/>
      <c r="H220" s="30"/>
      <c r="I220" s="31"/>
      <c r="J220" s="31"/>
      <c r="K220" s="29"/>
      <c r="L220" s="32"/>
      <c r="M220" s="29"/>
      <c r="N220" s="33"/>
      <c r="O220" s="32"/>
      <c r="P220" s="34"/>
      <c r="Q220" s="34"/>
      <c r="R220" s="34"/>
      <c r="S220" s="32"/>
      <c r="T220" s="32"/>
      <c r="U220" s="32"/>
      <c r="V220" s="32"/>
      <c r="W220" s="32"/>
    </row>
    <row r="221" spans="3:23" x14ac:dyDescent="0.25">
      <c r="C221" s="1"/>
      <c r="D221" s="29"/>
      <c r="E221" s="29"/>
      <c r="F221" s="29"/>
      <c r="G221" s="29"/>
      <c r="H221" s="30"/>
      <c r="I221" s="31"/>
      <c r="J221" s="31"/>
      <c r="K221" s="29"/>
      <c r="L221" s="32"/>
      <c r="M221" s="29"/>
      <c r="N221" s="33"/>
      <c r="O221" s="32"/>
      <c r="P221" s="34"/>
      <c r="Q221" s="34"/>
      <c r="R221" s="34"/>
      <c r="S221" s="32"/>
      <c r="T221" s="32"/>
      <c r="U221" s="32"/>
      <c r="V221" s="32"/>
      <c r="W221" s="32"/>
    </row>
    <row r="222" spans="3:23" x14ac:dyDescent="0.25">
      <c r="C222" s="1"/>
      <c r="D222" s="29"/>
      <c r="E222" s="29"/>
      <c r="F222" s="29"/>
      <c r="G222" s="29"/>
      <c r="H222" s="30"/>
      <c r="I222" s="31"/>
      <c r="J222" s="31"/>
      <c r="K222" s="29"/>
      <c r="L222" s="32"/>
      <c r="M222" s="29"/>
      <c r="N222" s="33"/>
      <c r="O222" s="32"/>
      <c r="P222" s="34"/>
      <c r="Q222" s="34"/>
      <c r="R222" s="34"/>
      <c r="S222" s="32"/>
      <c r="T222" s="32"/>
      <c r="U222" s="32"/>
      <c r="V222" s="32"/>
      <c r="W222" s="32"/>
    </row>
    <row r="223" spans="3:23" x14ac:dyDescent="0.25">
      <c r="C223" s="1"/>
      <c r="D223" s="29"/>
      <c r="E223" s="29"/>
      <c r="F223" s="29"/>
      <c r="G223" s="29"/>
      <c r="H223" s="30"/>
      <c r="I223" s="31"/>
      <c r="J223" s="31"/>
      <c r="K223" s="29"/>
      <c r="L223" s="32"/>
      <c r="M223" s="29"/>
      <c r="N223" s="33"/>
      <c r="O223" s="32"/>
      <c r="P223" s="34"/>
      <c r="Q223" s="34"/>
      <c r="R223" s="34"/>
      <c r="S223" s="32"/>
      <c r="T223" s="32"/>
      <c r="U223" s="32"/>
      <c r="V223" s="32"/>
      <c r="W223" s="32"/>
    </row>
    <row r="224" spans="3:23" x14ac:dyDescent="0.25">
      <c r="C224" s="1"/>
      <c r="D224" s="29"/>
      <c r="E224" s="29"/>
      <c r="F224" s="29"/>
      <c r="G224" s="29"/>
      <c r="H224" s="30"/>
      <c r="I224" s="31"/>
      <c r="J224" s="31"/>
      <c r="K224" s="29"/>
      <c r="L224" s="32"/>
      <c r="M224" s="29"/>
      <c r="N224" s="33"/>
      <c r="O224" s="32"/>
      <c r="P224" s="34"/>
      <c r="Q224" s="34"/>
      <c r="R224" s="34"/>
      <c r="S224" s="32"/>
      <c r="T224" s="32"/>
      <c r="U224" s="32"/>
      <c r="V224" s="32"/>
      <c r="W224" s="32"/>
    </row>
    <row r="225" spans="3:23" x14ac:dyDescent="0.25">
      <c r="C225" s="1"/>
      <c r="D225" s="29"/>
      <c r="E225" s="29"/>
      <c r="F225" s="29"/>
      <c r="G225" s="29"/>
      <c r="H225" s="30"/>
      <c r="I225" s="31"/>
      <c r="J225" s="31"/>
      <c r="K225" s="29"/>
      <c r="L225" s="32"/>
      <c r="M225" s="29"/>
      <c r="N225" s="33"/>
      <c r="O225" s="32"/>
      <c r="P225" s="34"/>
      <c r="Q225" s="34"/>
      <c r="R225" s="34"/>
      <c r="S225" s="32"/>
      <c r="T225" s="32"/>
      <c r="U225" s="32"/>
      <c r="V225" s="32"/>
      <c r="W225" s="32"/>
    </row>
    <row r="226" spans="3:23" x14ac:dyDescent="0.25">
      <c r="C226" s="1"/>
      <c r="D226" s="29"/>
      <c r="E226" s="29"/>
      <c r="F226" s="29"/>
      <c r="G226" s="29"/>
      <c r="H226" s="30"/>
      <c r="I226" s="31"/>
      <c r="J226" s="31"/>
      <c r="K226" s="29"/>
      <c r="L226" s="32"/>
      <c r="M226" s="29"/>
      <c r="N226" s="33"/>
      <c r="O226" s="32"/>
      <c r="P226" s="34"/>
      <c r="Q226" s="34"/>
      <c r="R226" s="34"/>
      <c r="S226" s="32"/>
      <c r="T226" s="32"/>
      <c r="U226" s="32"/>
      <c r="V226" s="32"/>
      <c r="W226" s="32"/>
    </row>
    <row r="227" spans="3:23" x14ac:dyDescent="0.25">
      <c r="C227" s="1"/>
      <c r="D227" s="29"/>
      <c r="E227" s="29"/>
      <c r="F227" s="29"/>
      <c r="G227" s="29"/>
      <c r="H227" s="30"/>
      <c r="I227" s="31"/>
      <c r="J227" s="31"/>
      <c r="K227" s="29"/>
      <c r="L227" s="32"/>
      <c r="M227" s="29"/>
      <c r="N227" s="33"/>
      <c r="O227" s="32"/>
      <c r="P227" s="34"/>
      <c r="Q227" s="34"/>
      <c r="R227" s="34"/>
      <c r="S227" s="32"/>
      <c r="T227" s="32"/>
      <c r="U227" s="32"/>
      <c r="V227" s="32"/>
      <c r="W227" s="32"/>
    </row>
    <row r="228" spans="3:23" x14ac:dyDescent="0.25">
      <c r="C228" s="1"/>
      <c r="D228" s="29"/>
      <c r="E228" s="29"/>
      <c r="F228" s="29"/>
      <c r="G228" s="29"/>
      <c r="H228" s="30"/>
      <c r="I228" s="31"/>
      <c r="J228" s="31"/>
      <c r="K228" s="29"/>
      <c r="L228" s="32"/>
      <c r="M228" s="29"/>
      <c r="N228" s="33"/>
      <c r="O228" s="32"/>
      <c r="P228" s="34"/>
      <c r="Q228" s="34"/>
      <c r="R228" s="34"/>
      <c r="S228" s="32"/>
      <c r="T228" s="32"/>
      <c r="U228" s="32"/>
      <c r="V228" s="32"/>
      <c r="W228" s="32"/>
    </row>
    <row r="229" spans="3:23" x14ac:dyDescent="0.25">
      <c r="C229" s="1"/>
      <c r="D229" s="29"/>
      <c r="E229" s="29"/>
      <c r="F229" s="29"/>
      <c r="G229" s="29"/>
      <c r="H229" s="30"/>
      <c r="I229" s="31"/>
      <c r="J229" s="31"/>
      <c r="K229" s="29"/>
      <c r="L229" s="32"/>
      <c r="M229" s="29"/>
      <c r="N229" s="33"/>
      <c r="O229" s="32"/>
      <c r="P229" s="34"/>
      <c r="Q229" s="34"/>
      <c r="R229" s="34"/>
      <c r="S229" s="32"/>
      <c r="T229" s="32"/>
      <c r="U229" s="32"/>
      <c r="V229" s="32"/>
      <c r="W229" s="32"/>
    </row>
    <row r="230" spans="3:23" x14ac:dyDescent="0.25">
      <c r="C230" s="1"/>
      <c r="D230" s="29"/>
      <c r="E230" s="29"/>
      <c r="F230" s="29"/>
      <c r="G230" s="29"/>
      <c r="H230" s="30"/>
      <c r="I230" s="31"/>
      <c r="J230" s="31"/>
      <c r="K230" s="29"/>
      <c r="L230" s="32"/>
      <c r="M230" s="29"/>
      <c r="N230" s="33"/>
      <c r="O230" s="32"/>
      <c r="P230" s="34"/>
      <c r="Q230" s="34"/>
      <c r="R230" s="34"/>
      <c r="S230" s="32"/>
      <c r="T230" s="32"/>
      <c r="U230" s="32"/>
      <c r="V230" s="32"/>
      <c r="W230" s="32"/>
    </row>
    <row r="231" spans="3:23" x14ac:dyDescent="0.25">
      <c r="C231" s="1"/>
      <c r="D231" s="29"/>
      <c r="E231" s="29"/>
      <c r="F231" s="29"/>
      <c r="G231" s="29"/>
      <c r="H231" s="30"/>
      <c r="I231" s="31"/>
      <c r="J231" s="31"/>
      <c r="K231" s="29"/>
      <c r="L231" s="32"/>
      <c r="M231" s="29"/>
      <c r="N231" s="33"/>
      <c r="O231" s="32"/>
      <c r="P231" s="34"/>
      <c r="Q231" s="34"/>
      <c r="R231" s="34"/>
      <c r="S231" s="32"/>
      <c r="T231" s="32"/>
      <c r="U231" s="32"/>
      <c r="V231" s="32"/>
      <c r="W231" s="32"/>
    </row>
    <row r="232" spans="3:23" x14ac:dyDescent="0.25">
      <c r="C232" s="1"/>
      <c r="D232" s="29"/>
      <c r="E232" s="29"/>
      <c r="F232" s="29"/>
      <c r="G232" s="29"/>
      <c r="H232" s="30"/>
      <c r="I232" s="31"/>
      <c r="J232" s="31"/>
      <c r="K232" s="29"/>
      <c r="L232" s="32"/>
      <c r="M232" s="29"/>
      <c r="N232" s="33"/>
      <c r="O232" s="32"/>
      <c r="P232" s="34"/>
      <c r="Q232" s="34"/>
      <c r="R232" s="34"/>
      <c r="S232" s="32"/>
      <c r="T232" s="32"/>
      <c r="U232" s="32"/>
      <c r="V232" s="32"/>
      <c r="W232" s="32"/>
    </row>
    <row r="233" spans="3:23" x14ac:dyDescent="0.25">
      <c r="C233" s="1"/>
      <c r="D233" s="29"/>
      <c r="E233" s="29"/>
      <c r="F233" s="29"/>
      <c r="G233" s="29"/>
      <c r="H233" s="30"/>
      <c r="I233" s="31"/>
      <c r="J233" s="31"/>
      <c r="K233" s="29"/>
      <c r="L233" s="32"/>
      <c r="M233" s="29"/>
      <c r="N233" s="33"/>
      <c r="O233" s="32"/>
      <c r="P233" s="34"/>
      <c r="Q233" s="34"/>
      <c r="R233" s="34"/>
      <c r="S233" s="32"/>
      <c r="T233" s="32"/>
      <c r="U233" s="32"/>
      <c r="V233" s="32"/>
      <c r="W233" s="32"/>
    </row>
    <row r="234" spans="3:23" x14ac:dyDescent="0.25">
      <c r="C234" s="1"/>
      <c r="D234" s="29"/>
      <c r="E234" s="29"/>
      <c r="F234" s="29"/>
      <c r="G234" s="29"/>
      <c r="H234" s="30"/>
      <c r="I234" s="31"/>
      <c r="J234" s="31"/>
      <c r="K234" s="29"/>
      <c r="L234" s="32"/>
      <c r="M234" s="29"/>
      <c r="N234" s="33"/>
      <c r="O234" s="32"/>
      <c r="P234" s="34"/>
      <c r="Q234" s="34"/>
      <c r="R234" s="34"/>
      <c r="S234" s="32"/>
      <c r="T234" s="32"/>
      <c r="U234" s="32"/>
      <c r="V234" s="32"/>
      <c r="W234" s="32"/>
    </row>
    <row r="235" spans="3:23" x14ac:dyDescent="0.25">
      <c r="C235" s="1"/>
      <c r="D235" s="29"/>
      <c r="E235" s="29"/>
      <c r="F235" s="29"/>
      <c r="G235" s="29"/>
      <c r="H235" s="30"/>
      <c r="I235" s="31"/>
      <c r="J235" s="31"/>
      <c r="K235" s="29"/>
      <c r="L235" s="32"/>
      <c r="M235" s="29"/>
      <c r="N235" s="33"/>
      <c r="O235" s="32"/>
      <c r="P235" s="34"/>
      <c r="Q235" s="34"/>
      <c r="R235" s="34"/>
      <c r="S235" s="32"/>
      <c r="T235" s="32"/>
      <c r="U235" s="32"/>
      <c r="V235" s="32"/>
      <c r="W235" s="32"/>
    </row>
    <row r="236" spans="3:23" x14ac:dyDescent="0.25">
      <c r="C236" s="1"/>
      <c r="D236" s="29"/>
      <c r="E236" s="29"/>
      <c r="F236" s="29"/>
      <c r="G236" s="29"/>
      <c r="H236" s="30"/>
      <c r="I236" s="31"/>
      <c r="J236" s="31"/>
      <c r="K236" s="29"/>
      <c r="L236" s="32"/>
      <c r="M236" s="29"/>
      <c r="N236" s="33"/>
      <c r="O236" s="32"/>
      <c r="P236" s="34"/>
      <c r="Q236" s="34"/>
      <c r="R236" s="34"/>
      <c r="S236" s="32"/>
      <c r="T236" s="32"/>
      <c r="U236" s="32"/>
      <c r="V236" s="32"/>
      <c r="W236" s="32"/>
    </row>
    <row r="237" spans="3:23" x14ac:dyDescent="0.25">
      <c r="C237" s="1"/>
      <c r="D237" s="29"/>
      <c r="E237" s="29"/>
      <c r="F237" s="29"/>
      <c r="G237" s="29"/>
      <c r="H237" s="30"/>
      <c r="I237" s="31"/>
      <c r="J237" s="31"/>
      <c r="K237" s="29"/>
      <c r="L237" s="32"/>
      <c r="M237" s="29"/>
      <c r="N237" s="33"/>
      <c r="O237" s="32"/>
      <c r="P237" s="34"/>
      <c r="Q237" s="34"/>
      <c r="R237" s="34"/>
      <c r="S237" s="32"/>
      <c r="T237" s="32"/>
      <c r="U237" s="32"/>
      <c r="V237" s="32"/>
      <c r="W237" s="32"/>
    </row>
    <row r="238" spans="3:23" x14ac:dyDescent="0.25">
      <c r="C238" s="1"/>
      <c r="D238" s="29"/>
      <c r="E238" s="29"/>
      <c r="F238" s="29"/>
      <c r="G238" s="29"/>
      <c r="H238" s="30"/>
      <c r="I238" s="31"/>
      <c r="J238" s="31"/>
      <c r="K238" s="29"/>
      <c r="L238" s="32"/>
      <c r="M238" s="29"/>
      <c r="N238" s="33"/>
      <c r="O238" s="32"/>
      <c r="P238" s="34"/>
      <c r="Q238" s="34"/>
      <c r="R238" s="34"/>
      <c r="S238" s="32"/>
      <c r="T238" s="32"/>
      <c r="U238" s="32"/>
      <c r="V238" s="32"/>
      <c r="W238" s="32"/>
    </row>
    <row r="239" spans="3:23" x14ac:dyDescent="0.25">
      <c r="C239" s="1"/>
      <c r="D239" s="29"/>
      <c r="E239" s="29"/>
      <c r="F239" s="29"/>
      <c r="G239" s="29"/>
      <c r="H239" s="30"/>
      <c r="I239" s="31"/>
      <c r="J239" s="31"/>
      <c r="K239" s="29"/>
      <c r="L239" s="32"/>
      <c r="M239" s="29"/>
      <c r="N239" s="33"/>
      <c r="O239" s="32"/>
      <c r="P239" s="34"/>
      <c r="Q239" s="34"/>
      <c r="R239" s="34"/>
      <c r="S239" s="32"/>
      <c r="T239" s="32"/>
      <c r="U239" s="32"/>
      <c r="V239" s="32"/>
      <c r="W239" s="32"/>
    </row>
    <row r="240" spans="3:23" x14ac:dyDescent="0.25">
      <c r="C240" s="1"/>
      <c r="D240" s="29"/>
      <c r="E240" s="29"/>
      <c r="F240" s="29"/>
      <c r="G240" s="29"/>
      <c r="H240" s="30"/>
      <c r="I240" s="31"/>
      <c r="J240" s="31"/>
      <c r="K240" s="29"/>
      <c r="L240" s="32"/>
      <c r="M240" s="29"/>
      <c r="N240" s="33"/>
      <c r="O240" s="32"/>
      <c r="P240" s="34"/>
      <c r="Q240" s="34"/>
      <c r="R240" s="34"/>
      <c r="S240" s="32"/>
      <c r="T240" s="32"/>
      <c r="U240" s="32"/>
      <c r="V240" s="32"/>
      <c r="W240" s="32"/>
    </row>
    <row r="241" spans="3:23" x14ac:dyDescent="0.25">
      <c r="C241" s="1"/>
      <c r="D241" s="29"/>
      <c r="E241" s="29"/>
      <c r="F241" s="29"/>
      <c r="G241" s="29"/>
      <c r="H241" s="30"/>
      <c r="I241" s="31"/>
      <c r="J241" s="31"/>
      <c r="K241" s="29"/>
      <c r="L241" s="32"/>
      <c r="M241" s="29"/>
      <c r="N241" s="33"/>
      <c r="O241" s="32"/>
      <c r="P241" s="34"/>
      <c r="Q241" s="34"/>
      <c r="R241" s="34"/>
      <c r="S241" s="32"/>
      <c r="T241" s="32"/>
      <c r="U241" s="32"/>
      <c r="V241" s="32"/>
      <c r="W241" s="32"/>
    </row>
    <row r="242" spans="3:23" x14ac:dyDescent="0.25">
      <c r="C242" s="1"/>
      <c r="D242" s="29"/>
      <c r="E242" s="29"/>
      <c r="F242" s="29"/>
      <c r="G242" s="29"/>
      <c r="H242" s="30"/>
      <c r="I242" s="31"/>
      <c r="J242" s="31"/>
      <c r="K242" s="29"/>
      <c r="L242" s="32"/>
      <c r="M242" s="29"/>
      <c r="N242" s="33"/>
      <c r="O242" s="32"/>
      <c r="P242" s="34"/>
      <c r="Q242" s="34"/>
      <c r="R242" s="34"/>
      <c r="S242" s="32"/>
      <c r="T242" s="32"/>
      <c r="U242" s="32"/>
      <c r="V242" s="32"/>
      <c r="W242" s="32"/>
    </row>
    <row r="243" spans="3:23" x14ac:dyDescent="0.25">
      <c r="C243" s="1"/>
      <c r="D243" s="29"/>
      <c r="E243" s="29"/>
      <c r="F243" s="29"/>
      <c r="G243" s="29"/>
      <c r="H243" s="30"/>
      <c r="I243" s="31"/>
      <c r="J243" s="31"/>
      <c r="K243" s="29"/>
      <c r="L243" s="32"/>
      <c r="M243" s="29"/>
      <c r="N243" s="33"/>
      <c r="O243" s="32"/>
      <c r="P243" s="34"/>
      <c r="Q243" s="34"/>
      <c r="R243" s="34"/>
      <c r="S243" s="32"/>
      <c r="T243" s="32"/>
      <c r="U243" s="32"/>
      <c r="V243" s="32"/>
      <c r="W243" s="32"/>
    </row>
    <row r="244" spans="3:23" x14ac:dyDescent="0.25">
      <c r="C244" s="1"/>
      <c r="D244" s="29"/>
      <c r="E244" s="29"/>
      <c r="F244" s="29"/>
      <c r="G244" s="29"/>
      <c r="H244" s="30"/>
      <c r="I244" s="31"/>
      <c r="J244" s="31"/>
      <c r="K244" s="29"/>
      <c r="L244" s="32"/>
      <c r="M244" s="29"/>
      <c r="N244" s="33"/>
      <c r="O244" s="32"/>
      <c r="P244" s="34"/>
      <c r="Q244" s="34"/>
      <c r="R244" s="34"/>
      <c r="S244" s="32"/>
      <c r="T244" s="32"/>
      <c r="U244" s="32"/>
      <c r="V244" s="32"/>
      <c r="W244" s="32"/>
    </row>
    <row r="245" spans="3:23" x14ac:dyDescent="0.25">
      <c r="C245" s="1"/>
      <c r="D245" s="29"/>
      <c r="E245" s="29"/>
      <c r="F245" s="29"/>
      <c r="G245" s="29"/>
      <c r="H245" s="30"/>
      <c r="I245" s="31"/>
      <c r="J245" s="31"/>
      <c r="K245" s="29"/>
      <c r="L245" s="32"/>
      <c r="M245" s="29"/>
      <c r="N245" s="33"/>
      <c r="O245" s="32"/>
      <c r="P245" s="34"/>
      <c r="Q245" s="34"/>
      <c r="R245" s="34"/>
      <c r="S245" s="32"/>
      <c r="T245" s="32"/>
      <c r="U245" s="32"/>
      <c r="V245" s="32"/>
      <c r="W245" s="32"/>
    </row>
    <row r="246" spans="3:23" x14ac:dyDescent="0.25">
      <c r="C246" s="1"/>
      <c r="D246" s="29"/>
      <c r="E246" s="29"/>
      <c r="F246" s="29"/>
      <c r="G246" s="29"/>
      <c r="H246" s="30"/>
      <c r="I246" s="31"/>
      <c r="J246" s="31"/>
      <c r="K246" s="29"/>
      <c r="L246" s="32"/>
      <c r="M246" s="29"/>
      <c r="N246" s="33"/>
      <c r="O246" s="32"/>
      <c r="P246" s="34"/>
      <c r="Q246" s="34"/>
      <c r="R246" s="34"/>
      <c r="S246" s="32"/>
      <c r="T246" s="32"/>
      <c r="U246" s="32"/>
      <c r="V246" s="32"/>
      <c r="W246" s="32"/>
    </row>
    <row r="247" spans="3:23" x14ac:dyDescent="0.25">
      <c r="C247" s="1"/>
      <c r="D247" s="29"/>
      <c r="E247" s="29"/>
      <c r="F247" s="29"/>
      <c r="G247" s="29"/>
      <c r="H247" s="30"/>
      <c r="I247" s="31"/>
      <c r="J247" s="31"/>
      <c r="K247" s="29"/>
      <c r="L247" s="32"/>
      <c r="M247" s="29"/>
      <c r="N247" s="33"/>
      <c r="O247" s="32"/>
      <c r="P247" s="34"/>
      <c r="Q247" s="34"/>
      <c r="R247" s="34"/>
      <c r="S247" s="32"/>
      <c r="T247" s="32"/>
      <c r="U247" s="32"/>
      <c r="V247" s="32"/>
      <c r="W247" s="32"/>
    </row>
    <row r="248" spans="3:23" x14ac:dyDescent="0.25">
      <c r="C248" s="1"/>
      <c r="D248" s="29"/>
      <c r="E248" s="29"/>
      <c r="F248" s="29"/>
      <c r="G248" s="29"/>
      <c r="H248" s="30"/>
      <c r="I248" s="31"/>
      <c r="J248" s="31"/>
      <c r="K248" s="29"/>
      <c r="L248" s="32"/>
      <c r="M248" s="29"/>
      <c r="N248" s="33"/>
      <c r="O248" s="32"/>
      <c r="P248" s="34"/>
      <c r="Q248" s="34"/>
      <c r="R248" s="34"/>
      <c r="S248" s="32"/>
      <c r="T248" s="32"/>
      <c r="U248" s="32"/>
      <c r="V248" s="32"/>
      <c r="W248" s="32"/>
    </row>
    <row r="249" spans="3:23" x14ac:dyDescent="0.25">
      <c r="C249" s="1"/>
      <c r="D249" s="29"/>
      <c r="E249" s="29"/>
      <c r="F249" s="29"/>
      <c r="G249" s="29"/>
      <c r="H249" s="30"/>
      <c r="I249" s="31"/>
      <c r="J249" s="31"/>
      <c r="K249" s="29"/>
      <c r="L249" s="32"/>
      <c r="M249" s="29"/>
      <c r="N249" s="33"/>
      <c r="O249" s="32"/>
      <c r="P249" s="34"/>
      <c r="Q249" s="34"/>
      <c r="R249" s="34"/>
      <c r="S249" s="32"/>
      <c r="T249" s="32"/>
      <c r="U249" s="32"/>
      <c r="V249" s="32"/>
      <c r="W249" s="32"/>
    </row>
    <row r="250" spans="3:23" x14ac:dyDescent="0.25">
      <c r="C250" s="1"/>
      <c r="D250" s="29"/>
      <c r="E250" s="29"/>
      <c r="F250" s="29"/>
      <c r="G250" s="29"/>
      <c r="H250" s="30"/>
      <c r="I250" s="31"/>
      <c r="J250" s="31"/>
      <c r="K250" s="29"/>
      <c r="L250" s="32"/>
      <c r="M250" s="29"/>
      <c r="N250" s="33"/>
      <c r="O250" s="32"/>
      <c r="P250" s="34"/>
      <c r="Q250" s="34"/>
      <c r="R250" s="34"/>
      <c r="S250" s="32"/>
      <c r="T250" s="32"/>
      <c r="U250" s="32"/>
      <c r="V250" s="32"/>
      <c r="W250" s="32"/>
    </row>
    <row r="251" spans="3:23" x14ac:dyDescent="0.25">
      <c r="C251" s="1"/>
      <c r="D251" s="29"/>
      <c r="E251" s="29"/>
      <c r="F251" s="29"/>
      <c r="G251" s="29"/>
      <c r="H251" s="30"/>
      <c r="I251" s="31"/>
      <c r="J251" s="31"/>
      <c r="K251" s="29"/>
      <c r="L251" s="32"/>
      <c r="M251" s="29"/>
      <c r="N251" s="33"/>
      <c r="O251" s="32"/>
      <c r="P251" s="34"/>
      <c r="Q251" s="34"/>
      <c r="R251" s="34"/>
      <c r="S251" s="32"/>
      <c r="T251" s="32"/>
      <c r="U251" s="32"/>
      <c r="V251" s="32"/>
      <c r="W251" s="32"/>
    </row>
    <row r="252" spans="3:23" x14ac:dyDescent="0.25">
      <c r="C252" s="1"/>
      <c r="D252" s="29"/>
      <c r="E252" s="29"/>
      <c r="F252" s="29"/>
      <c r="G252" s="29"/>
      <c r="H252" s="30"/>
      <c r="I252" s="31"/>
      <c r="J252" s="31"/>
      <c r="K252" s="29"/>
      <c r="L252" s="32"/>
      <c r="M252" s="29"/>
      <c r="N252" s="33"/>
      <c r="O252" s="32"/>
      <c r="P252" s="34"/>
      <c r="Q252" s="34"/>
      <c r="R252" s="34"/>
      <c r="S252" s="32"/>
      <c r="T252" s="32"/>
      <c r="U252" s="32"/>
      <c r="V252" s="32"/>
      <c r="W252" s="32"/>
    </row>
    <row r="253" spans="3:23" x14ac:dyDescent="0.25">
      <c r="C253" s="1"/>
      <c r="D253" s="29"/>
      <c r="E253" s="29"/>
      <c r="F253" s="29"/>
      <c r="G253" s="29"/>
      <c r="H253" s="30"/>
      <c r="I253" s="31"/>
      <c r="J253" s="31"/>
      <c r="K253" s="29"/>
      <c r="L253" s="32"/>
      <c r="M253" s="29"/>
      <c r="N253" s="33"/>
      <c r="O253" s="32"/>
      <c r="P253" s="34"/>
      <c r="Q253" s="34"/>
      <c r="R253" s="34"/>
      <c r="S253" s="32"/>
      <c r="T253" s="32"/>
      <c r="U253" s="32"/>
      <c r="V253" s="32"/>
      <c r="W253" s="32"/>
    </row>
    <row r="254" spans="3:23" x14ac:dyDescent="0.25">
      <c r="C254" s="1"/>
      <c r="D254" s="29"/>
      <c r="E254" s="29"/>
      <c r="F254" s="29"/>
      <c r="G254" s="29"/>
      <c r="H254" s="30"/>
      <c r="I254" s="31"/>
      <c r="J254" s="31"/>
      <c r="K254" s="29"/>
      <c r="L254" s="32"/>
      <c r="M254" s="29"/>
      <c r="N254" s="33"/>
      <c r="O254" s="32"/>
      <c r="P254" s="34"/>
      <c r="Q254" s="34"/>
      <c r="R254" s="34"/>
      <c r="S254" s="32"/>
      <c r="T254" s="32"/>
      <c r="U254" s="32"/>
      <c r="V254" s="32"/>
      <c r="W254" s="32"/>
    </row>
    <row r="255" spans="3:23" x14ac:dyDescent="0.25">
      <c r="C255" s="1"/>
      <c r="D255" s="29"/>
      <c r="E255" s="29"/>
      <c r="F255" s="29"/>
      <c r="G255" s="29"/>
      <c r="H255" s="30"/>
      <c r="I255" s="31"/>
      <c r="J255" s="31"/>
      <c r="K255" s="29"/>
      <c r="L255" s="32"/>
      <c r="M255" s="29"/>
      <c r="N255" s="33"/>
      <c r="O255" s="32"/>
      <c r="P255" s="34"/>
      <c r="Q255" s="34"/>
      <c r="R255" s="34"/>
      <c r="S255" s="32"/>
      <c r="T255" s="32"/>
      <c r="U255" s="32"/>
      <c r="V255" s="32"/>
      <c r="W255" s="32"/>
    </row>
    <row r="256" spans="3:23" x14ac:dyDescent="0.25">
      <c r="C256" s="1"/>
      <c r="D256" s="29"/>
      <c r="E256" s="29"/>
      <c r="F256" s="29"/>
      <c r="G256" s="29"/>
      <c r="H256" s="30"/>
      <c r="I256" s="31"/>
      <c r="J256" s="31"/>
      <c r="K256" s="29"/>
      <c r="L256" s="32"/>
      <c r="M256" s="29"/>
      <c r="N256" s="33"/>
      <c r="O256" s="32"/>
      <c r="P256" s="34"/>
      <c r="Q256" s="34"/>
      <c r="R256" s="34"/>
      <c r="S256" s="32"/>
      <c r="T256" s="32"/>
      <c r="U256" s="32"/>
      <c r="V256" s="32"/>
      <c r="W256" s="32"/>
    </row>
    <row r="257" spans="3:23" x14ac:dyDescent="0.25">
      <c r="C257" s="1"/>
      <c r="D257" s="29"/>
      <c r="E257" s="29"/>
      <c r="F257" s="29"/>
      <c r="G257" s="29"/>
      <c r="H257" s="30"/>
      <c r="I257" s="31"/>
      <c r="J257" s="31"/>
      <c r="K257" s="29"/>
      <c r="L257" s="32"/>
      <c r="M257" s="29"/>
      <c r="N257" s="33"/>
      <c r="O257" s="32"/>
      <c r="P257" s="34"/>
      <c r="Q257" s="34"/>
      <c r="R257" s="34"/>
      <c r="S257" s="32"/>
      <c r="T257" s="32"/>
      <c r="U257" s="32"/>
      <c r="V257" s="32"/>
      <c r="W257" s="32"/>
    </row>
    <row r="258" spans="3:23" x14ac:dyDescent="0.25">
      <c r="C258" s="1"/>
      <c r="D258" s="29"/>
      <c r="E258" s="29"/>
      <c r="F258" s="29"/>
      <c r="G258" s="29"/>
      <c r="H258" s="30"/>
      <c r="I258" s="31"/>
      <c r="J258" s="31"/>
      <c r="K258" s="29"/>
      <c r="L258" s="32"/>
      <c r="M258" s="29"/>
      <c r="N258" s="33"/>
      <c r="O258" s="32"/>
      <c r="P258" s="34"/>
      <c r="Q258" s="34"/>
      <c r="R258" s="34"/>
      <c r="S258" s="32"/>
      <c r="T258" s="32"/>
      <c r="U258" s="32"/>
      <c r="V258" s="32"/>
      <c r="W258" s="32"/>
    </row>
    <row r="259" spans="3:23" x14ac:dyDescent="0.25">
      <c r="C259" s="1"/>
      <c r="D259" s="29"/>
      <c r="E259" s="29"/>
      <c r="F259" s="29"/>
      <c r="G259" s="29"/>
      <c r="H259" s="30"/>
      <c r="I259" s="31"/>
      <c r="J259" s="31"/>
      <c r="K259" s="29"/>
      <c r="L259" s="32"/>
      <c r="M259" s="29"/>
      <c r="N259" s="33"/>
      <c r="O259" s="32"/>
      <c r="P259" s="34"/>
      <c r="Q259" s="34"/>
      <c r="R259" s="34"/>
      <c r="S259" s="32"/>
      <c r="T259" s="32"/>
      <c r="U259" s="32"/>
      <c r="V259" s="32"/>
      <c r="W259" s="32"/>
    </row>
    <row r="260" spans="3:23" x14ac:dyDescent="0.25">
      <c r="C260" s="1"/>
      <c r="D260" s="29"/>
      <c r="E260" s="29"/>
      <c r="F260" s="29"/>
      <c r="G260" s="29"/>
      <c r="H260" s="30"/>
      <c r="I260" s="31"/>
      <c r="J260" s="31"/>
      <c r="K260" s="29"/>
      <c r="L260" s="32"/>
      <c r="M260" s="29"/>
      <c r="N260" s="33"/>
      <c r="O260" s="32"/>
      <c r="P260" s="34"/>
      <c r="Q260" s="34"/>
      <c r="R260" s="34"/>
      <c r="S260" s="32"/>
      <c r="T260" s="32"/>
      <c r="U260" s="32"/>
      <c r="V260" s="32"/>
      <c r="W260" s="32"/>
    </row>
    <row r="261" spans="3:23" x14ac:dyDescent="0.25">
      <c r="C261" s="1"/>
      <c r="D261" s="29"/>
      <c r="E261" s="29"/>
      <c r="F261" s="29"/>
      <c r="G261" s="29"/>
      <c r="H261" s="30"/>
      <c r="I261" s="31"/>
      <c r="J261" s="31"/>
      <c r="K261" s="29"/>
      <c r="L261" s="32"/>
      <c r="M261" s="29"/>
      <c r="N261" s="33"/>
      <c r="O261" s="32"/>
      <c r="P261" s="34"/>
      <c r="Q261" s="34"/>
      <c r="R261" s="34"/>
      <c r="S261" s="32"/>
      <c r="T261" s="32"/>
      <c r="U261" s="32"/>
      <c r="V261" s="32"/>
      <c r="W261" s="32"/>
    </row>
    <row r="262" spans="3:23" x14ac:dyDescent="0.25">
      <c r="C262" s="1"/>
      <c r="D262" s="29"/>
      <c r="E262" s="29"/>
      <c r="F262" s="29"/>
      <c r="G262" s="29"/>
      <c r="H262" s="30"/>
      <c r="I262" s="31"/>
      <c r="J262" s="31"/>
      <c r="K262" s="29"/>
      <c r="L262" s="32"/>
      <c r="M262" s="29"/>
      <c r="N262" s="33"/>
      <c r="O262" s="32"/>
      <c r="P262" s="34"/>
      <c r="Q262" s="34"/>
      <c r="R262" s="34"/>
      <c r="S262" s="32"/>
      <c r="T262" s="32"/>
      <c r="U262" s="32"/>
      <c r="V262" s="32"/>
      <c r="W262" s="32"/>
    </row>
    <row r="263" spans="3:23" x14ac:dyDescent="0.25">
      <c r="C263" s="1"/>
      <c r="D263" s="29"/>
      <c r="E263" s="29"/>
      <c r="F263" s="29"/>
      <c r="G263" s="29"/>
      <c r="H263" s="30"/>
      <c r="I263" s="31"/>
      <c r="J263" s="31"/>
      <c r="K263" s="29"/>
      <c r="L263" s="32"/>
      <c r="M263" s="29"/>
      <c r="N263" s="33"/>
      <c r="O263" s="32"/>
      <c r="P263" s="34"/>
      <c r="Q263" s="34"/>
      <c r="R263" s="34"/>
      <c r="S263" s="32"/>
      <c r="T263" s="32"/>
      <c r="U263" s="32"/>
      <c r="V263" s="32"/>
      <c r="W263" s="32"/>
    </row>
    <row r="264" spans="3:23" x14ac:dyDescent="0.25">
      <c r="C264" s="1"/>
      <c r="D264" s="29"/>
      <c r="E264" s="29"/>
      <c r="F264" s="29"/>
      <c r="G264" s="29"/>
      <c r="H264" s="30"/>
      <c r="I264" s="31"/>
      <c r="J264" s="31"/>
      <c r="K264" s="29"/>
      <c r="L264" s="32"/>
      <c r="M264" s="29"/>
      <c r="N264" s="33"/>
      <c r="O264" s="32"/>
      <c r="P264" s="34"/>
      <c r="Q264" s="34"/>
      <c r="R264" s="34"/>
      <c r="S264" s="32"/>
      <c r="T264" s="32"/>
      <c r="U264" s="32"/>
      <c r="V264" s="32"/>
      <c r="W264" s="32"/>
    </row>
    <row r="265" spans="3:23" x14ac:dyDescent="0.25">
      <c r="C265" s="1"/>
      <c r="D265" s="29"/>
      <c r="E265" s="29"/>
      <c r="F265" s="29"/>
      <c r="G265" s="29"/>
      <c r="H265" s="30"/>
      <c r="I265" s="31"/>
      <c r="J265" s="31"/>
      <c r="K265" s="29"/>
      <c r="L265" s="32"/>
      <c r="M265" s="29"/>
      <c r="N265" s="33"/>
      <c r="O265" s="32"/>
      <c r="P265" s="34"/>
      <c r="Q265" s="34"/>
      <c r="R265" s="34"/>
      <c r="S265" s="32"/>
      <c r="T265" s="32"/>
      <c r="U265" s="32"/>
      <c r="V265" s="32"/>
      <c r="W265" s="32"/>
    </row>
    <row r="266" spans="3:23" x14ac:dyDescent="0.25">
      <c r="C266" s="1"/>
      <c r="D266" s="29"/>
      <c r="E266" s="29"/>
      <c r="F266" s="29"/>
      <c r="G266" s="29"/>
      <c r="H266" s="30"/>
      <c r="I266" s="31"/>
      <c r="J266" s="31"/>
      <c r="K266" s="29"/>
      <c r="L266" s="32"/>
      <c r="M266" s="29"/>
      <c r="N266" s="33"/>
      <c r="O266" s="32"/>
      <c r="P266" s="34"/>
      <c r="Q266" s="34"/>
      <c r="R266" s="34"/>
      <c r="S266" s="32"/>
      <c r="T266" s="32"/>
      <c r="U266" s="32"/>
      <c r="V266" s="32"/>
      <c r="W266" s="32"/>
    </row>
    <row r="267" spans="3:23" x14ac:dyDescent="0.25">
      <c r="C267" s="1"/>
      <c r="D267" s="29"/>
      <c r="E267" s="29"/>
      <c r="F267" s="29"/>
      <c r="G267" s="29"/>
      <c r="H267" s="30"/>
      <c r="I267" s="31"/>
      <c r="J267" s="31"/>
      <c r="K267" s="29"/>
      <c r="L267" s="32"/>
      <c r="M267" s="29"/>
      <c r="N267" s="33"/>
      <c r="O267" s="32"/>
      <c r="P267" s="34"/>
      <c r="Q267" s="34"/>
      <c r="R267" s="34"/>
      <c r="S267" s="32"/>
      <c r="T267" s="32"/>
      <c r="U267" s="32"/>
      <c r="V267" s="32"/>
      <c r="W267" s="32"/>
    </row>
    <row r="268" spans="3:23" x14ac:dyDescent="0.25">
      <c r="C268" s="1"/>
      <c r="D268" s="29"/>
      <c r="E268" s="29"/>
      <c r="F268" s="29"/>
      <c r="G268" s="29"/>
      <c r="H268" s="30"/>
      <c r="I268" s="31"/>
      <c r="J268" s="31"/>
      <c r="K268" s="29"/>
      <c r="L268" s="32"/>
      <c r="M268" s="29"/>
      <c r="N268" s="33"/>
      <c r="O268" s="32"/>
      <c r="P268" s="34"/>
      <c r="Q268" s="34"/>
      <c r="R268" s="34"/>
      <c r="S268" s="32"/>
      <c r="T268" s="32"/>
      <c r="U268" s="32"/>
      <c r="V268" s="32"/>
      <c r="W268" s="32"/>
    </row>
    <row r="269" spans="3:23" x14ac:dyDescent="0.25">
      <c r="C269" s="1"/>
      <c r="D269" s="29"/>
      <c r="E269" s="29"/>
      <c r="F269" s="29"/>
      <c r="G269" s="29"/>
      <c r="H269" s="30"/>
      <c r="I269" s="31"/>
      <c r="J269" s="31"/>
      <c r="K269" s="29"/>
      <c r="L269" s="32"/>
      <c r="M269" s="29"/>
      <c r="N269" s="33"/>
      <c r="O269" s="32"/>
      <c r="P269" s="34"/>
      <c r="Q269" s="34"/>
      <c r="R269" s="34"/>
      <c r="S269" s="32"/>
      <c r="T269" s="32"/>
      <c r="U269" s="32"/>
      <c r="V269" s="32"/>
      <c r="W269" s="32"/>
    </row>
    <row r="270" spans="3:23" x14ac:dyDescent="0.25">
      <c r="C270" s="1"/>
      <c r="D270" s="29"/>
      <c r="E270" s="29"/>
      <c r="F270" s="29"/>
      <c r="G270" s="29"/>
      <c r="H270" s="30"/>
      <c r="I270" s="31"/>
      <c r="J270" s="31"/>
      <c r="K270" s="29"/>
      <c r="L270" s="32"/>
      <c r="M270" s="29"/>
      <c r="N270" s="33"/>
      <c r="O270" s="32"/>
      <c r="P270" s="34"/>
      <c r="Q270" s="34"/>
      <c r="R270" s="34"/>
      <c r="S270" s="32"/>
      <c r="T270" s="32"/>
      <c r="U270" s="32"/>
      <c r="V270" s="32"/>
      <c r="W270" s="32"/>
    </row>
    <row r="271" spans="3:23" x14ac:dyDescent="0.25">
      <c r="C271" s="1"/>
      <c r="D271" s="29"/>
      <c r="E271" s="29"/>
      <c r="F271" s="29"/>
      <c r="G271" s="29"/>
      <c r="H271" s="30"/>
      <c r="I271" s="31"/>
      <c r="J271" s="31"/>
      <c r="K271" s="29"/>
      <c r="L271" s="32"/>
      <c r="M271" s="29"/>
      <c r="N271" s="33"/>
      <c r="O271" s="32"/>
      <c r="P271" s="34"/>
      <c r="Q271" s="34"/>
      <c r="R271" s="34"/>
      <c r="S271" s="32"/>
      <c r="T271" s="32"/>
      <c r="U271" s="32"/>
      <c r="V271" s="32"/>
      <c r="W271" s="32"/>
    </row>
    <row r="272" spans="3:23" x14ac:dyDescent="0.25">
      <c r="C272" s="1"/>
      <c r="D272" s="29"/>
      <c r="E272" s="29"/>
      <c r="F272" s="29"/>
      <c r="G272" s="29"/>
      <c r="H272" s="30"/>
      <c r="I272" s="31"/>
      <c r="J272" s="31"/>
      <c r="K272" s="29"/>
      <c r="L272" s="32"/>
      <c r="M272" s="29"/>
      <c r="N272" s="33"/>
      <c r="O272" s="32"/>
      <c r="P272" s="34"/>
      <c r="Q272" s="34"/>
      <c r="R272" s="34"/>
      <c r="S272" s="32"/>
      <c r="T272" s="32"/>
      <c r="U272" s="32"/>
      <c r="V272" s="32"/>
      <c r="W272" s="32"/>
    </row>
    <row r="273" spans="3:23" x14ac:dyDescent="0.25">
      <c r="C273" s="1"/>
      <c r="D273" s="29"/>
      <c r="E273" s="29"/>
      <c r="F273" s="29"/>
      <c r="G273" s="29"/>
      <c r="H273" s="30"/>
      <c r="I273" s="31"/>
      <c r="J273" s="31"/>
      <c r="K273" s="29"/>
      <c r="L273" s="32"/>
      <c r="M273" s="29"/>
      <c r="N273" s="33"/>
      <c r="O273" s="32"/>
      <c r="P273" s="34"/>
      <c r="Q273" s="34"/>
      <c r="R273" s="34"/>
      <c r="S273" s="32"/>
      <c r="T273" s="32"/>
      <c r="U273" s="32"/>
      <c r="V273" s="32"/>
      <c r="W273" s="32"/>
    </row>
    <row r="274" spans="3:23" x14ac:dyDescent="0.25">
      <c r="C274" s="1"/>
      <c r="D274" s="29"/>
      <c r="E274" s="29"/>
      <c r="F274" s="29"/>
      <c r="G274" s="29"/>
      <c r="H274" s="30"/>
      <c r="I274" s="31"/>
      <c r="J274" s="31"/>
      <c r="K274" s="29"/>
      <c r="L274" s="32"/>
      <c r="M274" s="29"/>
      <c r="N274" s="33"/>
      <c r="O274" s="32"/>
      <c r="P274" s="34"/>
      <c r="Q274" s="34"/>
      <c r="R274" s="34"/>
      <c r="S274" s="32"/>
      <c r="T274" s="32"/>
      <c r="U274" s="32"/>
      <c r="V274" s="32"/>
      <c r="W274" s="32"/>
    </row>
    <row r="275" spans="3:23" x14ac:dyDescent="0.25">
      <c r="C275" s="1"/>
      <c r="D275" s="29"/>
      <c r="E275" s="29"/>
      <c r="F275" s="29"/>
      <c r="G275" s="29"/>
      <c r="H275" s="30"/>
      <c r="I275" s="31"/>
      <c r="J275" s="31"/>
      <c r="K275" s="29"/>
      <c r="L275" s="32"/>
      <c r="M275" s="29"/>
      <c r="N275" s="33"/>
      <c r="O275" s="32"/>
      <c r="P275" s="34"/>
      <c r="Q275" s="34"/>
      <c r="R275" s="34"/>
      <c r="S275" s="32"/>
      <c r="T275" s="32"/>
      <c r="U275" s="32"/>
      <c r="V275" s="32"/>
      <c r="W275" s="32"/>
    </row>
    <row r="276" spans="3:23" x14ac:dyDescent="0.25">
      <c r="C276" s="1"/>
      <c r="D276" s="29"/>
      <c r="E276" s="29"/>
      <c r="F276" s="29"/>
      <c r="G276" s="29"/>
      <c r="H276" s="30"/>
      <c r="I276" s="31"/>
      <c r="J276" s="31"/>
      <c r="K276" s="29"/>
      <c r="L276" s="32"/>
      <c r="M276" s="29"/>
      <c r="N276" s="33"/>
      <c r="O276" s="32"/>
      <c r="P276" s="34"/>
      <c r="Q276" s="34"/>
      <c r="R276" s="34"/>
      <c r="S276" s="32"/>
      <c r="T276" s="32"/>
      <c r="U276" s="32"/>
      <c r="V276" s="32"/>
      <c r="W276" s="32"/>
    </row>
    <row r="277" spans="3:23" x14ac:dyDescent="0.25">
      <c r="C277" s="1"/>
      <c r="D277" s="29"/>
      <c r="E277" s="29"/>
      <c r="F277" s="29"/>
      <c r="G277" s="29"/>
      <c r="H277" s="30"/>
      <c r="I277" s="31"/>
      <c r="J277" s="31"/>
      <c r="K277" s="29"/>
      <c r="L277" s="32"/>
      <c r="M277" s="29"/>
      <c r="N277" s="33"/>
      <c r="O277" s="32"/>
      <c r="P277" s="34"/>
      <c r="Q277" s="34"/>
      <c r="R277" s="34"/>
      <c r="S277" s="32"/>
      <c r="T277" s="32"/>
      <c r="U277" s="32"/>
      <c r="V277" s="32"/>
      <c r="W277" s="32"/>
    </row>
    <row r="278" spans="3:23" x14ac:dyDescent="0.25">
      <c r="C278" s="1"/>
      <c r="D278" s="29"/>
      <c r="E278" s="29"/>
      <c r="F278" s="29"/>
      <c r="G278" s="29"/>
      <c r="H278" s="30"/>
      <c r="I278" s="31"/>
      <c r="J278" s="31"/>
      <c r="K278" s="29"/>
      <c r="L278" s="32"/>
      <c r="M278" s="29"/>
      <c r="N278" s="33"/>
      <c r="O278" s="32"/>
      <c r="P278" s="34"/>
      <c r="Q278" s="34"/>
      <c r="R278" s="34"/>
      <c r="S278" s="32"/>
      <c r="T278" s="32"/>
      <c r="U278" s="32"/>
      <c r="V278" s="32"/>
      <c r="W278" s="32"/>
    </row>
    <row r="279" spans="3:23" x14ac:dyDescent="0.25">
      <c r="C279" s="1"/>
      <c r="D279" s="29"/>
      <c r="E279" s="29"/>
      <c r="F279" s="29"/>
      <c r="G279" s="29"/>
      <c r="H279" s="30"/>
      <c r="I279" s="31"/>
      <c r="J279" s="31"/>
      <c r="K279" s="29"/>
      <c r="L279" s="32"/>
      <c r="M279" s="29"/>
      <c r="N279" s="33"/>
      <c r="O279" s="32"/>
      <c r="P279" s="34"/>
      <c r="Q279" s="34"/>
      <c r="R279" s="34"/>
      <c r="S279" s="32"/>
      <c r="T279" s="32"/>
      <c r="U279" s="32"/>
      <c r="V279" s="32"/>
      <c r="W279" s="32"/>
    </row>
    <row r="280" spans="3:23" x14ac:dyDescent="0.25">
      <c r="C280" s="1"/>
      <c r="D280" s="29"/>
      <c r="E280" s="29"/>
      <c r="F280" s="29"/>
      <c r="G280" s="29"/>
      <c r="H280" s="30"/>
      <c r="I280" s="31"/>
      <c r="J280" s="31"/>
      <c r="K280" s="29"/>
      <c r="L280" s="32"/>
      <c r="M280" s="29"/>
      <c r="N280" s="33"/>
      <c r="O280" s="32"/>
      <c r="P280" s="34"/>
      <c r="Q280" s="34"/>
      <c r="R280" s="34"/>
      <c r="S280" s="32"/>
      <c r="T280" s="32"/>
      <c r="U280" s="32"/>
      <c r="V280" s="32"/>
      <c r="W280" s="32"/>
    </row>
    <row r="281" spans="3:23" x14ac:dyDescent="0.25">
      <c r="C281" s="1"/>
      <c r="D281" s="29"/>
      <c r="E281" s="29"/>
      <c r="F281" s="29"/>
      <c r="G281" s="29"/>
      <c r="H281" s="30"/>
      <c r="I281" s="31"/>
      <c r="J281" s="31"/>
      <c r="K281" s="29"/>
      <c r="L281" s="32"/>
      <c r="M281" s="29"/>
      <c r="N281" s="33"/>
      <c r="O281" s="32"/>
      <c r="P281" s="34"/>
      <c r="Q281" s="34"/>
      <c r="R281" s="34"/>
      <c r="S281" s="32"/>
      <c r="T281" s="32"/>
      <c r="U281" s="32"/>
      <c r="V281" s="32"/>
      <c r="W281" s="32"/>
    </row>
    <row r="282" spans="3:23" x14ac:dyDescent="0.25">
      <c r="C282" s="1"/>
      <c r="D282" s="29"/>
      <c r="E282" s="29"/>
      <c r="F282" s="29"/>
      <c r="G282" s="29"/>
      <c r="H282" s="30"/>
      <c r="I282" s="31"/>
      <c r="J282" s="31"/>
      <c r="K282" s="29"/>
      <c r="L282" s="32"/>
      <c r="M282" s="29"/>
      <c r="N282" s="33"/>
      <c r="O282" s="32"/>
      <c r="P282" s="34"/>
      <c r="Q282" s="34"/>
      <c r="R282" s="34"/>
      <c r="S282" s="32"/>
      <c r="T282" s="32"/>
      <c r="U282" s="32"/>
      <c r="V282" s="32"/>
      <c r="W282" s="32"/>
    </row>
    <row r="283" spans="3:23" x14ac:dyDescent="0.25">
      <c r="C283" s="1"/>
      <c r="D283" s="29"/>
      <c r="E283" s="29"/>
      <c r="F283" s="29"/>
      <c r="G283" s="29"/>
      <c r="H283" s="30"/>
      <c r="I283" s="31"/>
      <c r="J283" s="31"/>
      <c r="K283" s="29"/>
      <c r="L283" s="32"/>
      <c r="M283" s="29"/>
      <c r="N283" s="33"/>
      <c r="O283" s="32"/>
      <c r="P283" s="34"/>
      <c r="Q283" s="34"/>
      <c r="R283" s="34"/>
      <c r="S283" s="32"/>
      <c r="T283" s="32"/>
      <c r="U283" s="32"/>
      <c r="V283" s="32"/>
      <c r="W283" s="32"/>
    </row>
    <row r="284" spans="3:23" x14ac:dyDescent="0.25">
      <c r="C284" s="1"/>
      <c r="D284" s="29"/>
      <c r="E284" s="29"/>
      <c r="F284" s="29"/>
      <c r="G284" s="29"/>
      <c r="H284" s="30"/>
      <c r="I284" s="31"/>
      <c r="J284" s="31"/>
      <c r="K284" s="29"/>
      <c r="L284" s="32"/>
      <c r="M284" s="29"/>
      <c r="N284" s="33"/>
      <c r="O284" s="32"/>
      <c r="P284" s="34"/>
      <c r="Q284" s="34"/>
      <c r="R284" s="34"/>
      <c r="S284" s="32"/>
      <c r="T284" s="32"/>
      <c r="U284" s="32"/>
      <c r="V284" s="32"/>
      <c r="W284" s="32"/>
    </row>
    <row r="285" spans="3:23" x14ac:dyDescent="0.25">
      <c r="C285" s="1"/>
      <c r="D285" s="29"/>
      <c r="E285" s="29"/>
      <c r="F285" s="29"/>
      <c r="G285" s="29"/>
      <c r="H285" s="30"/>
      <c r="I285" s="31"/>
      <c r="J285" s="31"/>
      <c r="K285" s="29"/>
      <c r="L285" s="32"/>
      <c r="M285" s="29"/>
      <c r="N285" s="33"/>
      <c r="O285" s="32"/>
      <c r="P285" s="34"/>
      <c r="Q285" s="34"/>
      <c r="R285" s="34"/>
      <c r="S285" s="32"/>
      <c r="T285" s="32"/>
      <c r="U285" s="32"/>
      <c r="V285" s="32"/>
      <c r="W285" s="32"/>
    </row>
    <row r="286" spans="3:23" x14ac:dyDescent="0.25">
      <c r="C286" s="1"/>
      <c r="D286" s="29"/>
      <c r="E286" s="29"/>
      <c r="F286" s="29"/>
      <c r="G286" s="29"/>
      <c r="H286" s="30"/>
      <c r="I286" s="31"/>
      <c r="J286" s="31"/>
      <c r="K286" s="29"/>
      <c r="L286" s="32"/>
      <c r="M286" s="29"/>
      <c r="N286" s="33"/>
      <c r="O286" s="32"/>
      <c r="P286" s="34"/>
      <c r="Q286" s="34"/>
      <c r="R286" s="34"/>
      <c r="S286" s="32"/>
      <c r="T286" s="32"/>
      <c r="U286" s="32"/>
      <c r="V286" s="32"/>
      <c r="W286" s="32"/>
    </row>
    <row r="287" spans="3:23" x14ac:dyDescent="0.25">
      <c r="C287" s="1"/>
      <c r="D287" s="29"/>
      <c r="E287" s="29"/>
      <c r="F287" s="29"/>
      <c r="G287" s="29"/>
      <c r="H287" s="30"/>
      <c r="I287" s="31"/>
      <c r="J287" s="31"/>
      <c r="K287" s="29"/>
      <c r="L287" s="32"/>
      <c r="M287" s="29"/>
      <c r="N287" s="33"/>
      <c r="O287" s="32"/>
      <c r="P287" s="34"/>
      <c r="Q287" s="34"/>
      <c r="R287" s="34"/>
      <c r="S287" s="32"/>
      <c r="T287" s="32"/>
      <c r="U287" s="32"/>
      <c r="V287" s="32"/>
      <c r="W287" s="32"/>
    </row>
    <row r="288" spans="3:23" x14ac:dyDescent="0.25">
      <c r="C288" s="1"/>
      <c r="D288" s="29"/>
      <c r="E288" s="29"/>
      <c r="F288" s="29"/>
      <c r="G288" s="29"/>
      <c r="H288" s="30"/>
      <c r="I288" s="31"/>
      <c r="J288" s="31"/>
      <c r="K288" s="29"/>
      <c r="L288" s="32"/>
      <c r="M288" s="29"/>
      <c r="N288" s="33"/>
      <c r="O288" s="32"/>
      <c r="P288" s="34"/>
      <c r="Q288" s="34"/>
      <c r="R288" s="34"/>
      <c r="S288" s="32"/>
      <c r="T288" s="32"/>
      <c r="U288" s="32"/>
      <c r="V288" s="32"/>
      <c r="W288" s="32"/>
    </row>
    <row r="289" spans="3:23" x14ac:dyDescent="0.25">
      <c r="C289" s="1"/>
      <c r="D289" s="29"/>
      <c r="E289" s="29"/>
      <c r="F289" s="29"/>
      <c r="G289" s="29"/>
      <c r="H289" s="30"/>
      <c r="I289" s="31"/>
      <c r="J289" s="31"/>
      <c r="K289" s="29"/>
      <c r="L289" s="32"/>
      <c r="M289" s="29"/>
      <c r="N289" s="33"/>
      <c r="O289" s="32"/>
      <c r="P289" s="34"/>
      <c r="Q289" s="34"/>
      <c r="R289" s="34"/>
      <c r="S289" s="32"/>
      <c r="T289" s="32"/>
      <c r="U289" s="32"/>
      <c r="V289" s="32"/>
      <c r="W289" s="32"/>
    </row>
    <row r="290" spans="3:23" x14ac:dyDescent="0.25">
      <c r="C290" s="1"/>
      <c r="D290" s="29"/>
      <c r="E290" s="29"/>
      <c r="F290" s="29"/>
      <c r="G290" s="29"/>
      <c r="H290" s="30"/>
      <c r="I290" s="31"/>
      <c r="J290" s="31"/>
      <c r="K290" s="29"/>
      <c r="L290" s="32"/>
      <c r="M290" s="29"/>
      <c r="N290" s="33"/>
      <c r="O290" s="32"/>
      <c r="P290" s="34"/>
      <c r="Q290" s="34"/>
      <c r="R290" s="34"/>
      <c r="S290" s="32"/>
      <c r="T290" s="32"/>
      <c r="U290" s="32"/>
      <c r="V290" s="32"/>
      <c r="W290" s="32"/>
    </row>
    <row r="291" spans="3:23" x14ac:dyDescent="0.25">
      <c r="C291" s="1"/>
      <c r="D291" s="29"/>
      <c r="E291" s="29"/>
      <c r="F291" s="29"/>
      <c r="G291" s="29"/>
      <c r="H291" s="30"/>
      <c r="I291" s="31"/>
      <c r="J291" s="31"/>
      <c r="K291" s="29"/>
      <c r="L291" s="32"/>
      <c r="M291" s="29"/>
      <c r="N291" s="33"/>
      <c r="O291" s="32"/>
      <c r="P291" s="34"/>
      <c r="Q291" s="34"/>
      <c r="R291" s="34"/>
      <c r="S291" s="32"/>
      <c r="T291" s="32"/>
      <c r="U291" s="32"/>
      <c r="V291" s="32"/>
      <c r="W291" s="32"/>
    </row>
    <row r="292" spans="3:23" x14ac:dyDescent="0.25">
      <c r="C292" s="1"/>
      <c r="D292" s="29"/>
      <c r="E292" s="29"/>
      <c r="F292" s="29"/>
      <c r="G292" s="29"/>
      <c r="H292" s="30"/>
      <c r="I292" s="31"/>
      <c r="J292" s="31"/>
      <c r="K292" s="29"/>
      <c r="L292" s="32"/>
      <c r="M292" s="29"/>
      <c r="N292" s="33"/>
      <c r="O292" s="32"/>
      <c r="P292" s="34"/>
      <c r="Q292" s="34"/>
      <c r="R292" s="34"/>
      <c r="S292" s="32"/>
      <c r="T292" s="32"/>
      <c r="U292" s="32"/>
      <c r="V292" s="32"/>
      <c r="W292" s="32"/>
    </row>
    <row r="293" spans="3:23" x14ac:dyDescent="0.25">
      <c r="C293" s="1"/>
      <c r="D293" s="29"/>
      <c r="E293" s="29"/>
      <c r="F293" s="29"/>
      <c r="G293" s="29"/>
      <c r="H293" s="30"/>
      <c r="I293" s="31"/>
      <c r="J293" s="31"/>
      <c r="K293" s="29"/>
      <c r="L293" s="32"/>
      <c r="M293" s="29"/>
      <c r="N293" s="33"/>
      <c r="O293" s="32"/>
      <c r="P293" s="34"/>
      <c r="Q293" s="34"/>
      <c r="R293" s="34"/>
      <c r="S293" s="32"/>
      <c r="T293" s="32"/>
      <c r="U293" s="32"/>
      <c r="V293" s="32"/>
      <c r="W293" s="32"/>
    </row>
    <row r="294" spans="3:23" x14ac:dyDescent="0.25">
      <c r="C294" s="1"/>
      <c r="D294" s="29"/>
      <c r="E294" s="29"/>
      <c r="F294" s="29"/>
      <c r="G294" s="29"/>
      <c r="H294" s="30"/>
      <c r="I294" s="31"/>
      <c r="J294" s="31"/>
      <c r="K294" s="29"/>
      <c r="L294" s="32"/>
      <c r="M294" s="29"/>
      <c r="N294" s="33"/>
      <c r="O294" s="32"/>
      <c r="P294" s="34"/>
      <c r="Q294" s="34"/>
      <c r="R294" s="34"/>
      <c r="S294" s="32"/>
      <c r="T294" s="32"/>
      <c r="U294" s="32"/>
      <c r="V294" s="32"/>
      <c r="W294" s="32"/>
    </row>
    <row r="295" spans="3:23" x14ac:dyDescent="0.25">
      <c r="C295" s="1"/>
      <c r="D295" s="29"/>
      <c r="E295" s="29"/>
      <c r="F295" s="29"/>
      <c r="G295" s="29"/>
      <c r="H295" s="30"/>
      <c r="I295" s="31"/>
      <c r="J295" s="31"/>
      <c r="K295" s="29"/>
      <c r="L295" s="32"/>
      <c r="M295" s="29"/>
      <c r="N295" s="33"/>
      <c r="O295" s="32"/>
      <c r="P295" s="34"/>
      <c r="Q295" s="34"/>
      <c r="R295" s="34"/>
      <c r="S295" s="32"/>
      <c r="T295" s="32"/>
      <c r="U295" s="32"/>
      <c r="V295" s="32"/>
      <c r="W295" s="32"/>
    </row>
    <row r="296" spans="3:23" x14ac:dyDescent="0.25">
      <c r="C296" s="1"/>
      <c r="D296" s="29"/>
      <c r="E296" s="29"/>
      <c r="F296" s="29"/>
      <c r="G296" s="29"/>
      <c r="H296" s="30"/>
      <c r="I296" s="31"/>
      <c r="J296" s="31"/>
      <c r="K296" s="29"/>
      <c r="L296" s="32"/>
      <c r="M296" s="29"/>
      <c r="N296" s="33"/>
      <c r="O296" s="32"/>
      <c r="P296" s="34"/>
      <c r="Q296" s="34"/>
      <c r="R296" s="34"/>
      <c r="S296" s="32"/>
      <c r="T296" s="32"/>
      <c r="U296" s="32"/>
      <c r="V296" s="32"/>
      <c r="W296" s="32"/>
    </row>
    <row r="297" spans="3:23" x14ac:dyDescent="0.25">
      <c r="C297" s="1"/>
      <c r="D297" s="29"/>
      <c r="E297" s="29"/>
      <c r="F297" s="29"/>
      <c r="G297" s="29"/>
      <c r="H297" s="30"/>
      <c r="I297" s="31"/>
      <c r="J297" s="31"/>
      <c r="K297" s="29"/>
      <c r="L297" s="32"/>
      <c r="M297" s="29"/>
      <c r="N297" s="33"/>
      <c r="O297" s="32"/>
      <c r="P297" s="34"/>
      <c r="Q297" s="34"/>
      <c r="R297" s="34"/>
      <c r="S297" s="32"/>
      <c r="T297" s="32"/>
      <c r="U297" s="32"/>
      <c r="V297" s="32"/>
      <c r="W297" s="32"/>
    </row>
    <row r="298" spans="3:23" x14ac:dyDescent="0.25">
      <c r="C298" s="1"/>
      <c r="D298" s="29"/>
      <c r="E298" s="29"/>
      <c r="F298" s="29"/>
      <c r="G298" s="29"/>
      <c r="H298" s="30"/>
      <c r="I298" s="31"/>
      <c r="J298" s="31"/>
      <c r="K298" s="29"/>
      <c r="L298" s="32"/>
      <c r="M298" s="29"/>
      <c r="N298" s="33"/>
      <c r="O298" s="32"/>
      <c r="P298" s="34"/>
      <c r="Q298" s="34"/>
      <c r="R298" s="34"/>
      <c r="S298" s="32"/>
      <c r="T298" s="32"/>
      <c r="U298" s="32"/>
      <c r="V298" s="32"/>
      <c r="W298" s="32"/>
    </row>
    <row r="299" spans="3:23" x14ac:dyDescent="0.25">
      <c r="C299" s="1"/>
      <c r="D299" s="29"/>
      <c r="E299" s="29"/>
      <c r="F299" s="29"/>
      <c r="G299" s="29"/>
      <c r="H299" s="30"/>
      <c r="I299" s="31"/>
      <c r="J299" s="31"/>
      <c r="K299" s="29"/>
      <c r="L299" s="32"/>
      <c r="M299" s="29"/>
      <c r="N299" s="33"/>
      <c r="O299" s="32"/>
      <c r="P299" s="34"/>
      <c r="Q299" s="34"/>
      <c r="R299" s="34"/>
      <c r="S299" s="32"/>
      <c r="T299" s="32"/>
      <c r="U299" s="32"/>
      <c r="V299" s="32"/>
      <c r="W299" s="32"/>
    </row>
    <row r="300" spans="3:23" x14ac:dyDescent="0.25">
      <c r="C300" s="1"/>
      <c r="D300" s="29"/>
      <c r="E300" s="29"/>
      <c r="F300" s="29"/>
      <c r="G300" s="29"/>
      <c r="H300" s="30"/>
      <c r="I300" s="31"/>
      <c r="J300" s="31"/>
      <c r="K300" s="29"/>
      <c r="L300" s="32"/>
      <c r="M300" s="29"/>
      <c r="N300" s="33"/>
      <c r="O300" s="32"/>
      <c r="P300" s="34"/>
      <c r="Q300" s="34"/>
      <c r="R300" s="34"/>
      <c r="S300" s="32"/>
      <c r="T300" s="32"/>
      <c r="U300" s="32"/>
      <c r="V300" s="32"/>
      <c r="W300" s="32"/>
    </row>
    <row r="301" spans="3:23" x14ac:dyDescent="0.25">
      <c r="C301" s="1"/>
      <c r="D301" s="29"/>
      <c r="E301" s="29"/>
      <c r="F301" s="29"/>
      <c r="G301" s="29"/>
      <c r="H301" s="30"/>
      <c r="I301" s="31"/>
      <c r="J301" s="31"/>
      <c r="K301" s="29"/>
      <c r="L301" s="32"/>
      <c r="M301" s="29"/>
      <c r="N301" s="33"/>
      <c r="O301" s="32"/>
      <c r="P301" s="34"/>
      <c r="Q301" s="34"/>
      <c r="R301" s="34"/>
      <c r="S301" s="32"/>
      <c r="T301" s="32"/>
      <c r="U301" s="32"/>
      <c r="V301" s="32"/>
      <c r="W301" s="32"/>
    </row>
    <row r="302" spans="3:23" x14ac:dyDescent="0.25">
      <c r="C302" s="1"/>
      <c r="D302" s="29"/>
      <c r="E302" s="29"/>
      <c r="F302" s="29"/>
      <c r="G302" s="29"/>
      <c r="H302" s="30"/>
      <c r="I302" s="31"/>
      <c r="J302" s="31"/>
      <c r="K302" s="29"/>
      <c r="L302" s="32"/>
      <c r="M302" s="29"/>
      <c r="N302" s="33"/>
      <c r="O302" s="32"/>
      <c r="P302" s="34"/>
      <c r="Q302" s="34"/>
      <c r="R302" s="34"/>
      <c r="S302" s="32"/>
      <c r="T302" s="32"/>
      <c r="U302" s="32"/>
      <c r="V302" s="32"/>
      <c r="W302" s="32"/>
    </row>
    <row r="303" spans="3:23" x14ac:dyDescent="0.25">
      <c r="C303" s="1"/>
      <c r="D303" s="29"/>
      <c r="E303" s="29"/>
      <c r="F303" s="29"/>
      <c r="G303" s="29"/>
      <c r="H303" s="30"/>
      <c r="I303" s="31"/>
      <c r="J303" s="31"/>
      <c r="K303" s="29"/>
      <c r="L303" s="32"/>
      <c r="M303" s="29"/>
      <c r="N303" s="33"/>
      <c r="O303" s="32"/>
      <c r="P303" s="34"/>
      <c r="Q303" s="34"/>
      <c r="R303" s="34"/>
      <c r="S303" s="32"/>
      <c r="T303" s="32"/>
      <c r="U303" s="32"/>
      <c r="V303" s="32"/>
      <c r="W303" s="32"/>
    </row>
    <row r="304" spans="3:23" x14ac:dyDescent="0.25">
      <c r="C304" s="1"/>
      <c r="D304" s="29"/>
      <c r="E304" s="29"/>
      <c r="F304" s="29"/>
      <c r="G304" s="29"/>
      <c r="H304" s="30"/>
      <c r="I304" s="31"/>
      <c r="J304" s="31"/>
      <c r="K304" s="29"/>
      <c r="L304" s="32"/>
      <c r="M304" s="29"/>
      <c r="N304" s="33"/>
      <c r="O304" s="32"/>
      <c r="P304" s="34"/>
      <c r="Q304" s="34"/>
      <c r="R304" s="34"/>
      <c r="S304" s="32"/>
      <c r="T304" s="32"/>
      <c r="U304" s="32"/>
      <c r="V304" s="32"/>
      <c r="W304" s="32"/>
    </row>
    <row r="305" spans="3:23" x14ac:dyDescent="0.25">
      <c r="C305" s="1"/>
      <c r="D305" s="29"/>
      <c r="E305" s="29"/>
      <c r="F305" s="29"/>
      <c r="G305" s="29"/>
      <c r="H305" s="30"/>
      <c r="I305" s="31"/>
      <c r="J305" s="31"/>
      <c r="K305" s="29"/>
      <c r="L305" s="32"/>
      <c r="M305" s="29"/>
      <c r="N305" s="33"/>
      <c r="O305" s="32"/>
      <c r="P305" s="34"/>
      <c r="Q305" s="34"/>
      <c r="R305" s="34"/>
      <c r="S305" s="32"/>
      <c r="T305" s="32"/>
      <c r="U305" s="32"/>
      <c r="V305" s="32"/>
      <c r="W305" s="32"/>
    </row>
    <row r="306" spans="3:23" x14ac:dyDescent="0.25">
      <c r="C306" s="1"/>
      <c r="D306" s="29"/>
      <c r="E306" s="29"/>
      <c r="F306" s="29"/>
      <c r="G306" s="29"/>
      <c r="H306" s="30"/>
      <c r="I306" s="31"/>
      <c r="J306" s="31"/>
      <c r="K306" s="29"/>
      <c r="L306" s="32"/>
      <c r="M306" s="29"/>
      <c r="N306" s="33"/>
      <c r="O306" s="32"/>
      <c r="P306" s="34"/>
      <c r="Q306" s="34"/>
      <c r="R306" s="34"/>
      <c r="S306" s="32"/>
      <c r="T306" s="32"/>
      <c r="U306" s="32"/>
      <c r="V306" s="32"/>
      <c r="W306" s="32"/>
    </row>
    <row r="307" spans="3:23" x14ac:dyDescent="0.25">
      <c r="C307" s="1"/>
      <c r="D307" s="29"/>
      <c r="E307" s="29"/>
      <c r="F307" s="29"/>
      <c r="G307" s="29"/>
      <c r="H307" s="30"/>
      <c r="I307" s="31"/>
      <c r="J307" s="31"/>
      <c r="K307" s="29"/>
      <c r="L307" s="32"/>
      <c r="M307" s="29"/>
      <c r="N307" s="33"/>
      <c r="O307" s="32"/>
      <c r="P307" s="34"/>
      <c r="Q307" s="34"/>
      <c r="R307" s="34"/>
      <c r="S307" s="32"/>
      <c r="T307" s="32"/>
      <c r="U307" s="32"/>
      <c r="V307" s="32"/>
      <c r="W307" s="32"/>
    </row>
    <row r="308" spans="3:23" x14ac:dyDescent="0.25">
      <c r="C308" s="1"/>
      <c r="D308" s="29"/>
      <c r="E308" s="29"/>
      <c r="F308" s="29"/>
      <c r="G308" s="29"/>
      <c r="H308" s="30"/>
      <c r="I308" s="31"/>
      <c r="J308" s="31"/>
      <c r="K308" s="29"/>
      <c r="L308" s="32"/>
      <c r="M308" s="29"/>
      <c r="N308" s="33"/>
      <c r="O308" s="32"/>
      <c r="P308" s="34"/>
      <c r="Q308" s="34"/>
      <c r="R308" s="34"/>
      <c r="S308" s="32"/>
      <c r="T308" s="32"/>
      <c r="U308" s="32"/>
      <c r="V308" s="32"/>
      <c r="W308" s="32"/>
    </row>
    <row r="309" spans="3:23" x14ac:dyDescent="0.25">
      <c r="C309" s="1"/>
      <c r="D309" s="29"/>
      <c r="E309" s="29"/>
      <c r="F309" s="29"/>
      <c r="G309" s="29"/>
      <c r="H309" s="30"/>
      <c r="I309" s="31"/>
      <c r="J309" s="31"/>
      <c r="K309" s="29"/>
      <c r="L309" s="32"/>
      <c r="M309" s="29"/>
      <c r="N309" s="33"/>
      <c r="O309" s="32"/>
      <c r="P309" s="34"/>
      <c r="Q309" s="34"/>
      <c r="R309" s="34"/>
      <c r="S309" s="32"/>
      <c r="T309" s="32"/>
      <c r="U309" s="32"/>
      <c r="V309" s="32"/>
      <c r="W309" s="32"/>
    </row>
    <row r="310" spans="3:23" x14ac:dyDescent="0.25">
      <c r="C310" s="1"/>
      <c r="D310" s="29"/>
      <c r="E310" s="29"/>
      <c r="F310" s="29"/>
      <c r="G310" s="29"/>
      <c r="H310" s="30"/>
      <c r="I310" s="31"/>
      <c r="J310" s="31"/>
      <c r="K310" s="29"/>
      <c r="L310" s="32"/>
      <c r="M310" s="29"/>
      <c r="N310" s="33"/>
      <c r="O310" s="32"/>
      <c r="P310" s="34"/>
      <c r="Q310" s="34"/>
      <c r="R310" s="34"/>
      <c r="S310" s="32"/>
      <c r="T310" s="32"/>
      <c r="U310" s="32"/>
      <c r="V310" s="32"/>
      <c r="W310" s="32"/>
    </row>
    <row r="311" spans="3:23" x14ac:dyDescent="0.25">
      <c r="C311" s="1"/>
      <c r="D311" s="29"/>
      <c r="E311" s="29"/>
      <c r="F311" s="29"/>
      <c r="G311" s="29"/>
      <c r="H311" s="30"/>
      <c r="I311" s="31"/>
      <c r="J311" s="31"/>
      <c r="K311" s="29"/>
      <c r="L311" s="32"/>
      <c r="M311" s="29"/>
      <c r="N311" s="33"/>
      <c r="O311" s="32"/>
      <c r="P311" s="34"/>
      <c r="Q311" s="34"/>
      <c r="R311" s="34"/>
      <c r="S311" s="32"/>
      <c r="T311" s="32"/>
      <c r="U311" s="32"/>
      <c r="V311" s="32"/>
      <c r="W311" s="32"/>
    </row>
    <row r="312" spans="3:23" x14ac:dyDescent="0.25">
      <c r="C312" s="1"/>
      <c r="D312" s="29"/>
      <c r="E312" s="29"/>
      <c r="F312" s="29"/>
      <c r="G312" s="29"/>
      <c r="H312" s="30"/>
      <c r="I312" s="31"/>
      <c r="J312" s="31"/>
      <c r="K312" s="29"/>
      <c r="L312" s="32"/>
      <c r="M312" s="29"/>
      <c r="N312" s="33"/>
      <c r="O312" s="32"/>
      <c r="P312" s="34"/>
      <c r="Q312" s="34"/>
      <c r="R312" s="34"/>
      <c r="S312" s="32"/>
      <c r="T312" s="32"/>
      <c r="U312" s="32"/>
      <c r="V312" s="32"/>
      <c r="W312" s="32"/>
    </row>
    <row r="313" spans="3:23" x14ac:dyDescent="0.25">
      <c r="C313" s="1"/>
      <c r="D313" s="29"/>
      <c r="E313" s="29"/>
      <c r="F313" s="29"/>
      <c r="G313" s="29"/>
      <c r="H313" s="30"/>
      <c r="I313" s="31"/>
      <c r="J313" s="31"/>
      <c r="K313" s="29"/>
      <c r="L313" s="32"/>
      <c r="M313" s="29"/>
      <c r="N313" s="33"/>
      <c r="O313" s="32"/>
      <c r="P313" s="34"/>
      <c r="Q313" s="34"/>
      <c r="R313" s="34"/>
      <c r="S313" s="32"/>
      <c r="T313" s="32"/>
      <c r="U313" s="32"/>
      <c r="V313" s="32"/>
      <c r="W313" s="32"/>
    </row>
    <row r="314" spans="3:23" x14ac:dyDescent="0.25">
      <c r="C314" s="1"/>
      <c r="D314" s="29"/>
      <c r="E314" s="29"/>
      <c r="F314" s="29"/>
      <c r="G314" s="29"/>
      <c r="H314" s="30"/>
      <c r="I314" s="31"/>
      <c r="J314" s="31"/>
      <c r="K314" s="29"/>
      <c r="L314" s="32"/>
      <c r="M314" s="29"/>
      <c r="N314" s="33"/>
      <c r="O314" s="32"/>
      <c r="P314" s="34"/>
      <c r="Q314" s="34"/>
      <c r="R314" s="34"/>
      <c r="S314" s="32"/>
      <c r="T314" s="32"/>
      <c r="U314" s="32"/>
      <c r="V314" s="32"/>
      <c r="W314" s="32"/>
    </row>
    <row r="315" spans="3:23" x14ac:dyDescent="0.25">
      <c r="C315" s="1"/>
      <c r="D315" s="29"/>
      <c r="E315" s="29"/>
      <c r="F315" s="29"/>
      <c r="G315" s="29"/>
      <c r="H315" s="30"/>
      <c r="I315" s="31"/>
      <c r="J315" s="31"/>
      <c r="K315" s="29"/>
      <c r="L315" s="32"/>
      <c r="M315" s="29"/>
      <c r="N315" s="33"/>
      <c r="O315" s="32"/>
      <c r="P315" s="34"/>
      <c r="Q315" s="34"/>
      <c r="R315" s="34"/>
      <c r="S315" s="32"/>
      <c r="T315" s="32"/>
      <c r="U315" s="32"/>
      <c r="V315" s="32"/>
      <c r="W315" s="32"/>
    </row>
    <row r="316" spans="3:23" x14ac:dyDescent="0.25">
      <c r="C316" s="1"/>
      <c r="D316" s="29"/>
      <c r="E316" s="29"/>
      <c r="F316" s="29"/>
      <c r="G316" s="29"/>
      <c r="H316" s="30"/>
      <c r="I316" s="31"/>
      <c r="J316" s="31"/>
      <c r="K316" s="29"/>
      <c r="L316" s="32"/>
      <c r="M316" s="29"/>
      <c r="N316" s="33"/>
      <c r="O316" s="32"/>
      <c r="P316" s="34"/>
      <c r="Q316" s="34"/>
      <c r="R316" s="34"/>
      <c r="S316" s="32"/>
      <c r="T316" s="32"/>
      <c r="U316" s="32"/>
      <c r="V316" s="32"/>
      <c r="W316" s="32"/>
    </row>
    <row r="317" spans="3:23" x14ac:dyDescent="0.25">
      <c r="C317" s="1"/>
      <c r="D317" s="29"/>
      <c r="E317" s="29"/>
      <c r="F317" s="29"/>
      <c r="G317" s="29"/>
      <c r="H317" s="30"/>
      <c r="I317" s="31"/>
      <c r="J317" s="31"/>
      <c r="K317" s="29"/>
      <c r="L317" s="32"/>
      <c r="M317" s="29"/>
      <c r="N317" s="33"/>
      <c r="O317" s="32"/>
      <c r="P317" s="34"/>
      <c r="Q317" s="34"/>
      <c r="R317" s="34"/>
      <c r="S317" s="32"/>
      <c r="T317" s="32"/>
      <c r="U317" s="32"/>
      <c r="V317" s="32"/>
      <c r="W317" s="32"/>
    </row>
    <row r="318" spans="3:23" x14ac:dyDescent="0.25">
      <c r="C318" s="1"/>
      <c r="D318" s="29"/>
      <c r="E318" s="29"/>
      <c r="F318" s="29"/>
      <c r="G318" s="29"/>
      <c r="H318" s="30"/>
      <c r="I318" s="31"/>
      <c r="J318" s="31"/>
      <c r="K318" s="29"/>
      <c r="L318" s="32"/>
      <c r="M318" s="29"/>
      <c r="N318" s="33"/>
      <c r="O318" s="32"/>
      <c r="P318" s="34"/>
      <c r="Q318" s="34"/>
      <c r="R318" s="34"/>
      <c r="S318" s="32"/>
      <c r="T318" s="32"/>
      <c r="U318" s="32"/>
      <c r="V318" s="32"/>
      <c r="W318" s="32"/>
    </row>
    <row r="319" spans="3:23" x14ac:dyDescent="0.25">
      <c r="C319" s="1"/>
      <c r="D319" s="29"/>
      <c r="E319" s="29"/>
      <c r="F319" s="29"/>
      <c r="G319" s="29"/>
      <c r="H319" s="30"/>
      <c r="I319" s="31"/>
      <c r="J319" s="31"/>
      <c r="K319" s="29"/>
      <c r="L319" s="32"/>
      <c r="M319" s="29"/>
      <c r="N319" s="33"/>
      <c r="O319" s="32"/>
      <c r="P319" s="34"/>
      <c r="Q319" s="34"/>
      <c r="R319" s="34"/>
      <c r="S319" s="32"/>
      <c r="T319" s="32"/>
      <c r="U319" s="32"/>
      <c r="V319" s="32"/>
      <c r="W319" s="32"/>
    </row>
    <row r="320" spans="3:23" x14ac:dyDescent="0.25">
      <c r="C320" s="1"/>
      <c r="D320" s="29"/>
      <c r="E320" s="29"/>
      <c r="F320" s="29"/>
      <c r="G320" s="29"/>
      <c r="H320" s="30"/>
      <c r="I320" s="31"/>
      <c r="J320" s="31"/>
      <c r="K320" s="29"/>
      <c r="L320" s="32"/>
      <c r="M320" s="29"/>
      <c r="N320" s="33"/>
      <c r="O320" s="32"/>
      <c r="P320" s="34"/>
      <c r="Q320" s="34"/>
      <c r="R320" s="34"/>
      <c r="S320" s="32"/>
      <c r="T320" s="32"/>
      <c r="U320" s="32"/>
      <c r="V320" s="32"/>
      <c r="W320" s="32"/>
    </row>
    <row r="321" spans="3:23" x14ac:dyDescent="0.25">
      <c r="C321" s="1"/>
      <c r="D321" s="29"/>
      <c r="E321" s="29"/>
      <c r="F321" s="29"/>
      <c r="G321" s="29"/>
      <c r="H321" s="30"/>
      <c r="I321" s="31"/>
      <c r="J321" s="31"/>
      <c r="K321" s="29"/>
      <c r="L321" s="32"/>
      <c r="M321" s="29"/>
      <c r="N321" s="33"/>
      <c r="O321" s="32"/>
      <c r="P321" s="34"/>
      <c r="Q321" s="34"/>
      <c r="R321" s="34"/>
      <c r="S321" s="32"/>
      <c r="T321" s="32"/>
      <c r="U321" s="32"/>
      <c r="V321" s="32"/>
      <c r="W321" s="32"/>
    </row>
    <row r="322" spans="3:23" x14ac:dyDescent="0.25">
      <c r="C322" s="1"/>
      <c r="D322" s="29"/>
      <c r="E322" s="29"/>
      <c r="F322" s="29"/>
      <c r="G322" s="29"/>
      <c r="H322" s="30"/>
      <c r="I322" s="31"/>
      <c r="J322" s="31"/>
      <c r="K322" s="29"/>
      <c r="L322" s="32"/>
      <c r="M322" s="29"/>
      <c r="N322" s="33"/>
      <c r="O322" s="32"/>
      <c r="P322" s="34"/>
      <c r="Q322" s="34"/>
      <c r="R322" s="34"/>
      <c r="S322" s="32"/>
      <c r="T322" s="32"/>
      <c r="U322" s="32"/>
      <c r="V322" s="32"/>
      <c r="W322" s="32"/>
    </row>
    <row r="323" spans="3:23" x14ac:dyDescent="0.25">
      <c r="C323" s="1"/>
      <c r="D323" s="29"/>
      <c r="E323" s="29"/>
      <c r="F323" s="29"/>
      <c r="G323" s="29"/>
      <c r="H323" s="30"/>
      <c r="I323" s="31"/>
      <c r="J323" s="31"/>
      <c r="K323" s="29"/>
      <c r="L323" s="32"/>
      <c r="M323" s="29"/>
      <c r="N323" s="33"/>
      <c r="O323" s="32"/>
      <c r="P323" s="34"/>
      <c r="Q323" s="34"/>
      <c r="R323" s="34"/>
      <c r="S323" s="32"/>
      <c r="T323" s="32"/>
      <c r="U323" s="32"/>
      <c r="V323" s="32"/>
      <c r="W323" s="32"/>
    </row>
    <row r="324" spans="3:23" x14ac:dyDescent="0.25">
      <c r="C324" s="1"/>
      <c r="D324" s="29"/>
      <c r="E324" s="29"/>
      <c r="F324" s="29"/>
      <c r="G324" s="29"/>
      <c r="H324" s="30"/>
      <c r="I324" s="31"/>
      <c r="J324" s="31"/>
      <c r="K324" s="29"/>
      <c r="L324" s="32"/>
      <c r="M324" s="29"/>
      <c r="N324" s="33"/>
      <c r="O324" s="32"/>
      <c r="P324" s="34"/>
      <c r="Q324" s="34"/>
      <c r="R324" s="34"/>
      <c r="S324" s="32"/>
      <c r="T324" s="32"/>
      <c r="U324" s="32"/>
      <c r="V324" s="32"/>
      <c r="W324" s="32"/>
    </row>
    <row r="325" spans="3:23" x14ac:dyDescent="0.25">
      <c r="C325" s="1"/>
      <c r="D325" s="29"/>
      <c r="E325" s="29"/>
      <c r="F325" s="29"/>
      <c r="G325" s="29"/>
      <c r="H325" s="30"/>
      <c r="I325" s="31"/>
      <c r="J325" s="31"/>
      <c r="K325" s="29"/>
      <c r="L325" s="32"/>
      <c r="M325" s="29"/>
      <c r="N325" s="33"/>
      <c r="O325" s="32"/>
      <c r="P325" s="34"/>
      <c r="Q325" s="34"/>
      <c r="R325" s="34"/>
      <c r="S325" s="32"/>
      <c r="T325" s="32"/>
      <c r="U325" s="32"/>
      <c r="V325" s="32"/>
      <c r="W325" s="32"/>
    </row>
    <row r="326" spans="3:23" x14ac:dyDescent="0.25">
      <c r="C326" s="1"/>
      <c r="D326" s="29"/>
      <c r="E326" s="29"/>
      <c r="F326" s="29"/>
      <c r="G326" s="29"/>
      <c r="H326" s="30"/>
      <c r="I326" s="31"/>
      <c r="J326" s="31"/>
      <c r="K326" s="29"/>
      <c r="L326" s="32"/>
      <c r="M326" s="29"/>
      <c r="N326" s="33"/>
      <c r="O326" s="32"/>
      <c r="P326" s="34"/>
      <c r="Q326" s="34"/>
      <c r="R326" s="34"/>
      <c r="S326" s="32"/>
      <c r="T326" s="32"/>
      <c r="U326" s="32"/>
      <c r="V326" s="32"/>
      <c r="W326" s="32"/>
    </row>
    <row r="327" spans="3:23" x14ac:dyDescent="0.25">
      <c r="C327" s="1"/>
      <c r="D327" s="29"/>
      <c r="E327" s="29"/>
      <c r="F327" s="29"/>
      <c r="G327" s="29"/>
      <c r="H327" s="30"/>
      <c r="I327" s="31"/>
      <c r="J327" s="31"/>
      <c r="K327" s="29"/>
      <c r="L327" s="32"/>
      <c r="M327" s="29"/>
      <c r="N327" s="33"/>
      <c r="O327" s="32"/>
      <c r="P327" s="34"/>
      <c r="Q327" s="34"/>
      <c r="R327" s="34"/>
      <c r="S327" s="32"/>
      <c r="T327" s="32"/>
      <c r="U327" s="32"/>
      <c r="V327" s="32"/>
      <c r="W327" s="32"/>
    </row>
    <row r="328" spans="3:23" x14ac:dyDescent="0.25">
      <c r="C328" s="1"/>
      <c r="D328" s="29"/>
      <c r="E328" s="29"/>
      <c r="F328" s="29"/>
      <c r="G328" s="29"/>
      <c r="H328" s="30"/>
      <c r="I328" s="31"/>
      <c r="J328" s="31"/>
      <c r="K328" s="29"/>
      <c r="L328" s="32"/>
      <c r="M328" s="29"/>
      <c r="N328" s="33"/>
      <c r="O328" s="32"/>
      <c r="P328" s="34"/>
      <c r="Q328" s="34"/>
      <c r="R328" s="34"/>
      <c r="S328" s="32"/>
      <c r="T328" s="32"/>
      <c r="U328" s="32"/>
      <c r="V328" s="32"/>
      <c r="W328" s="32"/>
    </row>
    <row r="329" spans="3:23" x14ac:dyDescent="0.25">
      <c r="C329" s="1"/>
      <c r="D329" s="29"/>
      <c r="E329" s="29"/>
      <c r="F329" s="29"/>
      <c r="G329" s="29"/>
      <c r="H329" s="30"/>
      <c r="I329" s="31"/>
      <c r="J329" s="31"/>
      <c r="K329" s="29"/>
      <c r="L329" s="32"/>
      <c r="M329" s="29"/>
      <c r="N329" s="33"/>
      <c r="O329" s="32"/>
      <c r="P329" s="34"/>
      <c r="Q329" s="34"/>
      <c r="R329" s="34"/>
      <c r="S329" s="32"/>
      <c r="T329" s="32"/>
      <c r="U329" s="32"/>
      <c r="V329" s="32"/>
      <c r="W329" s="32"/>
    </row>
    <row r="330" spans="3:23" x14ac:dyDescent="0.25">
      <c r="C330" s="1"/>
      <c r="D330" s="29"/>
      <c r="E330" s="29"/>
      <c r="F330" s="29"/>
      <c r="G330" s="29"/>
      <c r="H330" s="30"/>
      <c r="I330" s="31"/>
      <c r="J330" s="31"/>
      <c r="K330" s="29"/>
      <c r="L330" s="32"/>
      <c r="M330" s="29"/>
      <c r="N330" s="33"/>
      <c r="O330" s="32"/>
      <c r="P330" s="34"/>
      <c r="Q330" s="34"/>
      <c r="R330" s="34"/>
      <c r="S330" s="32"/>
      <c r="T330" s="32"/>
      <c r="U330" s="32"/>
      <c r="V330" s="32"/>
      <c r="W330" s="32"/>
    </row>
    <row r="331" spans="3:23" x14ac:dyDescent="0.25">
      <c r="C331" s="1"/>
      <c r="D331" s="29"/>
      <c r="E331" s="29"/>
      <c r="F331" s="29"/>
      <c r="G331" s="29"/>
      <c r="H331" s="30"/>
      <c r="I331" s="31"/>
      <c r="J331" s="31"/>
      <c r="K331" s="29"/>
      <c r="L331" s="32"/>
      <c r="M331" s="29"/>
      <c r="N331" s="33"/>
      <c r="O331" s="32"/>
      <c r="P331" s="34"/>
      <c r="Q331" s="34"/>
      <c r="R331" s="34"/>
      <c r="S331" s="32"/>
      <c r="T331" s="32"/>
      <c r="U331" s="32"/>
      <c r="V331" s="32"/>
      <c r="W331" s="32"/>
    </row>
    <row r="332" spans="3:23" x14ac:dyDescent="0.25">
      <c r="C332" s="1"/>
      <c r="D332" s="29"/>
      <c r="E332" s="29"/>
      <c r="F332" s="29"/>
      <c r="G332" s="29"/>
      <c r="H332" s="30"/>
      <c r="I332" s="31"/>
      <c r="J332" s="31"/>
      <c r="K332" s="29"/>
      <c r="L332" s="32"/>
      <c r="M332" s="29"/>
      <c r="N332" s="33"/>
      <c r="O332" s="32"/>
      <c r="P332" s="34"/>
      <c r="Q332" s="34"/>
      <c r="R332" s="34"/>
      <c r="S332" s="32"/>
      <c r="T332" s="32"/>
      <c r="U332" s="32"/>
      <c r="V332" s="32"/>
      <c r="W332" s="32"/>
    </row>
    <row r="333" spans="3:23" x14ac:dyDescent="0.25">
      <c r="C333" s="1"/>
      <c r="D333" s="29"/>
      <c r="E333" s="29"/>
      <c r="F333" s="29"/>
      <c r="G333" s="29"/>
      <c r="H333" s="30"/>
      <c r="I333" s="31"/>
      <c r="J333" s="31"/>
      <c r="K333" s="29"/>
      <c r="L333" s="32"/>
      <c r="M333" s="29"/>
      <c r="N333" s="33"/>
      <c r="O333" s="32"/>
      <c r="P333" s="34"/>
      <c r="Q333" s="34"/>
      <c r="R333" s="34"/>
      <c r="S333" s="32"/>
      <c r="T333" s="32"/>
      <c r="U333" s="32"/>
      <c r="V333" s="32"/>
      <c r="W333" s="32"/>
    </row>
    <row r="334" spans="3:23" x14ac:dyDescent="0.25">
      <c r="C334" s="1"/>
      <c r="D334" s="29"/>
      <c r="E334" s="29"/>
      <c r="F334" s="29"/>
      <c r="G334" s="29"/>
      <c r="H334" s="30"/>
      <c r="I334" s="31"/>
      <c r="J334" s="31"/>
      <c r="K334" s="29"/>
      <c r="L334" s="32"/>
      <c r="M334" s="29"/>
      <c r="N334" s="33"/>
      <c r="O334" s="32"/>
      <c r="P334" s="34"/>
      <c r="Q334" s="34"/>
      <c r="R334" s="34"/>
      <c r="S334" s="32"/>
      <c r="T334" s="32"/>
      <c r="U334" s="32"/>
      <c r="V334" s="32"/>
      <c r="W334" s="32"/>
    </row>
    <row r="335" spans="3:23" x14ac:dyDescent="0.25">
      <c r="C335" s="1"/>
      <c r="D335" s="29"/>
      <c r="E335" s="29"/>
      <c r="F335" s="29"/>
      <c r="G335" s="29"/>
      <c r="H335" s="30"/>
      <c r="I335" s="31"/>
      <c r="J335" s="31"/>
      <c r="K335" s="29"/>
      <c r="L335" s="32"/>
      <c r="M335" s="29"/>
      <c r="N335" s="33"/>
      <c r="O335" s="32"/>
      <c r="P335" s="34"/>
      <c r="Q335" s="34"/>
      <c r="R335" s="34"/>
      <c r="S335" s="32"/>
      <c r="T335" s="32"/>
      <c r="U335" s="32"/>
      <c r="V335" s="32"/>
      <c r="W335" s="32"/>
    </row>
    <row r="336" spans="3:23" x14ac:dyDescent="0.25">
      <c r="C336" s="1"/>
      <c r="D336" s="29"/>
      <c r="E336" s="29"/>
      <c r="F336" s="29"/>
      <c r="G336" s="29"/>
      <c r="H336" s="30"/>
      <c r="I336" s="31"/>
      <c r="J336" s="31"/>
      <c r="K336" s="29"/>
      <c r="L336" s="32"/>
      <c r="M336" s="29"/>
      <c r="N336" s="33"/>
      <c r="O336" s="32"/>
      <c r="P336" s="34"/>
      <c r="Q336" s="34"/>
      <c r="R336" s="34"/>
      <c r="S336" s="32"/>
      <c r="T336" s="32"/>
      <c r="U336" s="32"/>
      <c r="V336" s="32"/>
      <c r="W336" s="32"/>
    </row>
    <row r="337" spans="3:23" x14ac:dyDescent="0.25">
      <c r="C337" s="1"/>
      <c r="D337" s="29"/>
      <c r="E337" s="29"/>
      <c r="F337" s="29"/>
      <c r="G337" s="29"/>
      <c r="H337" s="30"/>
      <c r="I337" s="31"/>
      <c r="J337" s="31"/>
      <c r="K337" s="29"/>
      <c r="L337" s="32"/>
      <c r="M337" s="29"/>
      <c r="N337" s="33"/>
      <c r="O337" s="32"/>
      <c r="P337" s="34"/>
      <c r="Q337" s="34"/>
      <c r="R337" s="34"/>
      <c r="S337" s="32"/>
      <c r="T337" s="32"/>
      <c r="U337" s="32"/>
      <c r="V337" s="32"/>
      <c r="W337" s="32"/>
    </row>
    <row r="338" spans="3:23" x14ac:dyDescent="0.25">
      <c r="C338" s="1"/>
      <c r="D338" s="29"/>
      <c r="E338" s="29"/>
      <c r="F338" s="29"/>
      <c r="G338" s="29"/>
      <c r="H338" s="30"/>
      <c r="I338" s="31"/>
      <c r="J338" s="31"/>
      <c r="K338" s="29"/>
      <c r="L338" s="32"/>
      <c r="M338" s="29"/>
      <c r="N338" s="33"/>
      <c r="O338" s="32"/>
      <c r="P338" s="34"/>
      <c r="Q338" s="34"/>
      <c r="R338" s="34"/>
      <c r="S338" s="32"/>
      <c r="T338" s="32"/>
      <c r="U338" s="32"/>
      <c r="V338" s="32"/>
      <c r="W338" s="32"/>
    </row>
    <row r="339" spans="3:23" x14ac:dyDescent="0.25">
      <c r="C339" s="1"/>
      <c r="D339" s="29"/>
      <c r="E339" s="29"/>
      <c r="F339" s="29"/>
      <c r="G339" s="29"/>
      <c r="H339" s="30"/>
      <c r="I339" s="31"/>
      <c r="J339" s="31"/>
      <c r="K339" s="29"/>
      <c r="L339" s="32"/>
      <c r="M339" s="29"/>
      <c r="N339" s="33"/>
      <c r="O339" s="32"/>
      <c r="P339" s="34"/>
      <c r="Q339" s="34"/>
      <c r="R339" s="34"/>
      <c r="S339" s="32"/>
      <c r="T339" s="32"/>
      <c r="U339" s="32"/>
      <c r="V339" s="32"/>
      <c r="W339" s="32"/>
    </row>
    <row r="340" spans="3:23" x14ac:dyDescent="0.25">
      <c r="C340" s="1"/>
      <c r="D340" s="29"/>
      <c r="E340" s="29"/>
      <c r="F340" s="29"/>
      <c r="G340" s="29"/>
      <c r="H340" s="30"/>
      <c r="I340" s="31"/>
      <c r="J340" s="31"/>
      <c r="K340" s="29"/>
      <c r="L340" s="32"/>
      <c r="M340" s="29"/>
      <c r="N340" s="33"/>
      <c r="O340" s="32"/>
      <c r="P340" s="34"/>
      <c r="Q340" s="34"/>
      <c r="R340" s="34"/>
      <c r="S340" s="32"/>
      <c r="T340" s="32"/>
      <c r="U340" s="32"/>
      <c r="V340" s="32"/>
      <c r="W340" s="32"/>
    </row>
    <row r="341" spans="3:23" x14ac:dyDescent="0.25">
      <c r="C341" s="1"/>
      <c r="D341" s="29"/>
      <c r="E341" s="29"/>
      <c r="F341" s="29"/>
      <c r="G341" s="29"/>
      <c r="H341" s="30"/>
      <c r="I341" s="31"/>
      <c r="J341" s="31"/>
      <c r="K341" s="29"/>
      <c r="L341" s="32"/>
      <c r="M341" s="29"/>
      <c r="N341" s="33"/>
      <c r="O341" s="32"/>
      <c r="P341" s="34"/>
      <c r="Q341" s="34"/>
      <c r="R341" s="34"/>
      <c r="S341" s="32"/>
      <c r="T341" s="32"/>
      <c r="U341" s="32"/>
      <c r="V341" s="32"/>
      <c r="W341" s="32"/>
    </row>
    <row r="342" spans="3:23" x14ac:dyDescent="0.25">
      <c r="C342" s="1"/>
      <c r="D342" s="29"/>
      <c r="E342" s="29"/>
      <c r="F342" s="29"/>
      <c r="G342" s="29"/>
      <c r="H342" s="30"/>
      <c r="I342" s="31"/>
      <c r="J342" s="31"/>
      <c r="K342" s="29"/>
      <c r="L342" s="32"/>
      <c r="M342" s="29"/>
      <c r="N342" s="33"/>
      <c r="O342" s="32"/>
      <c r="P342" s="34"/>
      <c r="Q342" s="34"/>
      <c r="R342" s="34"/>
      <c r="S342" s="32"/>
      <c r="T342" s="32"/>
      <c r="U342" s="32"/>
      <c r="V342" s="32"/>
      <c r="W342" s="32"/>
    </row>
    <row r="343" spans="3:23" x14ac:dyDescent="0.25">
      <c r="C343" s="1"/>
      <c r="D343" s="29"/>
      <c r="E343" s="29"/>
      <c r="F343" s="29"/>
      <c r="G343" s="29"/>
      <c r="H343" s="30"/>
      <c r="I343" s="31"/>
      <c r="J343" s="31"/>
      <c r="K343" s="29"/>
      <c r="L343" s="32"/>
      <c r="M343" s="29"/>
      <c r="N343" s="33"/>
      <c r="O343" s="32"/>
      <c r="P343" s="34"/>
      <c r="Q343" s="34"/>
      <c r="R343" s="34"/>
      <c r="S343" s="32"/>
      <c r="T343" s="32"/>
      <c r="U343" s="32"/>
      <c r="V343" s="32"/>
      <c r="W343" s="32"/>
    </row>
    <row r="344" spans="3:23" x14ac:dyDescent="0.25">
      <c r="C344" s="1"/>
      <c r="D344" s="29"/>
      <c r="E344" s="29"/>
      <c r="F344" s="29"/>
      <c r="G344" s="29"/>
      <c r="H344" s="30"/>
      <c r="I344" s="31"/>
      <c r="J344" s="31"/>
      <c r="K344" s="29"/>
      <c r="L344" s="32"/>
      <c r="M344" s="29"/>
      <c r="N344" s="33"/>
      <c r="O344" s="32"/>
      <c r="P344" s="34"/>
      <c r="Q344" s="34"/>
      <c r="R344" s="34"/>
      <c r="S344" s="32"/>
      <c r="T344" s="32"/>
      <c r="U344" s="32"/>
      <c r="V344" s="32"/>
      <c r="W344" s="32"/>
    </row>
    <row r="345" spans="3:23" x14ac:dyDescent="0.25">
      <c r="C345" s="1"/>
      <c r="D345" s="29"/>
      <c r="E345" s="29"/>
      <c r="F345" s="29"/>
      <c r="G345" s="29"/>
      <c r="H345" s="30"/>
      <c r="I345" s="31"/>
      <c r="J345" s="31"/>
      <c r="K345" s="29"/>
      <c r="L345" s="32"/>
      <c r="M345" s="29"/>
      <c r="N345" s="33"/>
      <c r="O345" s="32"/>
      <c r="P345" s="34"/>
      <c r="Q345" s="34"/>
      <c r="R345" s="34"/>
      <c r="S345" s="32"/>
      <c r="T345" s="32"/>
      <c r="U345" s="32"/>
      <c r="V345" s="32"/>
      <c r="W345" s="32"/>
    </row>
    <row r="346" spans="3:23" x14ac:dyDescent="0.25">
      <c r="C346" s="1"/>
      <c r="D346" s="29"/>
      <c r="E346" s="29"/>
      <c r="F346" s="29"/>
      <c r="G346" s="29"/>
      <c r="H346" s="30"/>
      <c r="I346" s="31"/>
      <c r="J346" s="31"/>
      <c r="K346" s="29"/>
      <c r="L346" s="32"/>
      <c r="M346" s="29"/>
      <c r="N346" s="33"/>
      <c r="O346" s="32"/>
      <c r="P346" s="34"/>
      <c r="Q346" s="34"/>
      <c r="R346" s="34"/>
      <c r="S346" s="32"/>
      <c r="T346" s="32"/>
      <c r="U346" s="32"/>
      <c r="V346" s="32"/>
      <c r="W346" s="32"/>
    </row>
    <row r="347" spans="3:23" x14ac:dyDescent="0.25">
      <c r="C347" s="1"/>
      <c r="D347" s="29"/>
      <c r="E347" s="29"/>
      <c r="F347" s="29"/>
      <c r="G347" s="29"/>
      <c r="H347" s="30"/>
      <c r="I347" s="31"/>
      <c r="J347" s="31"/>
      <c r="K347" s="29"/>
      <c r="L347" s="32"/>
      <c r="M347" s="29"/>
      <c r="N347" s="33"/>
      <c r="O347" s="32"/>
      <c r="P347" s="34"/>
      <c r="Q347" s="34"/>
      <c r="R347" s="34"/>
      <c r="S347" s="32"/>
      <c r="T347" s="32"/>
      <c r="U347" s="32"/>
      <c r="V347" s="32"/>
      <c r="W347" s="32"/>
    </row>
    <row r="348" spans="3:23" x14ac:dyDescent="0.25">
      <c r="C348" s="1"/>
      <c r="D348" s="29"/>
      <c r="E348" s="29"/>
      <c r="F348" s="29"/>
      <c r="G348" s="29"/>
      <c r="H348" s="30"/>
      <c r="I348" s="31"/>
      <c r="J348" s="31"/>
      <c r="K348" s="29"/>
      <c r="L348" s="32"/>
      <c r="M348" s="29"/>
      <c r="N348" s="33"/>
      <c r="O348" s="32"/>
      <c r="P348" s="34"/>
      <c r="Q348" s="34"/>
      <c r="R348" s="34"/>
      <c r="S348" s="32"/>
      <c r="T348" s="32"/>
      <c r="U348" s="32"/>
      <c r="V348" s="32"/>
      <c r="W348" s="32"/>
    </row>
    <row r="349" spans="3:23" x14ac:dyDescent="0.25">
      <c r="C349" s="1"/>
      <c r="D349" s="29"/>
      <c r="E349" s="29"/>
      <c r="F349" s="29"/>
      <c r="G349" s="29"/>
      <c r="H349" s="30"/>
      <c r="I349" s="31"/>
      <c r="J349" s="31"/>
      <c r="K349" s="29"/>
      <c r="L349" s="32"/>
      <c r="M349" s="29"/>
      <c r="N349" s="33"/>
      <c r="O349" s="32"/>
      <c r="P349" s="34"/>
      <c r="Q349" s="34"/>
      <c r="R349" s="34"/>
      <c r="S349" s="32"/>
      <c r="T349" s="32"/>
      <c r="U349" s="32"/>
      <c r="V349" s="32"/>
      <c r="W349" s="32"/>
    </row>
    <row r="350" spans="3:23" x14ac:dyDescent="0.25">
      <c r="C350" s="1"/>
      <c r="D350" s="29"/>
      <c r="E350" s="29"/>
      <c r="F350" s="29"/>
      <c r="G350" s="29"/>
      <c r="H350" s="30"/>
      <c r="I350" s="31"/>
      <c r="J350" s="31"/>
      <c r="K350" s="29"/>
      <c r="L350" s="32"/>
      <c r="M350" s="29"/>
      <c r="N350" s="33"/>
      <c r="O350" s="32"/>
      <c r="P350" s="34"/>
      <c r="Q350" s="34"/>
      <c r="R350" s="34"/>
      <c r="S350" s="32"/>
      <c r="T350" s="32"/>
      <c r="U350" s="32"/>
      <c r="V350" s="32"/>
      <c r="W350" s="32"/>
    </row>
    <row r="351" spans="3:23" x14ac:dyDescent="0.25">
      <c r="C351" s="1"/>
      <c r="D351" s="29"/>
      <c r="E351" s="29"/>
      <c r="F351" s="29"/>
      <c r="G351" s="29"/>
      <c r="H351" s="30"/>
      <c r="I351" s="31"/>
      <c r="J351" s="31"/>
      <c r="K351" s="29"/>
      <c r="L351" s="32"/>
      <c r="M351" s="29"/>
      <c r="N351" s="33"/>
      <c r="O351" s="32"/>
      <c r="P351" s="34"/>
      <c r="Q351" s="34"/>
      <c r="R351" s="34"/>
      <c r="S351" s="32"/>
      <c r="T351" s="32"/>
      <c r="U351" s="32"/>
      <c r="V351" s="32"/>
      <c r="W351" s="32"/>
    </row>
    <row r="352" spans="3:23" x14ac:dyDescent="0.25">
      <c r="C352" s="1"/>
      <c r="D352" s="29"/>
      <c r="E352" s="29"/>
      <c r="F352" s="29"/>
      <c r="G352" s="29"/>
      <c r="H352" s="30"/>
      <c r="I352" s="31"/>
      <c r="J352" s="31"/>
      <c r="K352" s="29"/>
      <c r="L352" s="32"/>
      <c r="M352" s="29"/>
      <c r="N352" s="33"/>
      <c r="O352" s="32"/>
      <c r="P352" s="34"/>
      <c r="Q352" s="34"/>
      <c r="R352" s="34"/>
      <c r="S352" s="32"/>
      <c r="T352" s="32"/>
      <c r="U352" s="32"/>
      <c r="V352" s="32"/>
      <c r="W352" s="32"/>
    </row>
    <row r="353" spans="3:23" x14ac:dyDescent="0.25">
      <c r="C353" s="1"/>
      <c r="D353" s="29"/>
      <c r="E353" s="29"/>
      <c r="F353" s="29"/>
      <c r="G353" s="29"/>
      <c r="H353" s="30"/>
      <c r="I353" s="31"/>
      <c r="J353" s="31"/>
      <c r="K353" s="29"/>
      <c r="L353" s="32"/>
      <c r="M353" s="29"/>
      <c r="N353" s="33"/>
      <c r="O353" s="32"/>
      <c r="P353" s="34"/>
      <c r="Q353" s="34"/>
      <c r="R353" s="34"/>
      <c r="S353" s="32"/>
      <c r="T353" s="32"/>
      <c r="U353" s="32"/>
      <c r="V353" s="32"/>
      <c r="W353" s="32"/>
    </row>
    <row r="354" spans="3:23" x14ac:dyDescent="0.25">
      <c r="C354" s="1"/>
      <c r="D354" s="29"/>
      <c r="E354" s="29"/>
      <c r="F354" s="29"/>
      <c r="G354" s="29"/>
      <c r="H354" s="30"/>
      <c r="I354" s="31"/>
      <c r="J354" s="31"/>
      <c r="K354" s="29"/>
      <c r="L354" s="32"/>
      <c r="M354" s="29"/>
      <c r="N354" s="33"/>
      <c r="O354" s="32"/>
      <c r="P354" s="34"/>
      <c r="Q354" s="34"/>
      <c r="R354" s="34"/>
      <c r="S354" s="32"/>
      <c r="T354" s="32"/>
      <c r="U354" s="32"/>
      <c r="V354" s="32"/>
      <c r="W354" s="32"/>
    </row>
    <row r="355" spans="3:23" x14ac:dyDescent="0.25">
      <c r="C355" s="1"/>
      <c r="D355" s="29"/>
      <c r="E355" s="29"/>
      <c r="F355" s="29"/>
      <c r="G355" s="29"/>
      <c r="H355" s="30"/>
      <c r="I355" s="31"/>
      <c r="J355" s="31"/>
      <c r="K355" s="29"/>
      <c r="L355" s="32"/>
      <c r="M355" s="29"/>
      <c r="N355" s="33"/>
      <c r="O355" s="32"/>
      <c r="P355" s="34"/>
      <c r="Q355" s="34"/>
      <c r="R355" s="34"/>
      <c r="S355" s="32"/>
      <c r="T355" s="32"/>
      <c r="U355" s="32"/>
      <c r="V355" s="32"/>
      <c r="W355" s="32"/>
    </row>
    <row r="356" spans="3:23" x14ac:dyDescent="0.25">
      <c r="C356" s="1"/>
      <c r="D356" s="29"/>
      <c r="E356" s="29"/>
      <c r="F356" s="29"/>
      <c r="G356" s="29"/>
      <c r="H356" s="30"/>
      <c r="I356" s="31"/>
      <c r="J356" s="31"/>
      <c r="K356" s="29"/>
      <c r="L356" s="32"/>
      <c r="M356" s="29"/>
      <c r="N356" s="33"/>
      <c r="O356" s="32"/>
      <c r="P356" s="34"/>
      <c r="Q356" s="34"/>
      <c r="R356" s="34"/>
      <c r="S356" s="32"/>
      <c r="T356" s="32"/>
      <c r="U356" s="32"/>
      <c r="V356" s="32"/>
      <c r="W356" s="32"/>
    </row>
    <row r="357" spans="3:23" x14ac:dyDescent="0.25">
      <c r="C357" s="1"/>
      <c r="D357" s="29"/>
      <c r="E357" s="29"/>
      <c r="F357" s="29"/>
      <c r="G357" s="29"/>
      <c r="H357" s="30"/>
      <c r="I357" s="31"/>
      <c r="J357" s="31"/>
      <c r="K357" s="29"/>
      <c r="L357" s="32"/>
      <c r="M357" s="29"/>
      <c r="N357" s="33"/>
      <c r="O357" s="32"/>
      <c r="P357" s="34"/>
      <c r="Q357" s="34"/>
      <c r="R357" s="34"/>
      <c r="S357" s="32"/>
      <c r="T357" s="32"/>
      <c r="U357" s="32"/>
      <c r="V357" s="32"/>
      <c r="W357" s="32"/>
    </row>
    <row r="358" spans="3:23" x14ac:dyDescent="0.25">
      <c r="C358" s="1"/>
      <c r="D358" s="29"/>
      <c r="E358" s="29"/>
      <c r="F358" s="29"/>
      <c r="G358" s="29"/>
      <c r="H358" s="30"/>
      <c r="I358" s="31"/>
      <c r="J358" s="31"/>
      <c r="K358" s="29"/>
      <c r="L358" s="32"/>
      <c r="M358" s="29"/>
      <c r="N358" s="33"/>
      <c r="O358" s="32"/>
      <c r="P358" s="34"/>
      <c r="Q358" s="34"/>
      <c r="R358" s="34"/>
      <c r="S358" s="32"/>
      <c r="T358" s="32"/>
      <c r="U358" s="32"/>
      <c r="V358" s="32"/>
      <c r="W358" s="32"/>
    </row>
    <row r="359" spans="3:23" x14ac:dyDescent="0.25">
      <c r="C359" s="1"/>
      <c r="D359" s="29"/>
      <c r="E359" s="29"/>
      <c r="F359" s="29"/>
      <c r="G359" s="29"/>
      <c r="H359" s="30"/>
      <c r="I359" s="31"/>
      <c r="J359" s="31"/>
      <c r="K359" s="29"/>
      <c r="L359" s="32"/>
      <c r="M359" s="29"/>
      <c r="N359" s="33"/>
      <c r="O359" s="32"/>
      <c r="P359" s="34"/>
      <c r="Q359" s="34"/>
      <c r="R359" s="34"/>
      <c r="S359" s="32"/>
      <c r="T359" s="32"/>
      <c r="U359" s="32"/>
      <c r="V359" s="32"/>
      <c r="W359" s="32"/>
    </row>
    <row r="360" spans="3:23" x14ac:dyDescent="0.25">
      <c r="C360" s="1"/>
      <c r="D360" s="29"/>
      <c r="E360" s="29"/>
      <c r="F360" s="29"/>
      <c r="G360" s="29"/>
      <c r="H360" s="30"/>
      <c r="I360" s="31"/>
      <c r="J360" s="31"/>
      <c r="K360" s="29"/>
      <c r="L360" s="32"/>
      <c r="M360" s="29"/>
      <c r="N360" s="33"/>
      <c r="O360" s="32"/>
      <c r="P360" s="34"/>
      <c r="Q360" s="34"/>
      <c r="R360" s="34"/>
      <c r="S360" s="32"/>
      <c r="T360" s="32"/>
      <c r="U360" s="32"/>
      <c r="V360" s="32"/>
      <c r="W360" s="32"/>
    </row>
    <row r="361" spans="3:23" x14ac:dyDescent="0.25">
      <c r="C361" s="1"/>
      <c r="D361" s="29"/>
      <c r="E361" s="29"/>
      <c r="F361" s="29"/>
      <c r="G361" s="29"/>
      <c r="H361" s="30"/>
      <c r="I361" s="31"/>
      <c r="J361" s="31"/>
      <c r="K361" s="29"/>
      <c r="L361" s="32"/>
      <c r="M361" s="29"/>
      <c r="N361" s="33"/>
      <c r="O361" s="32"/>
      <c r="P361" s="34"/>
      <c r="Q361" s="34"/>
      <c r="R361" s="34"/>
      <c r="S361" s="32"/>
      <c r="T361" s="32"/>
      <c r="U361" s="32"/>
      <c r="V361" s="32"/>
      <c r="W361" s="32"/>
    </row>
    <row r="362" spans="3:23" x14ac:dyDescent="0.25">
      <c r="C362" s="1"/>
      <c r="D362" s="29"/>
      <c r="E362" s="29"/>
      <c r="F362" s="29"/>
      <c r="G362" s="29"/>
      <c r="H362" s="30"/>
      <c r="I362" s="31"/>
      <c r="J362" s="31"/>
      <c r="K362" s="29"/>
      <c r="L362" s="32"/>
      <c r="M362" s="29"/>
      <c r="N362" s="33"/>
      <c r="O362" s="32"/>
      <c r="P362" s="34"/>
      <c r="Q362" s="34"/>
      <c r="R362" s="34"/>
      <c r="S362" s="32"/>
      <c r="T362" s="32"/>
      <c r="U362" s="32"/>
      <c r="V362" s="32"/>
      <c r="W362" s="32"/>
    </row>
    <row r="363" spans="3:23" x14ac:dyDescent="0.25">
      <c r="C363" s="1"/>
      <c r="D363" s="29"/>
      <c r="E363" s="29"/>
      <c r="F363" s="29"/>
      <c r="G363" s="29"/>
      <c r="H363" s="30"/>
      <c r="I363" s="31"/>
      <c r="J363" s="31"/>
      <c r="K363" s="29"/>
      <c r="L363" s="32"/>
      <c r="M363" s="29"/>
      <c r="N363" s="33"/>
      <c r="O363" s="32"/>
      <c r="P363" s="34"/>
      <c r="Q363" s="34"/>
      <c r="R363" s="34"/>
      <c r="S363" s="32"/>
      <c r="T363" s="32"/>
      <c r="U363" s="32"/>
      <c r="V363" s="32"/>
      <c r="W363" s="32"/>
    </row>
    <row r="364" spans="3:23" x14ac:dyDescent="0.25">
      <c r="C364" s="1"/>
      <c r="D364" s="29"/>
      <c r="E364" s="29"/>
      <c r="F364" s="29"/>
      <c r="G364" s="29"/>
      <c r="H364" s="30"/>
      <c r="I364" s="31"/>
      <c r="J364" s="31"/>
      <c r="K364" s="29"/>
      <c r="L364" s="32"/>
      <c r="M364" s="29"/>
      <c r="N364" s="33"/>
      <c r="O364" s="32"/>
      <c r="P364" s="34"/>
      <c r="Q364" s="34"/>
      <c r="R364" s="34"/>
      <c r="S364" s="32"/>
      <c r="T364" s="32"/>
      <c r="U364" s="32"/>
      <c r="V364" s="32"/>
      <c r="W364" s="32"/>
    </row>
    <row r="365" spans="3:23" x14ac:dyDescent="0.25">
      <c r="C365" s="1"/>
      <c r="D365" s="29"/>
      <c r="E365" s="29"/>
      <c r="F365" s="29"/>
      <c r="G365" s="29"/>
      <c r="H365" s="30"/>
      <c r="I365" s="31"/>
      <c r="J365" s="31"/>
      <c r="K365" s="29"/>
      <c r="L365" s="32"/>
      <c r="M365" s="29"/>
      <c r="N365" s="33"/>
      <c r="O365" s="32"/>
      <c r="P365" s="34"/>
      <c r="Q365" s="34"/>
      <c r="R365" s="34"/>
      <c r="S365" s="32"/>
      <c r="T365" s="32"/>
      <c r="U365" s="32"/>
      <c r="V365" s="32"/>
      <c r="W365" s="32"/>
    </row>
    <row r="366" spans="3:23" x14ac:dyDescent="0.25">
      <c r="C366" s="1"/>
      <c r="D366" s="29"/>
      <c r="E366" s="29"/>
      <c r="F366" s="29"/>
      <c r="G366" s="29"/>
      <c r="H366" s="30"/>
      <c r="I366" s="31"/>
      <c r="J366" s="31"/>
      <c r="K366" s="29"/>
      <c r="L366" s="32"/>
      <c r="M366" s="29"/>
      <c r="N366" s="33"/>
      <c r="O366" s="32"/>
      <c r="P366" s="34"/>
      <c r="Q366" s="34"/>
      <c r="R366" s="34"/>
      <c r="S366" s="32"/>
      <c r="T366" s="32"/>
      <c r="U366" s="32"/>
      <c r="V366" s="32"/>
      <c r="W366" s="32"/>
    </row>
    <row r="367" spans="3:23" x14ac:dyDescent="0.25">
      <c r="C367" s="1"/>
      <c r="D367" s="29"/>
      <c r="E367" s="29"/>
      <c r="F367" s="29"/>
      <c r="G367" s="29"/>
      <c r="H367" s="30"/>
      <c r="I367" s="31"/>
      <c r="J367" s="31"/>
      <c r="K367" s="29"/>
      <c r="L367" s="32"/>
      <c r="M367" s="29"/>
      <c r="N367" s="33"/>
      <c r="O367" s="32"/>
      <c r="P367" s="34"/>
      <c r="Q367" s="34"/>
      <c r="R367" s="34"/>
      <c r="S367" s="32"/>
      <c r="T367" s="32"/>
      <c r="U367" s="32"/>
      <c r="V367" s="32"/>
      <c r="W367" s="32"/>
    </row>
    <row r="368" spans="3:23" x14ac:dyDescent="0.25">
      <c r="C368" s="1"/>
      <c r="D368" s="29"/>
      <c r="E368" s="29"/>
      <c r="F368" s="29"/>
      <c r="G368" s="29"/>
      <c r="H368" s="30"/>
      <c r="I368" s="31"/>
      <c r="J368" s="31"/>
      <c r="K368" s="29"/>
      <c r="L368" s="32"/>
      <c r="M368" s="29"/>
      <c r="N368" s="33"/>
      <c r="O368" s="32"/>
      <c r="P368" s="34"/>
      <c r="Q368" s="34"/>
      <c r="R368" s="34"/>
      <c r="S368" s="32"/>
      <c r="T368" s="32"/>
      <c r="U368" s="32"/>
      <c r="V368" s="32"/>
      <c r="W368" s="32"/>
    </row>
    <row r="369" spans="3:23" x14ac:dyDescent="0.25">
      <c r="C369" s="1"/>
      <c r="D369" s="29"/>
      <c r="E369" s="29"/>
      <c r="F369" s="29"/>
      <c r="G369" s="29"/>
      <c r="H369" s="30"/>
      <c r="I369" s="31"/>
      <c r="J369" s="31"/>
      <c r="K369" s="29"/>
      <c r="L369" s="32"/>
      <c r="M369" s="29"/>
      <c r="N369" s="33"/>
      <c r="O369" s="32"/>
      <c r="P369" s="34"/>
      <c r="Q369" s="34"/>
      <c r="R369" s="34"/>
      <c r="S369" s="32"/>
      <c r="T369" s="32"/>
      <c r="U369" s="32"/>
      <c r="V369" s="32"/>
      <c r="W369" s="32"/>
    </row>
    <row r="370" spans="3:23" x14ac:dyDescent="0.25">
      <c r="C370" s="1"/>
      <c r="D370" s="29"/>
      <c r="E370" s="29"/>
      <c r="F370" s="29"/>
      <c r="G370" s="29"/>
      <c r="H370" s="30"/>
      <c r="I370" s="31"/>
      <c r="J370" s="31"/>
      <c r="K370" s="29"/>
      <c r="L370" s="32"/>
      <c r="M370" s="29"/>
      <c r="N370" s="33"/>
      <c r="O370" s="32"/>
      <c r="P370" s="34"/>
      <c r="Q370" s="34"/>
      <c r="R370" s="34"/>
      <c r="S370" s="32"/>
      <c r="T370" s="32"/>
      <c r="U370" s="32"/>
      <c r="V370" s="32"/>
      <c r="W370" s="32"/>
    </row>
    <row r="371" spans="3:23" x14ac:dyDescent="0.25">
      <c r="C371" s="1"/>
      <c r="D371" s="29"/>
      <c r="E371" s="29"/>
      <c r="F371" s="29"/>
      <c r="G371" s="29"/>
      <c r="H371" s="30"/>
      <c r="I371" s="31"/>
      <c r="J371" s="31"/>
      <c r="K371" s="29"/>
      <c r="L371" s="32"/>
      <c r="M371" s="29"/>
      <c r="N371" s="33"/>
      <c r="O371" s="32"/>
      <c r="P371" s="34"/>
      <c r="Q371" s="34"/>
      <c r="R371" s="34"/>
      <c r="S371" s="32"/>
      <c r="T371" s="32"/>
      <c r="U371" s="32"/>
      <c r="V371" s="32"/>
      <c r="W371" s="32"/>
    </row>
    <row r="372" spans="3:23" x14ac:dyDescent="0.25">
      <c r="C372" s="1"/>
      <c r="D372" s="29"/>
      <c r="E372" s="29"/>
      <c r="F372" s="29"/>
      <c r="G372" s="29"/>
      <c r="H372" s="30"/>
      <c r="I372" s="31"/>
      <c r="J372" s="31"/>
      <c r="K372" s="29"/>
      <c r="L372" s="32"/>
      <c r="M372" s="29"/>
      <c r="N372" s="33"/>
      <c r="O372" s="32"/>
      <c r="P372" s="34"/>
      <c r="Q372" s="34"/>
      <c r="R372" s="34"/>
      <c r="S372" s="32"/>
      <c r="T372" s="32"/>
      <c r="U372" s="32"/>
      <c r="V372" s="32"/>
      <c r="W372" s="32"/>
    </row>
    <row r="373" spans="3:23" x14ac:dyDescent="0.25">
      <c r="C373" s="1"/>
      <c r="D373" s="29"/>
      <c r="E373" s="29"/>
      <c r="F373" s="29"/>
      <c r="G373" s="29"/>
      <c r="H373" s="30"/>
      <c r="I373" s="31"/>
      <c r="J373" s="31"/>
      <c r="K373" s="29"/>
      <c r="L373" s="32"/>
      <c r="M373" s="29"/>
      <c r="N373" s="33"/>
      <c r="O373" s="32"/>
      <c r="P373" s="34"/>
      <c r="Q373" s="34"/>
      <c r="R373" s="34"/>
      <c r="S373" s="32"/>
      <c r="T373" s="32"/>
      <c r="U373" s="32"/>
      <c r="V373" s="32"/>
      <c r="W373" s="32"/>
    </row>
    <row r="374" spans="3:23" x14ac:dyDescent="0.25">
      <c r="C374" s="1"/>
      <c r="D374" s="29"/>
      <c r="E374" s="29"/>
      <c r="F374" s="29"/>
      <c r="G374" s="29"/>
      <c r="H374" s="30"/>
      <c r="I374" s="31"/>
      <c r="J374" s="31"/>
      <c r="K374" s="29"/>
      <c r="L374" s="32"/>
      <c r="M374" s="29"/>
      <c r="N374" s="33"/>
      <c r="O374" s="32"/>
      <c r="P374" s="34"/>
      <c r="Q374" s="34"/>
      <c r="R374" s="34"/>
      <c r="S374" s="32"/>
      <c r="T374" s="32"/>
      <c r="U374" s="32"/>
      <c r="V374" s="32"/>
      <c r="W374" s="32"/>
    </row>
    <row r="375" spans="3:23" x14ac:dyDescent="0.25">
      <c r="C375" s="1"/>
      <c r="D375" s="29"/>
      <c r="E375" s="29"/>
      <c r="F375" s="29"/>
      <c r="G375" s="29"/>
      <c r="H375" s="30"/>
      <c r="I375" s="31"/>
      <c r="J375" s="31"/>
      <c r="K375" s="29"/>
      <c r="L375" s="32"/>
      <c r="M375" s="29"/>
      <c r="N375" s="33"/>
      <c r="O375" s="32"/>
      <c r="P375" s="34"/>
      <c r="Q375" s="34"/>
      <c r="R375" s="34"/>
      <c r="S375" s="32"/>
      <c r="T375" s="32"/>
      <c r="U375" s="32"/>
      <c r="V375" s="32"/>
      <c r="W375" s="32"/>
    </row>
    <row r="376" spans="3:23" x14ac:dyDescent="0.25">
      <c r="C376" s="1"/>
      <c r="D376" s="29"/>
      <c r="E376" s="29"/>
      <c r="F376" s="29"/>
      <c r="G376" s="29"/>
      <c r="H376" s="30"/>
      <c r="I376" s="31"/>
      <c r="J376" s="31"/>
      <c r="K376" s="29"/>
      <c r="L376" s="32"/>
      <c r="M376" s="29"/>
      <c r="N376" s="33"/>
      <c r="O376" s="32"/>
      <c r="P376" s="34"/>
      <c r="Q376" s="34"/>
      <c r="R376" s="34"/>
      <c r="S376" s="32"/>
      <c r="T376" s="32"/>
      <c r="U376" s="32"/>
      <c r="V376" s="32"/>
      <c r="W376" s="32"/>
    </row>
    <row r="377" spans="3:23" x14ac:dyDescent="0.25">
      <c r="C377" s="1"/>
      <c r="D377" s="29"/>
      <c r="E377" s="29"/>
      <c r="F377" s="29"/>
      <c r="G377" s="29"/>
      <c r="H377" s="30"/>
      <c r="I377" s="31"/>
      <c r="J377" s="31"/>
      <c r="K377" s="29"/>
      <c r="L377" s="32"/>
      <c r="M377" s="29"/>
      <c r="N377" s="33"/>
      <c r="O377" s="32"/>
      <c r="P377" s="34"/>
      <c r="Q377" s="34"/>
      <c r="R377" s="34"/>
      <c r="S377" s="32"/>
      <c r="T377" s="32"/>
      <c r="U377" s="32"/>
      <c r="V377" s="32"/>
      <c r="W377" s="32"/>
    </row>
    <row r="378" spans="3:23" x14ac:dyDescent="0.25">
      <c r="C378" s="1"/>
      <c r="D378" s="29"/>
      <c r="E378" s="29"/>
      <c r="F378" s="29"/>
      <c r="G378" s="29"/>
      <c r="H378" s="30"/>
      <c r="I378" s="31"/>
      <c r="J378" s="31"/>
      <c r="K378" s="29"/>
      <c r="L378" s="32"/>
      <c r="M378" s="29"/>
      <c r="N378" s="33"/>
      <c r="O378" s="32"/>
      <c r="P378" s="34"/>
      <c r="Q378" s="34"/>
      <c r="R378" s="34"/>
      <c r="S378" s="32"/>
      <c r="T378" s="32"/>
      <c r="U378" s="32"/>
      <c r="V378" s="32"/>
      <c r="W378" s="32"/>
    </row>
    <row r="379" spans="3:23" x14ac:dyDescent="0.25">
      <c r="C379" s="1"/>
      <c r="D379" s="29"/>
      <c r="E379" s="29"/>
      <c r="F379" s="29"/>
      <c r="G379" s="29"/>
      <c r="H379" s="30"/>
      <c r="I379" s="31"/>
      <c r="J379" s="31"/>
      <c r="K379" s="29"/>
      <c r="L379" s="32"/>
      <c r="M379" s="29"/>
      <c r="N379" s="33"/>
      <c r="O379" s="32"/>
      <c r="P379" s="34"/>
      <c r="Q379" s="34"/>
      <c r="R379" s="34"/>
      <c r="S379" s="32"/>
      <c r="T379" s="32"/>
      <c r="U379" s="32"/>
      <c r="V379" s="32"/>
      <c r="W379" s="32"/>
    </row>
    <row r="380" spans="3:23" x14ac:dyDescent="0.25">
      <c r="C380" s="1"/>
      <c r="D380" s="29"/>
      <c r="E380" s="29"/>
      <c r="F380" s="29"/>
      <c r="G380" s="29"/>
      <c r="H380" s="30"/>
      <c r="I380" s="31"/>
      <c r="J380" s="31"/>
      <c r="K380" s="29"/>
      <c r="L380" s="32"/>
      <c r="M380" s="29"/>
      <c r="N380" s="33"/>
      <c r="O380" s="32"/>
      <c r="P380" s="34"/>
      <c r="Q380" s="34"/>
      <c r="R380" s="34"/>
      <c r="S380" s="32"/>
      <c r="T380" s="32"/>
      <c r="U380" s="32"/>
      <c r="V380" s="32"/>
      <c r="W380" s="32"/>
    </row>
    <row r="381" spans="3:23" x14ac:dyDescent="0.25">
      <c r="C381" s="1"/>
      <c r="D381" s="29"/>
      <c r="E381" s="29"/>
      <c r="F381" s="29"/>
      <c r="G381" s="29"/>
      <c r="H381" s="30"/>
      <c r="I381" s="31"/>
      <c r="J381" s="31"/>
      <c r="K381" s="29"/>
      <c r="L381" s="32"/>
      <c r="M381" s="29"/>
      <c r="N381" s="33"/>
      <c r="O381" s="32"/>
      <c r="P381" s="34"/>
      <c r="Q381" s="34"/>
      <c r="R381" s="34"/>
      <c r="S381" s="32"/>
      <c r="T381" s="32"/>
      <c r="U381" s="32"/>
      <c r="V381" s="32"/>
      <c r="W381" s="32"/>
    </row>
    <row r="382" spans="3:23" x14ac:dyDescent="0.25">
      <c r="C382" s="1"/>
      <c r="D382" s="29"/>
      <c r="E382" s="29"/>
      <c r="F382" s="29"/>
      <c r="G382" s="29"/>
      <c r="H382" s="30"/>
      <c r="I382" s="31"/>
      <c r="J382" s="31"/>
      <c r="K382" s="29"/>
      <c r="L382" s="32"/>
      <c r="M382" s="29"/>
      <c r="N382" s="33"/>
      <c r="O382" s="32"/>
      <c r="P382" s="34"/>
      <c r="Q382" s="34"/>
      <c r="R382" s="34"/>
      <c r="S382" s="32"/>
      <c r="T382" s="32"/>
      <c r="U382" s="32"/>
      <c r="V382" s="32"/>
      <c r="W382" s="32"/>
    </row>
    <row r="383" spans="3:23" x14ac:dyDescent="0.25">
      <c r="C383" s="1"/>
      <c r="D383" s="29"/>
      <c r="E383" s="29"/>
      <c r="F383" s="29"/>
      <c r="G383" s="29"/>
      <c r="H383" s="30"/>
      <c r="I383" s="31"/>
      <c r="J383" s="31"/>
      <c r="K383" s="29"/>
      <c r="L383" s="32"/>
      <c r="M383" s="29"/>
      <c r="N383" s="33"/>
      <c r="O383" s="32"/>
      <c r="P383" s="34"/>
      <c r="Q383" s="34"/>
      <c r="R383" s="34"/>
      <c r="S383" s="32"/>
      <c r="T383" s="32"/>
      <c r="U383" s="32"/>
      <c r="V383" s="32"/>
      <c r="W383" s="32"/>
    </row>
    <row r="384" spans="3:23" x14ac:dyDescent="0.25">
      <c r="C384" s="1"/>
      <c r="D384" s="29"/>
      <c r="E384" s="29"/>
      <c r="F384" s="29"/>
      <c r="G384" s="29"/>
      <c r="H384" s="30"/>
      <c r="I384" s="31"/>
      <c r="J384" s="31"/>
      <c r="K384" s="29"/>
      <c r="L384" s="32"/>
      <c r="M384" s="29"/>
      <c r="N384" s="33"/>
      <c r="O384" s="32"/>
      <c r="P384" s="34"/>
      <c r="Q384" s="34"/>
      <c r="R384" s="34"/>
      <c r="S384" s="32"/>
      <c r="T384" s="32"/>
      <c r="U384" s="32"/>
      <c r="V384" s="32"/>
      <c r="W384" s="32"/>
    </row>
    <row r="385" spans="3:23" x14ac:dyDescent="0.25">
      <c r="C385" s="1"/>
      <c r="D385" s="29"/>
      <c r="E385" s="29"/>
      <c r="F385" s="29"/>
      <c r="G385" s="29"/>
      <c r="H385" s="30"/>
      <c r="I385" s="31"/>
      <c r="J385" s="31"/>
      <c r="K385" s="29"/>
      <c r="L385" s="32"/>
      <c r="M385" s="29"/>
      <c r="N385" s="33"/>
      <c r="O385" s="32"/>
      <c r="P385" s="34"/>
      <c r="Q385" s="34"/>
      <c r="R385" s="34"/>
      <c r="S385" s="32"/>
      <c r="T385" s="32"/>
      <c r="U385" s="32"/>
      <c r="V385" s="32"/>
      <c r="W385" s="32"/>
    </row>
    <row r="386" spans="3:23" x14ac:dyDescent="0.25">
      <c r="C386" s="1"/>
      <c r="D386" s="29"/>
      <c r="E386" s="29"/>
      <c r="F386" s="29"/>
      <c r="G386" s="29"/>
      <c r="H386" s="30"/>
      <c r="I386" s="31"/>
      <c r="J386" s="31"/>
      <c r="K386" s="29"/>
      <c r="L386" s="32"/>
      <c r="M386" s="29"/>
      <c r="N386" s="33"/>
      <c r="O386" s="32"/>
      <c r="P386" s="34"/>
      <c r="Q386" s="34"/>
      <c r="R386" s="34"/>
      <c r="S386" s="32"/>
      <c r="T386" s="32"/>
      <c r="U386" s="32"/>
      <c r="V386" s="32"/>
      <c r="W386" s="32"/>
    </row>
    <row r="387" spans="3:23" x14ac:dyDescent="0.25">
      <c r="C387" s="1"/>
      <c r="D387" s="29"/>
      <c r="E387" s="29"/>
      <c r="F387" s="29"/>
      <c r="G387" s="29"/>
      <c r="H387" s="30"/>
      <c r="I387" s="31"/>
      <c r="J387" s="31"/>
      <c r="K387" s="29"/>
      <c r="L387" s="32"/>
      <c r="M387" s="29"/>
      <c r="N387" s="33"/>
      <c r="O387" s="32"/>
      <c r="P387" s="34"/>
      <c r="Q387" s="34"/>
      <c r="R387" s="34"/>
      <c r="S387" s="32"/>
      <c r="T387" s="32"/>
      <c r="U387" s="32"/>
      <c r="V387" s="32"/>
      <c r="W387" s="32"/>
    </row>
    <row r="388" spans="3:23" x14ac:dyDescent="0.25">
      <c r="C388" s="1"/>
      <c r="D388" s="29"/>
      <c r="E388" s="29"/>
      <c r="F388" s="29"/>
      <c r="G388" s="29"/>
      <c r="H388" s="30"/>
      <c r="I388" s="31"/>
      <c r="J388" s="31"/>
      <c r="K388" s="29"/>
      <c r="L388" s="32"/>
      <c r="M388" s="29"/>
      <c r="N388" s="33"/>
      <c r="O388" s="32"/>
      <c r="P388" s="34"/>
      <c r="Q388" s="34"/>
      <c r="R388" s="34"/>
      <c r="S388" s="32"/>
      <c r="T388" s="32"/>
      <c r="U388" s="32"/>
      <c r="V388" s="32"/>
      <c r="W388" s="32"/>
    </row>
    <row r="389" spans="3:23" x14ac:dyDescent="0.25">
      <c r="C389" s="1"/>
      <c r="D389" s="29"/>
      <c r="E389" s="29"/>
      <c r="F389" s="29"/>
      <c r="G389" s="29"/>
      <c r="H389" s="30"/>
      <c r="I389" s="31"/>
      <c r="J389" s="31"/>
      <c r="K389" s="29"/>
      <c r="L389" s="32"/>
      <c r="M389" s="29"/>
      <c r="N389" s="33"/>
      <c r="O389" s="32"/>
      <c r="P389" s="34"/>
      <c r="Q389" s="34"/>
      <c r="R389" s="34"/>
      <c r="S389" s="32"/>
      <c r="T389" s="32"/>
      <c r="U389" s="32"/>
      <c r="V389" s="32"/>
      <c r="W389" s="32"/>
    </row>
    <row r="390" spans="3:23" x14ac:dyDescent="0.25">
      <c r="C390" s="1"/>
      <c r="D390" s="29"/>
      <c r="E390" s="29"/>
      <c r="F390" s="29"/>
      <c r="G390" s="29"/>
      <c r="H390" s="30"/>
      <c r="I390" s="31"/>
      <c r="J390" s="31"/>
      <c r="K390" s="29"/>
      <c r="L390" s="32"/>
      <c r="M390" s="29"/>
      <c r="N390" s="33"/>
      <c r="O390" s="32"/>
      <c r="P390" s="34"/>
      <c r="Q390" s="34"/>
      <c r="R390" s="34"/>
      <c r="S390" s="32"/>
      <c r="T390" s="32"/>
      <c r="U390" s="32"/>
      <c r="V390" s="32"/>
      <c r="W390" s="32"/>
    </row>
    <row r="391" spans="3:23" x14ac:dyDescent="0.25">
      <c r="C391" s="1"/>
      <c r="D391" s="29"/>
      <c r="E391" s="29"/>
      <c r="F391" s="29"/>
      <c r="G391" s="29"/>
      <c r="H391" s="30"/>
      <c r="I391" s="31"/>
      <c r="J391" s="31"/>
      <c r="K391" s="29"/>
      <c r="L391" s="32"/>
      <c r="M391" s="29"/>
      <c r="N391" s="33"/>
      <c r="O391" s="32"/>
      <c r="P391" s="34"/>
      <c r="Q391" s="34"/>
      <c r="R391" s="34"/>
      <c r="S391" s="32"/>
      <c r="T391" s="32"/>
      <c r="U391" s="32"/>
      <c r="V391" s="32"/>
      <c r="W391" s="32"/>
    </row>
    <row r="392" spans="3:23" x14ac:dyDescent="0.25">
      <c r="C392" s="1"/>
      <c r="D392" s="29"/>
      <c r="E392" s="29"/>
      <c r="F392" s="29"/>
      <c r="G392" s="29"/>
      <c r="H392" s="30"/>
      <c r="I392" s="31"/>
      <c r="J392" s="31"/>
      <c r="K392" s="29"/>
      <c r="L392" s="32"/>
      <c r="M392" s="29"/>
      <c r="N392" s="33"/>
      <c r="O392" s="32"/>
      <c r="P392" s="34"/>
      <c r="Q392" s="34"/>
      <c r="R392" s="34"/>
      <c r="S392" s="32"/>
      <c r="T392" s="32"/>
      <c r="U392" s="32"/>
      <c r="V392" s="32"/>
      <c r="W392" s="32"/>
    </row>
    <row r="393" spans="3:23" x14ac:dyDescent="0.25">
      <c r="C393" s="1"/>
      <c r="D393" s="29"/>
      <c r="E393" s="29"/>
      <c r="F393" s="29"/>
      <c r="G393" s="29"/>
      <c r="H393" s="30"/>
      <c r="I393" s="31"/>
      <c r="J393" s="31"/>
      <c r="K393" s="29"/>
      <c r="L393" s="32"/>
      <c r="M393" s="29"/>
      <c r="N393" s="33"/>
      <c r="O393" s="32"/>
      <c r="P393" s="34"/>
      <c r="Q393" s="34"/>
      <c r="R393" s="34"/>
      <c r="S393" s="32"/>
      <c r="T393" s="32"/>
      <c r="U393" s="32"/>
      <c r="V393" s="32"/>
      <c r="W393" s="32"/>
    </row>
    <row r="394" spans="3:23" x14ac:dyDescent="0.25">
      <c r="C394" s="1"/>
      <c r="D394" s="29"/>
      <c r="E394" s="29"/>
      <c r="F394" s="29"/>
      <c r="G394" s="29"/>
      <c r="H394" s="30"/>
      <c r="I394" s="31"/>
      <c r="J394" s="31"/>
      <c r="K394" s="29"/>
      <c r="L394" s="32"/>
      <c r="M394" s="29"/>
      <c r="N394" s="33"/>
      <c r="O394" s="32"/>
      <c r="P394" s="34"/>
      <c r="Q394" s="34"/>
      <c r="R394" s="34"/>
      <c r="S394" s="32"/>
      <c r="T394" s="32"/>
      <c r="U394" s="32"/>
      <c r="V394" s="32"/>
      <c r="W394" s="32"/>
    </row>
    <row r="395" spans="3:23" x14ac:dyDescent="0.25">
      <c r="C395" s="1"/>
      <c r="D395" s="29"/>
      <c r="E395" s="29"/>
      <c r="F395" s="29"/>
      <c r="G395" s="29"/>
      <c r="H395" s="30"/>
      <c r="I395" s="31"/>
      <c r="J395" s="31"/>
      <c r="K395" s="29"/>
      <c r="L395" s="32"/>
      <c r="M395" s="29"/>
      <c r="N395" s="33"/>
      <c r="O395" s="32"/>
      <c r="P395" s="34"/>
      <c r="Q395" s="34"/>
      <c r="R395" s="34"/>
      <c r="S395" s="32"/>
      <c r="T395" s="32"/>
      <c r="U395" s="32"/>
      <c r="V395" s="32"/>
      <c r="W395" s="32"/>
    </row>
    <row r="396" spans="3:23" x14ac:dyDescent="0.25">
      <c r="C396" s="1"/>
      <c r="D396" s="29"/>
      <c r="E396" s="29"/>
      <c r="F396" s="29"/>
      <c r="G396" s="29"/>
      <c r="H396" s="30"/>
      <c r="I396" s="31"/>
      <c r="J396" s="31"/>
      <c r="K396" s="29"/>
      <c r="L396" s="32"/>
      <c r="M396" s="29"/>
      <c r="N396" s="33"/>
      <c r="O396" s="32"/>
      <c r="P396" s="34"/>
      <c r="Q396" s="34"/>
      <c r="R396" s="34"/>
      <c r="S396" s="32"/>
      <c r="T396" s="32"/>
      <c r="U396" s="32"/>
      <c r="V396" s="32"/>
      <c r="W396" s="32"/>
    </row>
    <row r="397" spans="3:23" x14ac:dyDescent="0.25">
      <c r="C397" s="1"/>
      <c r="D397" s="29"/>
      <c r="E397" s="29"/>
      <c r="F397" s="29"/>
      <c r="G397" s="29"/>
      <c r="H397" s="30"/>
      <c r="I397" s="31"/>
      <c r="J397" s="31"/>
      <c r="K397" s="29"/>
      <c r="L397" s="32"/>
      <c r="M397" s="29"/>
      <c r="N397" s="33"/>
      <c r="O397" s="32"/>
      <c r="P397" s="34"/>
      <c r="Q397" s="34"/>
      <c r="R397" s="34"/>
      <c r="S397" s="32"/>
      <c r="T397" s="32"/>
      <c r="U397" s="32"/>
      <c r="V397" s="32"/>
      <c r="W397" s="32"/>
    </row>
    <row r="398" spans="3:23" x14ac:dyDescent="0.25">
      <c r="C398" s="1"/>
      <c r="D398" s="29"/>
      <c r="E398" s="29"/>
      <c r="F398" s="29"/>
      <c r="G398" s="29"/>
      <c r="H398" s="30"/>
      <c r="I398" s="31"/>
      <c r="J398" s="31"/>
      <c r="K398" s="29"/>
      <c r="L398" s="32"/>
      <c r="M398" s="29"/>
      <c r="N398" s="33"/>
      <c r="O398" s="32"/>
      <c r="P398" s="34"/>
      <c r="Q398" s="34"/>
      <c r="R398" s="34"/>
      <c r="S398" s="32"/>
      <c r="T398" s="32"/>
      <c r="U398" s="32"/>
      <c r="V398" s="32"/>
      <c r="W398" s="32"/>
    </row>
    <row r="399" spans="3:23" x14ac:dyDescent="0.25">
      <c r="C399" s="1"/>
      <c r="D399" s="29"/>
      <c r="E399" s="29"/>
      <c r="F399" s="29"/>
      <c r="G399" s="29"/>
      <c r="H399" s="30"/>
      <c r="I399" s="31"/>
      <c r="J399" s="31"/>
      <c r="K399" s="29"/>
      <c r="L399" s="32"/>
      <c r="M399" s="29"/>
      <c r="N399" s="33"/>
      <c r="O399" s="32"/>
      <c r="P399" s="34"/>
      <c r="Q399" s="34"/>
      <c r="R399" s="34"/>
      <c r="S399" s="32"/>
      <c r="T399" s="32"/>
      <c r="U399" s="32"/>
      <c r="V399" s="32"/>
      <c r="W399" s="32"/>
    </row>
    <row r="400" spans="3:23" x14ac:dyDescent="0.25">
      <c r="C400" s="1"/>
      <c r="D400" s="29"/>
      <c r="E400" s="29"/>
      <c r="F400" s="29"/>
      <c r="G400" s="29"/>
      <c r="H400" s="30"/>
      <c r="I400" s="31"/>
      <c r="J400" s="31"/>
      <c r="K400" s="29"/>
      <c r="L400" s="32"/>
      <c r="M400" s="29"/>
      <c r="N400" s="33"/>
      <c r="O400" s="32"/>
      <c r="P400" s="34"/>
      <c r="Q400" s="34"/>
      <c r="R400" s="34"/>
      <c r="S400" s="32"/>
      <c r="T400" s="32"/>
      <c r="U400" s="32"/>
      <c r="V400" s="32"/>
      <c r="W400" s="32"/>
    </row>
    <row r="401" spans="3:23" x14ac:dyDescent="0.25">
      <c r="C401" s="1"/>
      <c r="D401" s="29"/>
      <c r="E401" s="29"/>
      <c r="F401" s="29"/>
      <c r="G401" s="29"/>
      <c r="H401" s="30"/>
      <c r="I401" s="31"/>
      <c r="J401" s="31"/>
      <c r="K401" s="29"/>
      <c r="L401" s="32"/>
      <c r="M401" s="29"/>
      <c r="N401" s="33"/>
      <c r="O401" s="32"/>
      <c r="P401" s="34"/>
      <c r="Q401" s="34"/>
      <c r="R401" s="34"/>
      <c r="S401" s="32"/>
      <c r="T401" s="32"/>
      <c r="U401" s="32"/>
      <c r="V401" s="32"/>
      <c r="W401" s="32"/>
    </row>
    <row r="402" spans="3:23" x14ac:dyDescent="0.25">
      <c r="C402" s="1"/>
      <c r="D402" s="29"/>
      <c r="E402" s="29"/>
      <c r="F402" s="29"/>
      <c r="G402" s="29"/>
      <c r="H402" s="30"/>
      <c r="I402" s="31"/>
      <c r="J402" s="31"/>
      <c r="K402" s="29"/>
      <c r="L402" s="32"/>
      <c r="M402" s="29"/>
      <c r="N402" s="33"/>
      <c r="O402" s="32"/>
      <c r="P402" s="34"/>
      <c r="Q402" s="34"/>
      <c r="R402" s="34"/>
      <c r="S402" s="32"/>
      <c r="T402" s="32"/>
      <c r="U402" s="32"/>
      <c r="V402" s="32"/>
      <c r="W402" s="32"/>
    </row>
    <row r="403" spans="3:23" x14ac:dyDescent="0.25">
      <c r="C403" s="1"/>
      <c r="D403" s="29"/>
      <c r="E403" s="29"/>
      <c r="F403" s="29"/>
      <c r="G403" s="29"/>
      <c r="H403" s="30"/>
      <c r="I403" s="31"/>
      <c r="J403" s="31"/>
      <c r="K403" s="29"/>
      <c r="L403" s="32"/>
      <c r="M403" s="29"/>
      <c r="N403" s="33"/>
      <c r="O403" s="32"/>
      <c r="P403" s="34"/>
      <c r="Q403" s="34"/>
      <c r="R403" s="34"/>
      <c r="S403" s="32"/>
      <c r="T403" s="32"/>
      <c r="U403" s="32"/>
      <c r="V403" s="32"/>
      <c r="W403" s="32"/>
    </row>
    <row r="404" spans="3:23" x14ac:dyDescent="0.25">
      <c r="C404" s="1"/>
      <c r="D404" s="29"/>
      <c r="E404" s="29"/>
      <c r="F404" s="29"/>
      <c r="G404" s="29"/>
      <c r="H404" s="30"/>
      <c r="I404" s="31"/>
      <c r="J404" s="31"/>
      <c r="K404" s="29"/>
      <c r="L404" s="32"/>
      <c r="M404" s="29"/>
      <c r="N404" s="33"/>
      <c r="O404" s="32"/>
      <c r="P404" s="34"/>
      <c r="Q404" s="34"/>
      <c r="R404" s="34"/>
      <c r="S404" s="32"/>
      <c r="T404" s="32"/>
      <c r="U404" s="32"/>
      <c r="V404" s="32"/>
      <c r="W404" s="32"/>
    </row>
    <row r="405" spans="3:23" x14ac:dyDescent="0.25">
      <c r="C405" s="1"/>
      <c r="D405" s="29"/>
      <c r="E405" s="29"/>
      <c r="F405" s="29"/>
      <c r="G405" s="29"/>
      <c r="H405" s="30"/>
      <c r="I405" s="31"/>
      <c r="J405" s="31"/>
      <c r="K405" s="29"/>
      <c r="L405" s="32"/>
      <c r="M405" s="29"/>
      <c r="N405" s="33"/>
      <c r="O405" s="32"/>
      <c r="P405" s="34"/>
      <c r="Q405" s="34"/>
      <c r="R405" s="34"/>
      <c r="S405" s="32"/>
      <c r="T405" s="32"/>
      <c r="U405" s="32"/>
      <c r="V405" s="32"/>
      <c r="W405" s="32"/>
    </row>
    <row r="406" spans="3:23" x14ac:dyDescent="0.25">
      <c r="C406" s="1"/>
      <c r="D406" s="29"/>
      <c r="E406" s="29"/>
      <c r="F406" s="29"/>
      <c r="G406" s="29"/>
      <c r="H406" s="30"/>
      <c r="I406" s="31"/>
      <c r="J406" s="31"/>
      <c r="K406" s="29"/>
      <c r="L406" s="32"/>
      <c r="M406" s="29"/>
      <c r="N406" s="33"/>
      <c r="O406" s="32"/>
      <c r="P406" s="34"/>
      <c r="Q406" s="34"/>
      <c r="R406" s="34"/>
      <c r="S406" s="32"/>
      <c r="T406" s="32"/>
      <c r="U406" s="32"/>
      <c r="V406" s="32"/>
      <c r="W406" s="32"/>
    </row>
    <row r="407" spans="3:23" x14ac:dyDescent="0.25">
      <c r="C407" s="1"/>
      <c r="D407" s="29"/>
      <c r="E407" s="29"/>
      <c r="F407" s="29"/>
      <c r="G407" s="29"/>
      <c r="H407" s="30"/>
      <c r="I407" s="31"/>
      <c r="J407" s="31"/>
      <c r="K407" s="29"/>
      <c r="L407" s="32"/>
      <c r="M407" s="29"/>
      <c r="N407" s="33"/>
      <c r="O407" s="32"/>
      <c r="P407" s="34"/>
      <c r="Q407" s="34"/>
      <c r="R407" s="34"/>
      <c r="S407" s="32"/>
      <c r="T407" s="32"/>
      <c r="U407" s="32"/>
      <c r="V407" s="32"/>
      <c r="W407" s="32"/>
    </row>
    <row r="408" spans="3:23" x14ac:dyDescent="0.25">
      <c r="C408" s="1"/>
      <c r="D408" s="29"/>
      <c r="E408" s="29"/>
      <c r="F408" s="29"/>
      <c r="G408" s="29"/>
      <c r="H408" s="30"/>
      <c r="I408" s="31"/>
      <c r="J408" s="31"/>
      <c r="K408" s="29"/>
      <c r="L408" s="32"/>
      <c r="M408" s="29"/>
      <c r="N408" s="33"/>
      <c r="O408" s="32"/>
      <c r="P408" s="34"/>
      <c r="Q408" s="34"/>
      <c r="R408" s="34"/>
      <c r="S408" s="32"/>
      <c r="T408" s="32"/>
      <c r="U408" s="32"/>
      <c r="V408" s="32"/>
      <c r="W408" s="32"/>
    </row>
    <row r="409" spans="3:23" x14ac:dyDescent="0.25">
      <c r="C409" s="1"/>
      <c r="D409" s="29"/>
      <c r="E409" s="29"/>
      <c r="F409" s="29"/>
      <c r="G409" s="29"/>
      <c r="H409" s="30"/>
      <c r="I409" s="31"/>
      <c r="J409" s="31"/>
      <c r="K409" s="29"/>
      <c r="L409" s="32"/>
      <c r="M409" s="29"/>
      <c r="N409" s="33"/>
      <c r="O409" s="32"/>
      <c r="P409" s="34"/>
      <c r="Q409" s="34"/>
      <c r="R409" s="34"/>
      <c r="S409" s="32"/>
      <c r="T409" s="32"/>
      <c r="U409" s="32"/>
      <c r="V409" s="32"/>
      <c r="W409" s="32"/>
    </row>
    <row r="410" spans="3:23" x14ac:dyDescent="0.25">
      <c r="C410" s="1"/>
      <c r="D410" s="29"/>
      <c r="E410" s="29"/>
      <c r="F410" s="29"/>
      <c r="G410" s="29"/>
      <c r="H410" s="30"/>
      <c r="I410" s="31"/>
      <c r="J410" s="31"/>
      <c r="K410" s="29"/>
      <c r="L410" s="32"/>
      <c r="M410" s="29"/>
      <c r="N410" s="33"/>
      <c r="O410" s="32"/>
      <c r="P410" s="34"/>
      <c r="Q410" s="34"/>
      <c r="R410" s="34"/>
      <c r="S410" s="32"/>
      <c r="T410" s="32"/>
      <c r="U410" s="32"/>
      <c r="V410" s="32"/>
      <c r="W410" s="32"/>
    </row>
    <row r="411" spans="3:23" x14ac:dyDescent="0.25">
      <c r="C411" s="1"/>
      <c r="D411" s="29"/>
      <c r="E411" s="29"/>
      <c r="F411" s="29"/>
      <c r="G411" s="29"/>
      <c r="H411" s="30"/>
      <c r="I411" s="31"/>
      <c r="J411" s="31"/>
      <c r="K411" s="29"/>
      <c r="L411" s="32"/>
      <c r="M411" s="29"/>
      <c r="N411" s="33"/>
      <c r="O411" s="32"/>
      <c r="P411" s="34"/>
      <c r="Q411" s="34"/>
      <c r="R411" s="34"/>
      <c r="S411" s="32"/>
      <c r="T411" s="32"/>
      <c r="U411" s="32"/>
      <c r="V411" s="32"/>
      <c r="W411" s="32"/>
    </row>
    <row r="412" spans="3:23" x14ac:dyDescent="0.25">
      <c r="C412" s="1"/>
      <c r="D412" s="29"/>
      <c r="E412" s="29"/>
      <c r="F412" s="29"/>
      <c r="G412" s="29"/>
      <c r="H412" s="30"/>
      <c r="I412" s="31"/>
      <c r="J412" s="31"/>
      <c r="K412" s="29"/>
      <c r="L412" s="32"/>
      <c r="M412" s="29"/>
      <c r="N412" s="33"/>
      <c r="O412" s="32"/>
      <c r="P412" s="34"/>
      <c r="Q412" s="34"/>
      <c r="R412" s="34"/>
      <c r="S412" s="32"/>
      <c r="T412" s="32"/>
      <c r="U412" s="32"/>
      <c r="V412" s="32"/>
      <c r="W412" s="32"/>
    </row>
    <row r="413" spans="3:23" x14ac:dyDescent="0.25">
      <c r="C413" s="1"/>
      <c r="D413" s="29"/>
      <c r="E413" s="29"/>
      <c r="F413" s="29"/>
      <c r="G413" s="29"/>
      <c r="H413" s="30"/>
      <c r="I413" s="31"/>
      <c r="J413" s="31"/>
      <c r="K413" s="29"/>
      <c r="L413" s="32"/>
      <c r="M413" s="29"/>
      <c r="N413" s="33"/>
      <c r="O413" s="32"/>
      <c r="P413" s="34"/>
      <c r="Q413" s="34"/>
      <c r="R413" s="34"/>
      <c r="S413" s="32"/>
      <c r="T413" s="32"/>
      <c r="U413" s="32"/>
      <c r="V413" s="32"/>
      <c r="W413" s="32"/>
    </row>
    <row r="414" spans="3:23" x14ac:dyDescent="0.25">
      <c r="C414" s="1"/>
      <c r="D414" s="29"/>
      <c r="E414" s="29"/>
      <c r="F414" s="29"/>
      <c r="G414" s="29"/>
      <c r="H414" s="30"/>
      <c r="I414" s="31"/>
      <c r="J414" s="31"/>
      <c r="K414" s="29"/>
      <c r="L414" s="32"/>
      <c r="M414" s="29"/>
      <c r="N414" s="33"/>
      <c r="O414" s="32"/>
      <c r="P414" s="34"/>
      <c r="Q414" s="34"/>
      <c r="R414" s="34"/>
      <c r="S414" s="32"/>
      <c r="T414" s="32"/>
      <c r="U414" s="32"/>
      <c r="V414" s="32"/>
      <c r="W414" s="32"/>
    </row>
    <row r="415" spans="3:23" x14ac:dyDescent="0.25">
      <c r="C415" s="1"/>
      <c r="D415" s="29"/>
      <c r="E415" s="29"/>
      <c r="F415" s="29"/>
      <c r="G415" s="29"/>
      <c r="H415" s="30"/>
      <c r="I415" s="31"/>
      <c r="J415" s="31"/>
      <c r="K415" s="29"/>
      <c r="L415" s="32"/>
      <c r="M415" s="29"/>
      <c r="N415" s="33"/>
      <c r="O415" s="32"/>
      <c r="P415" s="34"/>
      <c r="Q415" s="34"/>
      <c r="R415" s="34"/>
      <c r="S415" s="32"/>
      <c r="T415" s="32"/>
      <c r="U415" s="32"/>
      <c r="V415" s="32"/>
      <c r="W415" s="32"/>
    </row>
    <row r="416" spans="3:23" x14ac:dyDescent="0.25">
      <c r="C416" s="1"/>
      <c r="D416" s="29"/>
      <c r="E416" s="29"/>
      <c r="F416" s="29"/>
      <c r="G416" s="29"/>
      <c r="H416" s="30"/>
      <c r="I416" s="31"/>
      <c r="J416" s="31"/>
      <c r="K416" s="29"/>
      <c r="L416" s="32"/>
      <c r="M416" s="29"/>
      <c r="N416" s="33"/>
      <c r="O416" s="32"/>
      <c r="P416" s="34"/>
      <c r="Q416" s="34"/>
      <c r="R416" s="34"/>
      <c r="S416" s="32"/>
      <c r="T416" s="32"/>
      <c r="U416" s="32"/>
      <c r="V416" s="32"/>
      <c r="W416" s="32"/>
    </row>
    <row r="417" spans="3:23" x14ac:dyDescent="0.25">
      <c r="C417" s="1"/>
      <c r="D417" s="29"/>
      <c r="E417" s="29"/>
      <c r="F417" s="29"/>
      <c r="G417" s="29"/>
      <c r="H417" s="30"/>
      <c r="I417" s="31"/>
      <c r="J417" s="31"/>
      <c r="K417" s="29"/>
      <c r="L417" s="32"/>
      <c r="M417" s="29"/>
      <c r="N417" s="33"/>
      <c r="O417" s="32"/>
      <c r="P417" s="34"/>
      <c r="Q417" s="34"/>
      <c r="R417" s="34"/>
      <c r="S417" s="32"/>
      <c r="T417" s="32"/>
      <c r="U417" s="32"/>
      <c r="V417" s="32"/>
      <c r="W417" s="32"/>
    </row>
    <row r="418" spans="3:23" x14ac:dyDescent="0.25">
      <c r="C418" s="1"/>
      <c r="D418" s="29"/>
      <c r="E418" s="29"/>
      <c r="F418" s="29"/>
      <c r="G418" s="29"/>
      <c r="H418" s="30"/>
      <c r="I418" s="31"/>
      <c r="J418" s="31"/>
      <c r="K418" s="29"/>
      <c r="L418" s="32"/>
      <c r="M418" s="29"/>
      <c r="N418" s="33"/>
      <c r="O418" s="32"/>
      <c r="P418" s="34"/>
      <c r="Q418" s="34"/>
      <c r="R418" s="34"/>
      <c r="S418" s="32"/>
      <c r="T418" s="32"/>
      <c r="U418" s="32"/>
      <c r="V418" s="32"/>
      <c r="W418" s="32"/>
    </row>
    <row r="419" spans="3:23" x14ac:dyDescent="0.25">
      <c r="C419" s="1"/>
      <c r="D419" s="29"/>
      <c r="E419" s="29"/>
      <c r="F419" s="29"/>
      <c r="G419" s="29"/>
      <c r="H419" s="30"/>
      <c r="I419" s="31"/>
      <c r="J419" s="31"/>
      <c r="K419" s="29"/>
      <c r="L419" s="32"/>
      <c r="M419" s="29"/>
      <c r="N419" s="33"/>
      <c r="O419" s="32"/>
      <c r="P419" s="34"/>
      <c r="Q419" s="34"/>
      <c r="R419" s="34"/>
      <c r="S419" s="32"/>
      <c r="T419" s="32"/>
      <c r="U419" s="32"/>
      <c r="V419" s="32"/>
      <c r="W419" s="32"/>
    </row>
    <row r="420" spans="3:23" x14ac:dyDescent="0.25">
      <c r="C420" s="1"/>
      <c r="D420" s="29"/>
      <c r="E420" s="29"/>
      <c r="F420" s="29"/>
      <c r="G420" s="29"/>
      <c r="H420" s="30"/>
      <c r="I420" s="31"/>
      <c r="J420" s="31"/>
      <c r="K420" s="29"/>
      <c r="L420" s="32"/>
      <c r="M420" s="29"/>
      <c r="N420" s="33"/>
      <c r="O420" s="32"/>
      <c r="P420" s="34"/>
      <c r="Q420" s="34"/>
      <c r="R420" s="34"/>
      <c r="S420" s="32"/>
      <c r="T420" s="32"/>
      <c r="U420" s="32"/>
      <c r="V420" s="32"/>
      <c r="W420" s="32"/>
    </row>
    <row r="421" spans="3:23" x14ac:dyDescent="0.25">
      <c r="C421" s="1"/>
      <c r="D421" s="29"/>
      <c r="E421" s="29"/>
      <c r="F421" s="29"/>
      <c r="G421" s="29"/>
      <c r="H421" s="30"/>
      <c r="I421" s="31"/>
      <c r="J421" s="31"/>
      <c r="K421" s="29"/>
      <c r="L421" s="32"/>
      <c r="M421" s="29"/>
      <c r="N421" s="33"/>
      <c r="O421" s="32"/>
      <c r="P421" s="34"/>
      <c r="Q421" s="34"/>
      <c r="R421" s="34"/>
      <c r="S421" s="32"/>
      <c r="T421" s="32"/>
      <c r="U421" s="32"/>
      <c r="V421" s="32"/>
      <c r="W421" s="32"/>
    </row>
    <row r="422" spans="3:23" x14ac:dyDescent="0.25">
      <c r="C422" s="1"/>
      <c r="D422" s="29"/>
      <c r="E422" s="29"/>
      <c r="F422" s="29"/>
      <c r="G422" s="29"/>
      <c r="H422" s="30"/>
      <c r="I422" s="31"/>
      <c r="J422" s="31"/>
      <c r="K422" s="29"/>
      <c r="L422" s="32"/>
      <c r="M422" s="29"/>
      <c r="N422" s="33"/>
      <c r="O422" s="32"/>
      <c r="P422" s="34"/>
      <c r="Q422" s="34"/>
      <c r="R422" s="34"/>
      <c r="S422" s="32"/>
      <c r="T422" s="32"/>
      <c r="U422" s="32"/>
      <c r="V422" s="32"/>
      <c r="W422" s="32"/>
    </row>
    <row r="423" spans="3:23" x14ac:dyDescent="0.25">
      <c r="C423" s="1"/>
      <c r="D423" s="29"/>
      <c r="E423" s="29"/>
      <c r="F423" s="29"/>
      <c r="G423" s="29"/>
      <c r="H423" s="30"/>
      <c r="I423" s="31"/>
      <c r="J423" s="31"/>
      <c r="K423" s="29"/>
      <c r="L423" s="32"/>
      <c r="M423" s="29"/>
      <c r="N423" s="33"/>
      <c r="O423" s="32"/>
      <c r="P423" s="34"/>
      <c r="Q423" s="34"/>
      <c r="R423" s="34"/>
      <c r="S423" s="32"/>
      <c r="T423" s="32"/>
      <c r="U423" s="32"/>
      <c r="V423" s="32"/>
      <c r="W423" s="32"/>
    </row>
    <row r="424" spans="3:23" x14ac:dyDescent="0.25">
      <c r="C424" s="1"/>
      <c r="D424" s="29"/>
      <c r="E424" s="29"/>
      <c r="F424" s="29"/>
      <c r="G424" s="29"/>
      <c r="H424" s="30"/>
      <c r="I424" s="31"/>
      <c r="J424" s="31"/>
      <c r="K424" s="29"/>
      <c r="L424" s="32"/>
      <c r="M424" s="29"/>
      <c r="N424" s="33"/>
      <c r="O424" s="32"/>
      <c r="P424" s="34"/>
      <c r="Q424" s="34"/>
      <c r="R424" s="34"/>
      <c r="S424" s="32"/>
      <c r="T424" s="32"/>
      <c r="U424" s="32"/>
      <c r="V424" s="32"/>
      <c r="W424" s="32"/>
    </row>
    <row r="425" spans="3:23" x14ac:dyDescent="0.25">
      <c r="C425" s="1"/>
      <c r="D425" s="29"/>
      <c r="E425" s="29"/>
      <c r="F425" s="29"/>
      <c r="G425" s="29"/>
      <c r="H425" s="30"/>
      <c r="I425" s="31"/>
      <c r="J425" s="31"/>
      <c r="K425" s="29"/>
      <c r="L425" s="32"/>
      <c r="M425" s="29"/>
      <c r="N425" s="33"/>
      <c r="O425" s="32"/>
      <c r="P425" s="34"/>
      <c r="Q425" s="34"/>
      <c r="R425" s="34"/>
      <c r="S425" s="32"/>
      <c r="T425" s="32"/>
      <c r="U425" s="32"/>
      <c r="V425" s="32"/>
      <c r="W425" s="32"/>
    </row>
    <row r="426" spans="3:23" x14ac:dyDescent="0.25">
      <c r="C426" s="1"/>
      <c r="D426" s="29"/>
      <c r="E426" s="29"/>
      <c r="F426" s="29"/>
      <c r="G426" s="29"/>
      <c r="H426" s="30"/>
      <c r="I426" s="31"/>
      <c r="J426" s="31"/>
      <c r="K426" s="29"/>
      <c r="L426" s="32"/>
      <c r="M426" s="29"/>
      <c r="N426" s="33"/>
      <c r="O426" s="32"/>
      <c r="P426" s="34"/>
      <c r="Q426" s="34"/>
      <c r="R426" s="34"/>
      <c r="S426" s="32"/>
      <c r="T426" s="32"/>
      <c r="U426" s="32"/>
      <c r="V426" s="32"/>
      <c r="W426" s="32"/>
    </row>
    <row r="427" spans="3:23" x14ac:dyDescent="0.25">
      <c r="C427" s="1"/>
      <c r="D427" s="29"/>
      <c r="E427" s="29"/>
      <c r="F427" s="29"/>
      <c r="G427" s="29"/>
      <c r="H427" s="30"/>
      <c r="I427" s="31"/>
      <c r="J427" s="31"/>
      <c r="K427" s="29"/>
      <c r="L427" s="32"/>
      <c r="M427" s="29"/>
      <c r="N427" s="33"/>
      <c r="O427" s="32"/>
      <c r="P427" s="34"/>
      <c r="Q427" s="34"/>
      <c r="R427" s="34"/>
      <c r="S427" s="32"/>
      <c r="T427" s="32"/>
      <c r="U427" s="32"/>
      <c r="V427" s="32"/>
      <c r="W427" s="32"/>
    </row>
    <row r="428" spans="3:23" x14ac:dyDescent="0.25">
      <c r="C428" s="1"/>
      <c r="D428" s="29"/>
      <c r="E428" s="29"/>
      <c r="F428" s="29"/>
      <c r="G428" s="29"/>
      <c r="H428" s="30"/>
      <c r="I428" s="31"/>
      <c r="J428" s="31"/>
      <c r="K428" s="29"/>
      <c r="L428" s="32"/>
      <c r="M428" s="29"/>
      <c r="N428" s="33"/>
      <c r="O428" s="32"/>
      <c r="P428" s="34"/>
      <c r="Q428" s="34"/>
      <c r="R428" s="34"/>
      <c r="S428" s="32"/>
      <c r="T428" s="32"/>
      <c r="U428" s="32"/>
      <c r="V428" s="32"/>
      <c r="W428" s="32"/>
    </row>
    <row r="429" spans="3:23" x14ac:dyDescent="0.25">
      <c r="C429" s="1"/>
      <c r="D429" s="29"/>
      <c r="E429" s="29"/>
      <c r="F429" s="29"/>
      <c r="G429" s="29"/>
      <c r="H429" s="30"/>
      <c r="I429" s="31"/>
      <c r="J429" s="31"/>
      <c r="K429" s="29"/>
      <c r="L429" s="32"/>
      <c r="M429" s="29"/>
      <c r="N429" s="33"/>
      <c r="O429" s="32"/>
      <c r="P429" s="34"/>
      <c r="Q429" s="34"/>
      <c r="R429" s="34"/>
      <c r="S429" s="32"/>
      <c r="T429" s="32"/>
      <c r="U429" s="32"/>
      <c r="V429" s="32"/>
      <c r="W429" s="32"/>
    </row>
    <row r="430" spans="3:23" x14ac:dyDescent="0.25">
      <c r="C430" s="1"/>
      <c r="D430" s="29"/>
      <c r="E430" s="29"/>
      <c r="F430" s="29"/>
      <c r="G430" s="29"/>
      <c r="H430" s="30"/>
      <c r="I430" s="31"/>
      <c r="J430" s="31"/>
      <c r="K430" s="29"/>
      <c r="L430" s="32"/>
      <c r="M430" s="29"/>
      <c r="N430" s="33"/>
      <c r="O430" s="32"/>
      <c r="P430" s="34"/>
      <c r="Q430" s="34"/>
      <c r="R430" s="34"/>
      <c r="S430" s="32"/>
      <c r="T430" s="32"/>
      <c r="U430" s="32"/>
      <c r="V430" s="32"/>
      <c r="W430" s="32"/>
    </row>
    <row r="431" spans="3:23" x14ac:dyDescent="0.25">
      <c r="C431" s="1"/>
      <c r="D431" s="29"/>
      <c r="E431" s="29"/>
      <c r="F431" s="29"/>
      <c r="G431" s="29"/>
      <c r="H431" s="30"/>
      <c r="I431" s="31"/>
      <c r="J431" s="31"/>
      <c r="K431" s="29"/>
      <c r="L431" s="32"/>
      <c r="M431" s="29"/>
      <c r="N431" s="33"/>
      <c r="O431" s="32"/>
      <c r="P431" s="34"/>
      <c r="Q431" s="34"/>
      <c r="R431" s="34"/>
      <c r="S431" s="32"/>
      <c r="T431" s="32"/>
      <c r="U431" s="32"/>
      <c r="V431" s="32"/>
      <c r="W431" s="32"/>
    </row>
    <row r="432" spans="3:23" x14ac:dyDescent="0.25">
      <c r="C432" s="1"/>
      <c r="D432" s="29"/>
      <c r="E432" s="29"/>
      <c r="F432" s="29"/>
      <c r="G432" s="29"/>
      <c r="H432" s="30"/>
      <c r="I432" s="31"/>
      <c r="J432" s="31"/>
      <c r="K432" s="29"/>
      <c r="L432" s="32"/>
      <c r="M432" s="29"/>
      <c r="N432" s="33"/>
      <c r="O432" s="32"/>
      <c r="P432" s="34"/>
      <c r="Q432" s="34"/>
      <c r="R432" s="34"/>
      <c r="S432" s="32"/>
      <c r="T432" s="32"/>
      <c r="U432" s="32"/>
      <c r="V432" s="32"/>
      <c r="W432" s="32"/>
    </row>
    <row r="433" spans="3:23" x14ac:dyDescent="0.25">
      <c r="C433" s="1"/>
      <c r="D433" s="29"/>
      <c r="E433" s="29"/>
      <c r="F433" s="29"/>
      <c r="G433" s="29"/>
      <c r="H433" s="30"/>
      <c r="I433" s="31"/>
      <c r="J433" s="31"/>
      <c r="K433" s="29"/>
      <c r="L433" s="32"/>
      <c r="M433" s="29"/>
      <c r="N433" s="33"/>
      <c r="O433" s="32"/>
      <c r="P433" s="34"/>
      <c r="Q433" s="34"/>
      <c r="R433" s="34"/>
      <c r="S433" s="32"/>
      <c r="T433" s="32"/>
      <c r="U433" s="32"/>
      <c r="V433" s="32"/>
      <c r="W433" s="32"/>
    </row>
    <row r="434" spans="3:23" x14ac:dyDescent="0.25">
      <c r="C434" s="1"/>
      <c r="D434" s="29"/>
      <c r="E434" s="29"/>
      <c r="F434" s="29"/>
      <c r="G434" s="29"/>
      <c r="H434" s="30"/>
      <c r="I434" s="31"/>
      <c r="J434" s="31"/>
      <c r="K434" s="29"/>
      <c r="L434" s="32"/>
      <c r="M434" s="29"/>
      <c r="N434" s="33"/>
      <c r="O434" s="32"/>
      <c r="P434" s="34"/>
      <c r="Q434" s="34"/>
      <c r="R434" s="34"/>
      <c r="S434" s="32"/>
      <c r="T434" s="32"/>
      <c r="U434" s="32"/>
      <c r="V434" s="32"/>
      <c r="W434" s="32"/>
    </row>
    <row r="435" spans="3:23" x14ac:dyDescent="0.25">
      <c r="C435" s="1"/>
      <c r="D435" s="29"/>
      <c r="E435" s="29"/>
      <c r="F435" s="29"/>
      <c r="G435" s="29"/>
      <c r="H435" s="30"/>
      <c r="I435" s="31"/>
      <c r="J435" s="31"/>
      <c r="K435" s="29"/>
      <c r="L435" s="32"/>
      <c r="M435" s="29"/>
      <c r="N435" s="33"/>
      <c r="O435" s="32"/>
      <c r="P435" s="34"/>
      <c r="Q435" s="34"/>
      <c r="R435" s="34"/>
      <c r="S435" s="32"/>
      <c r="T435" s="32"/>
      <c r="U435" s="32"/>
      <c r="V435" s="32"/>
      <c r="W435" s="32"/>
    </row>
    <row r="436" spans="3:23" x14ac:dyDescent="0.25">
      <c r="C436" s="1"/>
      <c r="D436" s="29"/>
      <c r="E436" s="29"/>
      <c r="F436" s="29"/>
      <c r="G436" s="29"/>
      <c r="H436" s="30"/>
      <c r="I436" s="31"/>
      <c r="J436" s="31"/>
      <c r="K436" s="29"/>
      <c r="L436" s="32"/>
      <c r="M436" s="29"/>
      <c r="N436" s="33"/>
      <c r="O436" s="32"/>
      <c r="P436" s="34"/>
      <c r="Q436" s="34"/>
      <c r="R436" s="34"/>
      <c r="S436" s="32"/>
      <c r="T436" s="32"/>
      <c r="U436" s="32"/>
      <c r="V436" s="32"/>
      <c r="W436" s="32"/>
    </row>
    <row r="437" spans="3:23" x14ac:dyDescent="0.25">
      <c r="C437" s="1"/>
      <c r="D437" s="29"/>
      <c r="E437" s="29"/>
      <c r="F437" s="29"/>
      <c r="G437" s="29"/>
      <c r="H437" s="30"/>
      <c r="I437" s="31"/>
      <c r="J437" s="31"/>
      <c r="K437" s="29"/>
      <c r="L437" s="32"/>
      <c r="M437" s="29"/>
      <c r="N437" s="33"/>
      <c r="O437" s="32"/>
      <c r="P437" s="34"/>
      <c r="Q437" s="34"/>
      <c r="R437" s="34"/>
      <c r="S437" s="32"/>
      <c r="T437" s="32"/>
      <c r="U437" s="32"/>
      <c r="V437" s="32"/>
      <c r="W437" s="32"/>
    </row>
    <row r="438" spans="3:23" x14ac:dyDescent="0.25">
      <c r="C438" s="1"/>
      <c r="D438" s="29"/>
      <c r="E438" s="29"/>
      <c r="F438" s="29"/>
      <c r="G438" s="29"/>
      <c r="H438" s="30"/>
      <c r="I438" s="31"/>
      <c r="J438" s="31"/>
      <c r="K438" s="29"/>
      <c r="L438" s="32"/>
      <c r="M438" s="29"/>
      <c r="N438" s="33"/>
      <c r="O438" s="32"/>
      <c r="P438" s="34"/>
      <c r="Q438" s="34"/>
      <c r="R438" s="34"/>
      <c r="S438" s="32"/>
      <c r="T438" s="32"/>
      <c r="U438" s="32"/>
      <c r="V438" s="32"/>
      <c r="W438" s="32"/>
    </row>
    <row r="439" spans="3:23" x14ac:dyDescent="0.25">
      <c r="C439" s="1"/>
      <c r="D439" s="29"/>
      <c r="E439" s="29"/>
      <c r="F439" s="29"/>
      <c r="G439" s="29"/>
      <c r="H439" s="30"/>
      <c r="I439" s="31"/>
      <c r="J439" s="31"/>
      <c r="K439" s="29"/>
      <c r="L439" s="32"/>
      <c r="M439" s="29"/>
      <c r="N439" s="33"/>
      <c r="O439" s="32"/>
      <c r="P439" s="34"/>
      <c r="Q439" s="34"/>
      <c r="R439" s="34"/>
      <c r="S439" s="32"/>
      <c r="T439" s="32"/>
      <c r="U439" s="32"/>
      <c r="V439" s="32"/>
      <c r="W439" s="32"/>
    </row>
    <row r="440" spans="3:23" x14ac:dyDescent="0.25">
      <c r="C440" s="1"/>
      <c r="D440" s="29"/>
      <c r="E440" s="29"/>
      <c r="F440" s="29"/>
      <c r="G440" s="29"/>
      <c r="H440" s="30"/>
      <c r="I440" s="31"/>
      <c r="J440" s="31"/>
      <c r="K440" s="29"/>
      <c r="L440" s="32"/>
      <c r="M440" s="29"/>
      <c r="N440" s="33"/>
      <c r="O440" s="32"/>
      <c r="P440" s="34"/>
      <c r="Q440" s="34"/>
      <c r="R440" s="34"/>
      <c r="S440" s="32"/>
      <c r="T440" s="32"/>
      <c r="U440" s="32"/>
      <c r="V440" s="32"/>
      <c r="W440" s="32"/>
    </row>
    <row r="441" spans="3:23" x14ac:dyDescent="0.25">
      <c r="C441" s="1"/>
      <c r="D441" s="29"/>
      <c r="E441" s="29"/>
      <c r="F441" s="29"/>
      <c r="G441" s="29"/>
      <c r="H441" s="30"/>
      <c r="I441" s="31"/>
      <c r="J441" s="31"/>
      <c r="K441" s="29"/>
      <c r="L441" s="32"/>
      <c r="M441" s="29"/>
      <c r="N441" s="33"/>
      <c r="O441" s="32"/>
      <c r="P441" s="34"/>
      <c r="Q441" s="34"/>
      <c r="R441" s="34"/>
      <c r="S441" s="32"/>
      <c r="T441" s="32"/>
      <c r="U441" s="32"/>
      <c r="V441" s="32"/>
      <c r="W441" s="32"/>
    </row>
    <row r="442" spans="3:23" x14ac:dyDescent="0.25">
      <c r="C442" s="1"/>
      <c r="D442" s="29"/>
      <c r="E442" s="29"/>
      <c r="F442" s="29"/>
      <c r="G442" s="29"/>
      <c r="H442" s="30"/>
      <c r="I442" s="31"/>
      <c r="J442" s="31"/>
      <c r="K442" s="29"/>
      <c r="L442" s="32"/>
      <c r="M442" s="29"/>
      <c r="N442" s="33"/>
      <c r="O442" s="32"/>
      <c r="P442" s="34"/>
      <c r="Q442" s="34"/>
      <c r="R442" s="34"/>
      <c r="S442" s="32"/>
      <c r="T442" s="32"/>
      <c r="U442" s="32"/>
      <c r="V442" s="32"/>
      <c r="W442" s="32"/>
    </row>
    <row r="443" spans="3:23" x14ac:dyDescent="0.25">
      <c r="C443" s="1"/>
      <c r="D443" s="29"/>
      <c r="E443" s="29"/>
      <c r="F443" s="29"/>
      <c r="G443" s="29"/>
      <c r="H443" s="30"/>
      <c r="I443" s="31"/>
      <c r="J443" s="31"/>
      <c r="K443" s="29"/>
      <c r="L443" s="32"/>
      <c r="M443" s="29"/>
      <c r="N443" s="33"/>
      <c r="O443" s="32"/>
      <c r="P443" s="34"/>
      <c r="Q443" s="34"/>
      <c r="R443" s="34"/>
      <c r="S443" s="32"/>
      <c r="T443" s="32"/>
      <c r="U443" s="32"/>
      <c r="V443" s="32"/>
      <c r="W443" s="32"/>
    </row>
    <row r="444" spans="3:23" x14ac:dyDescent="0.25">
      <c r="C444" s="1"/>
      <c r="D444" s="29"/>
      <c r="E444" s="29"/>
      <c r="F444" s="29"/>
      <c r="G444" s="29"/>
      <c r="H444" s="30"/>
      <c r="I444" s="31"/>
      <c r="J444" s="31"/>
      <c r="K444" s="29"/>
      <c r="L444" s="32"/>
      <c r="M444" s="29"/>
      <c r="N444" s="33"/>
      <c r="O444" s="32"/>
      <c r="P444" s="34"/>
      <c r="Q444" s="34"/>
      <c r="R444" s="34"/>
      <c r="S444" s="32"/>
      <c r="T444" s="32"/>
      <c r="U444" s="32"/>
      <c r="V444" s="32"/>
      <c r="W444" s="32"/>
    </row>
    <row r="445" spans="3:23" x14ac:dyDescent="0.25">
      <c r="C445" s="1"/>
      <c r="D445" s="29"/>
      <c r="E445" s="29"/>
      <c r="F445" s="29"/>
      <c r="G445" s="29"/>
      <c r="H445" s="30"/>
      <c r="I445" s="31"/>
      <c r="J445" s="31"/>
      <c r="K445" s="29"/>
      <c r="L445" s="32"/>
      <c r="M445" s="29"/>
      <c r="N445" s="33"/>
      <c r="O445" s="32"/>
      <c r="P445" s="34"/>
      <c r="Q445" s="34"/>
      <c r="R445" s="34"/>
      <c r="S445" s="32"/>
      <c r="T445" s="32"/>
      <c r="U445" s="32"/>
      <c r="V445" s="32"/>
      <c r="W445" s="32"/>
    </row>
    <row r="446" spans="3:23" x14ac:dyDescent="0.25">
      <c r="C446" s="1"/>
      <c r="D446" s="29"/>
      <c r="E446" s="29"/>
      <c r="F446" s="29"/>
      <c r="G446" s="29"/>
      <c r="H446" s="30"/>
      <c r="I446" s="31"/>
      <c r="J446" s="31"/>
      <c r="K446" s="29"/>
      <c r="L446" s="32"/>
      <c r="M446" s="29"/>
      <c r="N446" s="33"/>
      <c r="O446" s="32"/>
      <c r="P446" s="34"/>
      <c r="Q446" s="34"/>
      <c r="R446" s="34"/>
      <c r="S446" s="32"/>
      <c r="T446" s="32"/>
      <c r="U446" s="32"/>
      <c r="V446" s="32"/>
      <c r="W446" s="32"/>
    </row>
    <row r="447" spans="3:23" x14ac:dyDescent="0.25">
      <c r="C447" s="1"/>
      <c r="D447" s="29"/>
      <c r="E447" s="29"/>
      <c r="F447" s="29"/>
      <c r="G447" s="29"/>
      <c r="H447" s="30"/>
      <c r="I447" s="31"/>
      <c r="J447" s="31"/>
      <c r="K447" s="29"/>
      <c r="L447" s="32"/>
      <c r="M447" s="29"/>
      <c r="N447" s="33"/>
      <c r="O447" s="32"/>
      <c r="P447" s="34"/>
      <c r="Q447" s="34"/>
      <c r="R447" s="34"/>
      <c r="S447" s="32"/>
      <c r="T447" s="32"/>
      <c r="U447" s="32"/>
      <c r="V447" s="32"/>
      <c r="W447" s="32"/>
    </row>
    <row r="448" spans="3:23" x14ac:dyDescent="0.25">
      <c r="C448" s="1"/>
      <c r="D448" s="29"/>
      <c r="E448" s="29"/>
      <c r="F448" s="29"/>
      <c r="G448" s="29"/>
      <c r="H448" s="30"/>
      <c r="I448" s="31"/>
      <c r="J448" s="31"/>
      <c r="K448" s="29"/>
      <c r="L448" s="32"/>
      <c r="M448" s="29"/>
      <c r="N448" s="33"/>
      <c r="O448" s="32"/>
      <c r="P448" s="34"/>
      <c r="Q448" s="34"/>
      <c r="R448" s="34"/>
      <c r="S448" s="32"/>
      <c r="T448" s="32"/>
      <c r="U448" s="32"/>
      <c r="V448" s="32"/>
      <c r="W448" s="32"/>
    </row>
    <row r="449" spans="3:23" x14ac:dyDescent="0.25">
      <c r="C449" s="1"/>
      <c r="D449" s="29"/>
      <c r="E449" s="29"/>
      <c r="F449" s="29"/>
      <c r="G449" s="29"/>
      <c r="H449" s="30"/>
      <c r="I449" s="31"/>
      <c r="J449" s="31"/>
      <c r="K449" s="29"/>
      <c r="L449" s="32"/>
      <c r="M449" s="29"/>
      <c r="N449" s="33"/>
      <c r="O449" s="32"/>
      <c r="P449" s="34"/>
      <c r="Q449" s="34"/>
      <c r="R449" s="34"/>
      <c r="S449" s="32"/>
      <c r="T449" s="32"/>
      <c r="U449" s="32"/>
      <c r="V449" s="32"/>
      <c r="W449" s="32"/>
    </row>
    <row r="450" spans="3:23" x14ac:dyDescent="0.25">
      <c r="C450" s="1"/>
      <c r="D450" s="29"/>
      <c r="E450" s="29"/>
      <c r="F450" s="29"/>
      <c r="G450" s="29"/>
      <c r="H450" s="30"/>
      <c r="I450" s="31"/>
      <c r="J450" s="31"/>
      <c r="K450" s="29"/>
      <c r="L450" s="32"/>
      <c r="M450" s="29"/>
      <c r="N450" s="33"/>
      <c r="O450" s="32"/>
      <c r="P450" s="34"/>
      <c r="Q450" s="34"/>
      <c r="R450" s="34"/>
      <c r="S450" s="32"/>
      <c r="T450" s="32"/>
      <c r="U450" s="32"/>
      <c r="V450" s="32"/>
      <c r="W450" s="32"/>
    </row>
    <row r="451" spans="3:23" x14ac:dyDescent="0.25">
      <c r="C451" s="1"/>
      <c r="D451" s="29"/>
      <c r="E451" s="29"/>
      <c r="F451" s="29"/>
      <c r="G451" s="29"/>
      <c r="H451" s="30"/>
      <c r="I451" s="31"/>
      <c r="J451" s="31"/>
      <c r="K451" s="29"/>
      <c r="L451" s="32"/>
      <c r="M451" s="29"/>
      <c r="N451" s="33"/>
      <c r="O451" s="32"/>
      <c r="P451" s="34"/>
      <c r="Q451" s="34"/>
      <c r="R451" s="34"/>
      <c r="S451" s="32"/>
      <c r="T451" s="32"/>
      <c r="U451" s="32"/>
      <c r="V451" s="32"/>
      <c r="W451" s="32"/>
    </row>
    <row r="452" spans="3:23" x14ac:dyDescent="0.25">
      <c r="C452" s="1"/>
      <c r="D452" s="29"/>
      <c r="E452" s="29"/>
      <c r="F452" s="29"/>
      <c r="G452" s="29"/>
      <c r="H452" s="30"/>
      <c r="I452" s="31"/>
      <c r="J452" s="31"/>
      <c r="K452" s="29"/>
      <c r="L452" s="32"/>
      <c r="M452" s="29"/>
      <c r="N452" s="33"/>
      <c r="O452" s="32"/>
      <c r="P452" s="34"/>
      <c r="Q452" s="34"/>
      <c r="R452" s="34"/>
      <c r="S452" s="32"/>
      <c r="T452" s="32"/>
      <c r="U452" s="32"/>
      <c r="V452" s="32"/>
      <c r="W452" s="32"/>
    </row>
    <row r="453" spans="3:23" x14ac:dyDescent="0.25">
      <c r="C453" s="1"/>
      <c r="D453" s="29"/>
      <c r="E453" s="29"/>
      <c r="F453" s="29"/>
      <c r="G453" s="29"/>
      <c r="H453" s="30"/>
      <c r="I453" s="31"/>
      <c r="J453" s="31"/>
      <c r="K453" s="29"/>
      <c r="L453" s="32"/>
      <c r="M453" s="29"/>
      <c r="N453" s="33"/>
      <c r="O453" s="32"/>
      <c r="P453" s="34"/>
      <c r="Q453" s="34"/>
      <c r="R453" s="34"/>
      <c r="S453" s="32"/>
      <c r="T453" s="32"/>
      <c r="U453" s="32"/>
      <c r="V453" s="32"/>
      <c r="W453" s="32"/>
    </row>
    <row r="454" spans="3:23" x14ac:dyDescent="0.25">
      <c r="C454" s="1"/>
      <c r="D454" s="29"/>
      <c r="E454" s="29"/>
      <c r="F454" s="29"/>
      <c r="G454" s="29"/>
      <c r="H454" s="30"/>
      <c r="I454" s="31"/>
      <c r="J454" s="31"/>
      <c r="K454" s="29"/>
      <c r="L454" s="32"/>
      <c r="M454" s="29"/>
      <c r="N454" s="33"/>
      <c r="O454" s="32"/>
      <c r="P454" s="34"/>
      <c r="Q454" s="34"/>
      <c r="R454" s="34"/>
      <c r="S454" s="32"/>
      <c r="T454" s="32"/>
      <c r="U454" s="32"/>
      <c r="V454" s="32"/>
      <c r="W454" s="32"/>
    </row>
    <row r="455" spans="3:23" x14ac:dyDescent="0.25">
      <c r="C455" s="1"/>
      <c r="D455" s="29"/>
      <c r="E455" s="29"/>
      <c r="F455" s="29"/>
      <c r="G455" s="29"/>
      <c r="H455" s="30"/>
      <c r="I455" s="31"/>
      <c r="J455" s="31"/>
      <c r="K455" s="29"/>
      <c r="L455" s="32"/>
      <c r="M455" s="29"/>
      <c r="N455" s="33"/>
      <c r="O455" s="32"/>
      <c r="P455" s="34"/>
      <c r="Q455" s="34"/>
      <c r="R455" s="34"/>
      <c r="S455" s="32"/>
      <c r="T455" s="32"/>
      <c r="U455" s="32"/>
      <c r="V455" s="32"/>
      <c r="W455" s="32"/>
    </row>
    <row r="456" spans="3:23" x14ac:dyDescent="0.25">
      <c r="C456" s="1"/>
      <c r="D456" s="29"/>
      <c r="E456" s="29"/>
      <c r="F456" s="29"/>
      <c r="G456" s="29"/>
      <c r="H456" s="30"/>
      <c r="I456" s="31"/>
      <c r="J456" s="31"/>
      <c r="K456" s="29"/>
      <c r="L456" s="32"/>
      <c r="M456" s="29"/>
      <c r="N456" s="33"/>
      <c r="O456" s="32"/>
      <c r="P456" s="34"/>
      <c r="Q456" s="34"/>
      <c r="R456" s="34"/>
      <c r="S456" s="32"/>
      <c r="T456" s="32"/>
      <c r="U456" s="32"/>
      <c r="V456" s="32"/>
      <c r="W456" s="32"/>
    </row>
    <row r="457" spans="3:23" x14ac:dyDescent="0.25">
      <c r="C457" s="1"/>
      <c r="D457" s="29"/>
      <c r="E457" s="29"/>
      <c r="F457" s="29"/>
      <c r="G457" s="29"/>
      <c r="H457" s="30"/>
      <c r="I457" s="31"/>
      <c r="J457" s="31"/>
      <c r="K457" s="29"/>
      <c r="L457" s="32"/>
      <c r="M457" s="29"/>
      <c r="N457" s="33"/>
      <c r="O457" s="32"/>
      <c r="P457" s="34"/>
      <c r="Q457" s="34"/>
      <c r="R457" s="34"/>
      <c r="S457" s="32"/>
      <c r="T457" s="32"/>
      <c r="U457" s="32"/>
      <c r="V457" s="32"/>
      <c r="W457" s="32"/>
    </row>
    <row r="458" spans="3:23" x14ac:dyDescent="0.25">
      <c r="C458" s="1"/>
      <c r="D458" s="29"/>
      <c r="E458" s="29"/>
      <c r="F458" s="29"/>
      <c r="G458" s="29"/>
      <c r="H458" s="30"/>
      <c r="I458" s="31"/>
      <c r="J458" s="31"/>
      <c r="K458" s="29"/>
      <c r="L458" s="32"/>
      <c r="M458" s="29"/>
      <c r="N458" s="33"/>
      <c r="O458" s="32"/>
      <c r="P458" s="34"/>
      <c r="Q458" s="34"/>
      <c r="R458" s="34"/>
      <c r="S458" s="32"/>
      <c r="T458" s="32"/>
      <c r="U458" s="32"/>
      <c r="V458" s="32"/>
      <c r="W458" s="32"/>
    </row>
    <row r="459" spans="3:23" x14ac:dyDescent="0.25">
      <c r="C459" s="1"/>
      <c r="D459" s="29"/>
      <c r="E459" s="29"/>
      <c r="F459" s="29"/>
      <c r="G459" s="29"/>
      <c r="H459" s="30"/>
      <c r="I459" s="31"/>
      <c r="J459" s="31"/>
      <c r="K459" s="29"/>
      <c r="L459" s="32"/>
      <c r="M459" s="29"/>
      <c r="N459" s="33"/>
      <c r="O459" s="32"/>
      <c r="P459" s="34"/>
      <c r="Q459" s="34"/>
      <c r="R459" s="34"/>
      <c r="S459" s="32"/>
      <c r="T459" s="32"/>
      <c r="U459" s="32"/>
      <c r="V459" s="32"/>
      <c r="W459" s="32"/>
    </row>
    <row r="460" spans="3:23" x14ac:dyDescent="0.25">
      <c r="C460" s="1"/>
      <c r="D460" s="29"/>
      <c r="E460" s="29"/>
      <c r="F460" s="29"/>
      <c r="G460" s="29"/>
      <c r="H460" s="30"/>
      <c r="I460" s="31"/>
      <c r="J460" s="31"/>
      <c r="K460" s="29"/>
      <c r="L460" s="32"/>
      <c r="M460" s="29"/>
      <c r="N460" s="33"/>
      <c r="O460" s="32"/>
      <c r="P460" s="34"/>
      <c r="Q460" s="34"/>
      <c r="R460" s="34"/>
      <c r="S460" s="32"/>
      <c r="T460" s="32"/>
      <c r="U460" s="32"/>
      <c r="V460" s="32"/>
      <c r="W460" s="32"/>
    </row>
    <row r="461" spans="3:23" x14ac:dyDescent="0.25">
      <c r="C461" s="1"/>
      <c r="D461" s="29"/>
      <c r="E461" s="29"/>
      <c r="F461" s="29"/>
      <c r="G461" s="29"/>
      <c r="H461" s="30"/>
      <c r="I461" s="31"/>
      <c r="J461" s="31"/>
      <c r="K461" s="29"/>
      <c r="L461" s="32"/>
      <c r="M461" s="29"/>
      <c r="N461" s="33"/>
      <c r="O461" s="32"/>
      <c r="P461" s="34"/>
      <c r="Q461" s="34"/>
      <c r="R461" s="34"/>
      <c r="S461" s="32"/>
      <c r="T461" s="32"/>
      <c r="U461" s="32"/>
      <c r="V461" s="32"/>
      <c r="W461" s="32"/>
    </row>
    <row r="462" spans="3:23" x14ac:dyDescent="0.25">
      <c r="C462" s="1"/>
      <c r="D462" s="29"/>
      <c r="E462" s="29"/>
      <c r="F462" s="29"/>
      <c r="G462" s="29"/>
      <c r="H462" s="30"/>
      <c r="I462" s="31"/>
      <c r="J462" s="31"/>
      <c r="K462" s="29"/>
      <c r="L462" s="32"/>
      <c r="M462" s="29"/>
      <c r="N462" s="33"/>
      <c r="O462" s="32"/>
      <c r="P462" s="34"/>
      <c r="Q462" s="34"/>
      <c r="R462" s="34"/>
      <c r="S462" s="32"/>
      <c r="T462" s="32"/>
      <c r="U462" s="32"/>
      <c r="V462" s="32"/>
      <c r="W462" s="32"/>
    </row>
    <row r="463" spans="3:23" x14ac:dyDescent="0.25">
      <c r="C463" s="1"/>
      <c r="D463" s="29"/>
      <c r="E463" s="29"/>
      <c r="F463" s="29"/>
      <c r="G463" s="29"/>
      <c r="H463" s="30"/>
      <c r="I463" s="31"/>
      <c r="J463" s="31"/>
      <c r="K463" s="29"/>
      <c r="L463" s="32"/>
      <c r="M463" s="29"/>
      <c r="N463" s="33"/>
      <c r="O463" s="32"/>
      <c r="P463" s="34"/>
      <c r="Q463" s="34"/>
      <c r="R463" s="34"/>
      <c r="S463" s="32"/>
      <c r="T463" s="32"/>
      <c r="U463" s="32"/>
      <c r="V463" s="32"/>
      <c r="W463" s="32"/>
    </row>
    <row r="464" spans="3:23" x14ac:dyDescent="0.25">
      <c r="C464" s="1"/>
      <c r="D464" s="29"/>
      <c r="E464" s="29"/>
      <c r="F464" s="29"/>
      <c r="G464" s="29"/>
      <c r="H464" s="30"/>
      <c r="I464" s="31"/>
      <c r="J464" s="31"/>
      <c r="K464" s="29"/>
      <c r="L464" s="32"/>
      <c r="M464" s="29"/>
      <c r="N464" s="33"/>
      <c r="O464" s="32"/>
      <c r="P464" s="34"/>
      <c r="Q464" s="34"/>
      <c r="R464" s="34"/>
      <c r="S464" s="32"/>
      <c r="T464" s="32"/>
      <c r="U464" s="32"/>
      <c r="V464" s="32"/>
      <c r="W464" s="32"/>
    </row>
    <row r="465" spans="3:23" x14ac:dyDescent="0.25">
      <c r="C465" s="1"/>
      <c r="D465" s="29"/>
      <c r="E465" s="29"/>
      <c r="F465" s="29"/>
      <c r="G465" s="29"/>
      <c r="H465" s="30"/>
      <c r="I465" s="31"/>
      <c r="J465" s="31"/>
      <c r="K465" s="29"/>
      <c r="L465" s="32"/>
      <c r="M465" s="29"/>
      <c r="N465" s="33"/>
      <c r="O465" s="32"/>
      <c r="P465" s="34"/>
      <c r="Q465" s="34"/>
      <c r="R465" s="34"/>
      <c r="S465" s="32"/>
      <c r="T465" s="32"/>
      <c r="U465" s="32"/>
      <c r="V465" s="32"/>
      <c r="W465" s="32"/>
    </row>
    <row r="466" spans="3:23" x14ac:dyDescent="0.25">
      <c r="C466" s="1"/>
      <c r="D466" s="29"/>
      <c r="E466" s="29"/>
      <c r="F466" s="29"/>
      <c r="G466" s="29"/>
      <c r="H466" s="30"/>
      <c r="I466" s="31"/>
      <c r="J466" s="31"/>
      <c r="K466" s="29"/>
      <c r="L466" s="32"/>
      <c r="M466" s="29"/>
      <c r="N466" s="33"/>
      <c r="O466" s="32"/>
      <c r="P466" s="34"/>
      <c r="Q466" s="34"/>
      <c r="R466" s="34"/>
      <c r="S466" s="32"/>
      <c r="T466" s="32"/>
      <c r="U466" s="32"/>
      <c r="V466" s="32"/>
      <c r="W466" s="32"/>
    </row>
    <row r="467" spans="3:23" x14ac:dyDescent="0.25">
      <c r="C467" s="1"/>
      <c r="D467" s="29"/>
      <c r="E467" s="29"/>
      <c r="F467" s="29"/>
      <c r="G467" s="29"/>
      <c r="H467" s="30"/>
      <c r="I467" s="31"/>
      <c r="J467" s="31"/>
      <c r="K467" s="29"/>
      <c r="L467" s="32"/>
      <c r="M467" s="29"/>
      <c r="N467" s="33"/>
      <c r="O467" s="32"/>
      <c r="P467" s="34"/>
      <c r="Q467" s="34"/>
      <c r="R467" s="34"/>
      <c r="S467" s="32"/>
      <c r="T467" s="32"/>
      <c r="U467" s="32"/>
      <c r="V467" s="32"/>
      <c r="W467" s="32"/>
    </row>
    <row r="468" spans="3:23" x14ac:dyDescent="0.25">
      <c r="C468" s="1"/>
      <c r="D468" s="29"/>
      <c r="E468" s="29"/>
      <c r="F468" s="29"/>
      <c r="G468" s="29"/>
      <c r="H468" s="30"/>
      <c r="I468" s="31"/>
      <c r="J468" s="31"/>
      <c r="K468" s="29"/>
      <c r="L468" s="32"/>
      <c r="M468" s="29"/>
      <c r="N468" s="33"/>
      <c r="O468" s="32"/>
      <c r="P468" s="34"/>
      <c r="Q468" s="34"/>
      <c r="R468" s="34"/>
      <c r="S468" s="32"/>
      <c r="T468" s="32"/>
      <c r="U468" s="32"/>
      <c r="V468" s="32"/>
      <c r="W468" s="32"/>
    </row>
    <row r="469" spans="3:23" x14ac:dyDescent="0.25">
      <c r="C469" s="1"/>
      <c r="D469" s="29"/>
      <c r="E469" s="29"/>
      <c r="F469" s="29"/>
      <c r="G469" s="29"/>
      <c r="H469" s="30"/>
      <c r="I469" s="31"/>
      <c r="J469" s="31"/>
      <c r="K469" s="29"/>
      <c r="L469" s="32"/>
      <c r="M469" s="29"/>
      <c r="N469" s="33"/>
      <c r="O469" s="32"/>
      <c r="P469" s="34"/>
      <c r="Q469" s="34"/>
      <c r="R469" s="34"/>
      <c r="S469" s="32"/>
      <c r="T469" s="32"/>
      <c r="U469" s="32"/>
      <c r="V469" s="32"/>
      <c r="W469" s="32"/>
    </row>
    <row r="470" spans="3:23" x14ac:dyDescent="0.25">
      <c r="C470" s="1"/>
      <c r="D470" s="29"/>
      <c r="E470" s="29"/>
      <c r="F470" s="29"/>
      <c r="G470" s="29"/>
      <c r="H470" s="30"/>
      <c r="I470" s="31"/>
      <c r="J470" s="31"/>
      <c r="K470" s="29"/>
      <c r="L470" s="32"/>
      <c r="M470" s="29"/>
      <c r="N470" s="33"/>
      <c r="O470" s="32"/>
      <c r="P470" s="34"/>
      <c r="Q470" s="34"/>
      <c r="R470" s="34"/>
      <c r="S470" s="32"/>
      <c r="T470" s="32"/>
      <c r="U470" s="32"/>
      <c r="V470" s="32"/>
      <c r="W470" s="32"/>
    </row>
    <row r="471" spans="3:23" x14ac:dyDescent="0.25">
      <c r="C471" s="1"/>
      <c r="D471" s="29"/>
      <c r="E471" s="29"/>
      <c r="F471" s="29"/>
      <c r="G471" s="29"/>
      <c r="H471" s="30"/>
      <c r="I471" s="31"/>
      <c r="J471" s="31"/>
      <c r="K471" s="29"/>
      <c r="L471" s="32"/>
      <c r="M471" s="29"/>
      <c r="N471" s="33"/>
      <c r="O471" s="32"/>
      <c r="P471" s="34"/>
      <c r="Q471" s="34"/>
      <c r="R471" s="34"/>
      <c r="S471" s="32"/>
      <c r="T471" s="32"/>
      <c r="U471" s="32"/>
      <c r="V471" s="32"/>
      <c r="W471" s="32"/>
    </row>
    <row r="472" spans="3:23" x14ac:dyDescent="0.25">
      <c r="C472" s="1"/>
      <c r="D472" s="29"/>
      <c r="E472" s="29"/>
      <c r="F472" s="29"/>
      <c r="G472" s="29"/>
      <c r="H472" s="30"/>
      <c r="I472" s="31"/>
      <c r="J472" s="31"/>
      <c r="K472" s="29"/>
      <c r="L472" s="32"/>
      <c r="M472" s="29"/>
      <c r="N472" s="33"/>
      <c r="O472" s="32"/>
      <c r="P472" s="34"/>
      <c r="Q472" s="34"/>
      <c r="R472" s="34"/>
      <c r="S472" s="32"/>
      <c r="T472" s="32"/>
      <c r="U472" s="32"/>
      <c r="V472" s="32"/>
      <c r="W472" s="32"/>
    </row>
    <row r="473" spans="3:23" x14ac:dyDescent="0.25">
      <c r="C473" s="1"/>
      <c r="D473" s="29"/>
      <c r="E473" s="29"/>
      <c r="F473" s="29"/>
      <c r="G473" s="29"/>
      <c r="H473" s="30"/>
      <c r="I473" s="31"/>
      <c r="J473" s="31"/>
      <c r="K473" s="29"/>
      <c r="L473" s="32"/>
      <c r="M473" s="29"/>
      <c r="N473" s="33"/>
      <c r="O473" s="32"/>
      <c r="P473" s="34"/>
      <c r="Q473" s="34"/>
      <c r="R473" s="34"/>
      <c r="S473" s="32"/>
      <c r="T473" s="32"/>
      <c r="U473" s="32"/>
      <c r="V473" s="32"/>
      <c r="W473" s="32"/>
    </row>
    <row r="474" spans="3:23" x14ac:dyDescent="0.25">
      <c r="C474" s="1"/>
      <c r="D474" s="29"/>
      <c r="E474" s="29"/>
      <c r="F474" s="29"/>
      <c r="G474" s="29"/>
      <c r="H474" s="30"/>
      <c r="I474" s="31"/>
      <c r="J474" s="31"/>
      <c r="K474" s="29"/>
      <c r="L474" s="32"/>
      <c r="M474" s="29"/>
      <c r="N474" s="33"/>
      <c r="O474" s="32"/>
      <c r="P474" s="34"/>
      <c r="Q474" s="34"/>
      <c r="R474" s="34"/>
      <c r="S474" s="32"/>
      <c r="T474" s="32"/>
      <c r="U474" s="32"/>
      <c r="V474" s="32"/>
      <c r="W474" s="32"/>
    </row>
    <row r="475" spans="3:23" x14ac:dyDescent="0.25">
      <c r="C475" s="1"/>
      <c r="D475" s="29"/>
      <c r="E475" s="29"/>
      <c r="F475" s="29"/>
      <c r="G475" s="29"/>
      <c r="H475" s="30"/>
      <c r="I475" s="31"/>
      <c r="J475" s="31"/>
      <c r="K475" s="29"/>
      <c r="L475" s="32"/>
      <c r="M475" s="29"/>
      <c r="N475" s="33"/>
      <c r="O475" s="32"/>
      <c r="P475" s="34"/>
      <c r="Q475" s="34"/>
      <c r="R475" s="34"/>
      <c r="S475" s="32"/>
      <c r="T475" s="32"/>
      <c r="U475" s="32"/>
      <c r="V475" s="32"/>
      <c r="W475" s="32"/>
    </row>
    <row r="476" spans="3:23" x14ac:dyDescent="0.25">
      <c r="C476" s="1"/>
      <c r="D476" s="29"/>
      <c r="E476" s="29"/>
      <c r="F476" s="29"/>
      <c r="G476" s="29"/>
      <c r="H476" s="30"/>
      <c r="I476" s="31"/>
      <c r="J476" s="31"/>
      <c r="K476" s="29"/>
      <c r="L476" s="32"/>
      <c r="M476" s="29"/>
      <c r="N476" s="33"/>
      <c r="O476" s="32"/>
      <c r="P476" s="34"/>
      <c r="Q476" s="34"/>
      <c r="R476" s="34"/>
      <c r="S476" s="32"/>
      <c r="T476" s="32"/>
      <c r="U476" s="32"/>
      <c r="V476" s="32"/>
      <c r="W476" s="32"/>
    </row>
    <row r="477" spans="3:23" x14ac:dyDescent="0.25">
      <c r="C477" s="1"/>
      <c r="D477" s="29"/>
      <c r="E477" s="29"/>
      <c r="F477" s="29"/>
      <c r="G477" s="29"/>
      <c r="H477" s="30"/>
      <c r="I477" s="31"/>
      <c r="J477" s="31"/>
      <c r="K477" s="29"/>
      <c r="L477" s="32"/>
      <c r="M477" s="29"/>
      <c r="N477" s="33"/>
      <c r="O477" s="32"/>
      <c r="P477" s="34"/>
      <c r="Q477" s="34"/>
      <c r="R477" s="34"/>
      <c r="S477" s="32"/>
      <c r="T477" s="32"/>
      <c r="U477" s="32"/>
      <c r="V477" s="32"/>
      <c r="W477" s="32"/>
    </row>
    <row r="478" spans="3:23" x14ac:dyDescent="0.25">
      <c r="C478" s="1"/>
      <c r="D478" s="29"/>
      <c r="E478" s="29"/>
      <c r="F478" s="29"/>
      <c r="G478" s="29"/>
      <c r="H478" s="30"/>
      <c r="I478" s="31"/>
      <c r="J478" s="31"/>
      <c r="K478" s="29"/>
      <c r="L478" s="32"/>
      <c r="M478" s="29"/>
      <c r="N478" s="33"/>
      <c r="O478" s="32"/>
      <c r="P478" s="34"/>
      <c r="Q478" s="34"/>
      <c r="R478" s="34"/>
      <c r="S478" s="32"/>
      <c r="T478" s="32"/>
      <c r="U478" s="32"/>
      <c r="V478" s="32"/>
      <c r="W478" s="32"/>
    </row>
    <row r="479" spans="3:23" x14ac:dyDescent="0.25">
      <c r="C479" s="1"/>
      <c r="D479" s="29"/>
      <c r="E479" s="29"/>
      <c r="F479" s="29"/>
      <c r="G479" s="29"/>
      <c r="H479" s="30"/>
      <c r="I479" s="31"/>
      <c r="J479" s="31"/>
      <c r="K479" s="29"/>
      <c r="L479" s="32"/>
      <c r="M479" s="29"/>
      <c r="N479" s="33"/>
      <c r="O479" s="32"/>
      <c r="P479" s="34"/>
      <c r="Q479" s="34"/>
      <c r="R479" s="34"/>
      <c r="S479" s="32"/>
      <c r="T479" s="32"/>
      <c r="U479" s="32"/>
      <c r="V479" s="32"/>
      <c r="W479" s="32"/>
    </row>
    <row r="480" spans="3:23" x14ac:dyDescent="0.25">
      <c r="C480" s="1"/>
      <c r="D480" s="29"/>
      <c r="E480" s="29"/>
      <c r="F480" s="29"/>
      <c r="G480" s="29"/>
      <c r="H480" s="30"/>
      <c r="I480" s="31"/>
      <c r="J480" s="31"/>
      <c r="K480" s="29"/>
      <c r="L480" s="32"/>
      <c r="M480" s="29"/>
      <c r="N480" s="33"/>
      <c r="O480" s="32"/>
      <c r="P480" s="34"/>
      <c r="Q480" s="34"/>
      <c r="R480" s="34"/>
      <c r="S480" s="32"/>
      <c r="T480" s="32"/>
      <c r="U480" s="32"/>
      <c r="V480" s="32"/>
      <c r="W480" s="32"/>
    </row>
    <row r="481" spans="3:23" x14ac:dyDescent="0.25">
      <c r="C481" s="1"/>
      <c r="D481" s="29"/>
      <c r="E481" s="29"/>
      <c r="F481" s="29"/>
      <c r="G481" s="29"/>
      <c r="H481" s="30"/>
      <c r="I481" s="31"/>
      <c r="J481" s="31"/>
      <c r="K481" s="29"/>
      <c r="L481" s="32"/>
      <c r="M481" s="29"/>
      <c r="N481" s="33"/>
      <c r="O481" s="32"/>
      <c r="P481" s="34"/>
      <c r="Q481" s="34"/>
      <c r="R481" s="34"/>
      <c r="S481" s="32"/>
      <c r="T481" s="32"/>
      <c r="U481" s="32"/>
      <c r="V481" s="32"/>
      <c r="W481" s="32"/>
    </row>
    <row r="482" spans="3:23" x14ac:dyDescent="0.25">
      <c r="C482" s="1"/>
      <c r="D482" s="29"/>
      <c r="E482" s="29"/>
      <c r="F482" s="29"/>
      <c r="G482" s="29"/>
      <c r="H482" s="30"/>
      <c r="I482" s="31"/>
      <c r="J482" s="31"/>
      <c r="K482" s="29"/>
      <c r="L482" s="32"/>
      <c r="M482" s="29"/>
      <c r="N482" s="33"/>
      <c r="O482" s="32"/>
      <c r="P482" s="34"/>
      <c r="Q482" s="34"/>
      <c r="R482" s="34"/>
      <c r="S482" s="32"/>
      <c r="T482" s="32"/>
      <c r="U482" s="32"/>
      <c r="V482" s="32"/>
      <c r="W482" s="32"/>
    </row>
    <row r="483" spans="3:23" x14ac:dyDescent="0.25">
      <c r="C483" s="1"/>
      <c r="D483" s="29"/>
      <c r="E483" s="29"/>
      <c r="F483" s="29"/>
      <c r="G483" s="29"/>
      <c r="H483" s="30"/>
      <c r="I483" s="31"/>
      <c r="J483" s="31"/>
      <c r="K483" s="29"/>
      <c r="L483" s="32"/>
      <c r="M483" s="29"/>
      <c r="N483" s="33"/>
      <c r="O483" s="32"/>
      <c r="P483" s="34"/>
      <c r="Q483" s="34"/>
      <c r="R483" s="34"/>
      <c r="S483" s="32"/>
      <c r="T483" s="32"/>
      <c r="U483" s="32"/>
      <c r="V483" s="32"/>
      <c r="W483" s="32"/>
    </row>
    <row r="484" spans="3:23" x14ac:dyDescent="0.25">
      <c r="C484" s="1"/>
      <c r="D484" s="29"/>
      <c r="E484" s="29"/>
      <c r="F484" s="29"/>
      <c r="G484" s="29"/>
      <c r="H484" s="30"/>
      <c r="I484" s="31"/>
      <c r="J484" s="31"/>
      <c r="K484" s="29"/>
      <c r="L484" s="32"/>
      <c r="M484" s="29"/>
      <c r="N484" s="33"/>
      <c r="O484" s="32"/>
      <c r="P484" s="34"/>
      <c r="Q484" s="34"/>
      <c r="R484" s="34"/>
      <c r="S484" s="32"/>
      <c r="T484" s="32"/>
      <c r="U484" s="32"/>
      <c r="V484" s="32"/>
      <c r="W484" s="32"/>
    </row>
    <row r="485" spans="3:23" x14ac:dyDescent="0.25">
      <c r="C485" s="1"/>
      <c r="D485" s="29"/>
      <c r="E485" s="29"/>
      <c r="F485" s="29"/>
      <c r="G485" s="29"/>
      <c r="H485" s="30"/>
      <c r="I485" s="31"/>
      <c r="J485" s="31"/>
      <c r="K485" s="29"/>
      <c r="L485" s="32"/>
      <c r="M485" s="29"/>
      <c r="N485" s="33"/>
      <c r="O485" s="32"/>
      <c r="P485" s="34"/>
      <c r="Q485" s="34"/>
      <c r="R485" s="34"/>
      <c r="S485" s="32"/>
      <c r="T485" s="32"/>
      <c r="U485" s="32"/>
      <c r="V485" s="32"/>
      <c r="W485" s="32"/>
    </row>
    <row r="486" spans="3:23" x14ac:dyDescent="0.25">
      <c r="C486" s="1"/>
      <c r="D486" s="29"/>
      <c r="E486" s="29"/>
      <c r="F486" s="29"/>
      <c r="G486" s="29"/>
      <c r="H486" s="30"/>
      <c r="I486" s="31"/>
      <c r="J486" s="31"/>
      <c r="K486" s="29"/>
      <c r="L486" s="32"/>
      <c r="M486" s="29"/>
      <c r="N486" s="33"/>
      <c r="O486" s="32"/>
      <c r="P486" s="34"/>
      <c r="Q486" s="34"/>
      <c r="R486" s="34"/>
      <c r="S486" s="32"/>
      <c r="T486" s="32"/>
      <c r="U486" s="32"/>
      <c r="V486" s="32"/>
      <c r="W486" s="32"/>
    </row>
    <row r="487" spans="3:23" x14ac:dyDescent="0.25">
      <c r="C487" s="1"/>
      <c r="D487" s="29"/>
      <c r="E487" s="29"/>
      <c r="F487" s="29"/>
      <c r="G487" s="29"/>
      <c r="H487" s="30"/>
      <c r="I487" s="31"/>
      <c r="J487" s="31"/>
      <c r="K487" s="29"/>
      <c r="L487" s="32"/>
      <c r="M487" s="29"/>
      <c r="N487" s="33"/>
      <c r="O487" s="32"/>
      <c r="P487" s="34"/>
      <c r="Q487" s="34"/>
      <c r="R487" s="34"/>
      <c r="S487" s="32"/>
      <c r="T487" s="32"/>
      <c r="U487" s="32"/>
      <c r="V487" s="32"/>
      <c r="W487" s="32"/>
    </row>
    <row r="488" spans="3:23" x14ac:dyDescent="0.25">
      <c r="C488" s="1"/>
      <c r="D488" s="29"/>
      <c r="E488" s="29"/>
      <c r="F488" s="29"/>
      <c r="G488" s="29"/>
      <c r="H488" s="30"/>
      <c r="I488" s="31"/>
      <c r="J488" s="31"/>
      <c r="K488" s="29"/>
      <c r="L488" s="32"/>
      <c r="M488" s="29"/>
      <c r="N488" s="33"/>
      <c r="O488" s="32"/>
      <c r="P488" s="34"/>
      <c r="Q488" s="34"/>
      <c r="R488" s="34"/>
      <c r="S488" s="32"/>
      <c r="T488" s="32"/>
      <c r="U488" s="32"/>
      <c r="V488" s="32"/>
      <c r="W488" s="32"/>
    </row>
    <row r="489" spans="3:23" x14ac:dyDescent="0.25">
      <c r="C489" s="1"/>
      <c r="D489" s="29"/>
      <c r="E489" s="29"/>
      <c r="F489" s="29"/>
      <c r="G489" s="29"/>
      <c r="H489" s="30"/>
      <c r="I489" s="31"/>
      <c r="J489" s="31"/>
      <c r="K489" s="29"/>
      <c r="L489" s="32"/>
      <c r="M489" s="29"/>
      <c r="N489" s="33"/>
      <c r="O489" s="32"/>
      <c r="P489" s="34"/>
      <c r="Q489" s="34"/>
      <c r="R489" s="34"/>
      <c r="S489" s="32"/>
      <c r="T489" s="32"/>
      <c r="U489" s="32"/>
      <c r="V489" s="32"/>
      <c r="W489" s="32"/>
    </row>
    <row r="490" spans="3:23" x14ac:dyDescent="0.25">
      <c r="C490" s="1"/>
      <c r="D490" s="29"/>
      <c r="E490" s="29"/>
      <c r="F490" s="29"/>
      <c r="G490" s="29"/>
      <c r="H490" s="30"/>
      <c r="I490" s="31"/>
      <c r="J490" s="31"/>
      <c r="K490" s="29"/>
      <c r="L490" s="32"/>
      <c r="M490" s="29"/>
      <c r="N490" s="33"/>
      <c r="O490" s="32"/>
      <c r="P490" s="34"/>
      <c r="Q490" s="34"/>
      <c r="R490" s="34"/>
      <c r="S490" s="32"/>
      <c r="T490" s="32"/>
      <c r="U490" s="32"/>
      <c r="V490" s="32"/>
      <c r="W490" s="32"/>
    </row>
    <row r="491" spans="3:23" x14ac:dyDescent="0.25">
      <c r="C491" s="1"/>
      <c r="D491" s="29"/>
      <c r="E491" s="29"/>
      <c r="F491" s="29"/>
      <c r="G491" s="29"/>
      <c r="H491" s="30"/>
      <c r="I491" s="31"/>
      <c r="J491" s="31"/>
      <c r="K491" s="29"/>
      <c r="L491" s="32"/>
      <c r="M491" s="29"/>
      <c r="N491" s="33"/>
      <c r="O491" s="32"/>
      <c r="P491" s="34"/>
      <c r="Q491" s="34"/>
      <c r="R491" s="34"/>
      <c r="S491" s="32"/>
      <c r="T491" s="32"/>
      <c r="U491" s="32"/>
      <c r="V491" s="32"/>
      <c r="W491" s="32"/>
    </row>
    <row r="492" spans="3:23" x14ac:dyDescent="0.25">
      <c r="C492" s="1"/>
      <c r="D492" s="29"/>
      <c r="E492" s="29"/>
      <c r="F492" s="29"/>
      <c r="G492" s="29"/>
      <c r="H492" s="30"/>
      <c r="I492" s="31"/>
      <c r="J492" s="31"/>
      <c r="K492" s="29"/>
      <c r="L492" s="32"/>
      <c r="M492" s="29"/>
      <c r="N492" s="33"/>
      <c r="O492" s="32"/>
      <c r="P492" s="34"/>
      <c r="Q492" s="34"/>
      <c r="R492" s="34"/>
      <c r="S492" s="32"/>
      <c r="T492" s="32"/>
      <c r="U492" s="32"/>
      <c r="V492" s="32"/>
      <c r="W492" s="32"/>
    </row>
    <row r="493" spans="3:23" x14ac:dyDescent="0.25">
      <c r="C493" s="1"/>
      <c r="D493" s="29"/>
      <c r="E493" s="29"/>
      <c r="F493" s="29"/>
      <c r="G493" s="29"/>
      <c r="H493" s="30"/>
      <c r="I493" s="31"/>
      <c r="J493" s="31"/>
      <c r="K493" s="29"/>
      <c r="L493" s="32"/>
      <c r="M493" s="29"/>
      <c r="N493" s="33"/>
      <c r="O493" s="32"/>
      <c r="P493" s="34"/>
      <c r="Q493" s="34"/>
      <c r="R493" s="34"/>
      <c r="S493" s="32"/>
      <c r="T493" s="32"/>
      <c r="U493" s="32"/>
      <c r="V493" s="32"/>
      <c r="W493" s="32"/>
    </row>
    <row r="494" spans="3:23" x14ac:dyDescent="0.25">
      <c r="C494" s="1"/>
      <c r="D494" s="29"/>
      <c r="E494" s="29"/>
      <c r="F494" s="29"/>
      <c r="G494" s="29"/>
      <c r="H494" s="30"/>
      <c r="I494" s="31"/>
      <c r="J494" s="31"/>
      <c r="K494" s="29"/>
      <c r="L494" s="32"/>
      <c r="M494" s="29"/>
      <c r="N494" s="33"/>
      <c r="O494" s="32"/>
      <c r="P494" s="34"/>
      <c r="Q494" s="34"/>
      <c r="R494" s="34"/>
      <c r="S494" s="32"/>
      <c r="T494" s="32"/>
      <c r="U494" s="32"/>
      <c r="V494" s="32"/>
      <c r="W494" s="32"/>
    </row>
    <row r="495" spans="3:23" x14ac:dyDescent="0.25">
      <c r="C495" s="1"/>
      <c r="D495" s="29"/>
      <c r="E495" s="29"/>
      <c r="F495" s="29"/>
      <c r="G495" s="29"/>
      <c r="H495" s="30"/>
      <c r="I495" s="31"/>
      <c r="J495" s="31"/>
      <c r="K495" s="29"/>
      <c r="L495" s="32"/>
      <c r="M495" s="29"/>
      <c r="N495" s="33"/>
      <c r="O495" s="32"/>
      <c r="P495" s="34"/>
      <c r="Q495" s="34"/>
      <c r="R495" s="34"/>
      <c r="S495" s="32"/>
      <c r="T495" s="32"/>
      <c r="U495" s="32"/>
      <c r="V495" s="32"/>
      <c r="W495" s="32"/>
    </row>
    <row r="496" spans="3:23" x14ac:dyDescent="0.25">
      <c r="C496" s="1"/>
      <c r="D496" s="29"/>
      <c r="E496" s="29"/>
      <c r="F496" s="29"/>
      <c r="G496" s="29"/>
      <c r="H496" s="30"/>
      <c r="I496" s="31"/>
      <c r="J496" s="31"/>
      <c r="K496" s="29"/>
      <c r="L496" s="32"/>
      <c r="M496" s="29"/>
      <c r="N496" s="33"/>
      <c r="O496" s="32"/>
      <c r="P496" s="34"/>
      <c r="Q496" s="34"/>
      <c r="R496" s="34"/>
      <c r="S496" s="32"/>
      <c r="T496" s="32"/>
      <c r="U496" s="32"/>
      <c r="V496" s="32"/>
      <c r="W496" s="32"/>
    </row>
    <row r="497" spans="3:23" x14ac:dyDescent="0.25">
      <c r="C497" s="1"/>
      <c r="D497" s="29"/>
      <c r="E497" s="29"/>
      <c r="F497" s="29"/>
      <c r="G497" s="29"/>
      <c r="H497" s="30"/>
      <c r="I497" s="31"/>
      <c r="J497" s="31"/>
      <c r="K497" s="29"/>
      <c r="L497" s="32"/>
      <c r="M497" s="29"/>
      <c r="N497" s="33"/>
      <c r="O497" s="32"/>
      <c r="P497" s="34"/>
      <c r="Q497" s="34"/>
      <c r="R497" s="34"/>
      <c r="S497" s="32"/>
      <c r="T497" s="32"/>
      <c r="U497" s="32"/>
      <c r="V497" s="32"/>
      <c r="W497" s="32"/>
    </row>
    <row r="498" spans="3:23" x14ac:dyDescent="0.25">
      <c r="C498" s="1"/>
      <c r="D498" s="29"/>
      <c r="E498" s="29"/>
      <c r="F498" s="29"/>
      <c r="G498" s="29"/>
      <c r="H498" s="30"/>
      <c r="I498" s="31"/>
      <c r="J498" s="31"/>
      <c r="K498" s="29"/>
      <c r="L498" s="32"/>
      <c r="M498" s="29"/>
      <c r="N498" s="33"/>
      <c r="O498" s="32"/>
      <c r="P498" s="34"/>
      <c r="Q498" s="34"/>
      <c r="R498" s="34"/>
      <c r="S498" s="32"/>
      <c r="T498" s="32"/>
      <c r="U498" s="32"/>
      <c r="V498" s="32"/>
      <c r="W498" s="32"/>
    </row>
    <row r="499" spans="3:23" x14ac:dyDescent="0.25">
      <c r="C499" s="1"/>
      <c r="D499" s="29"/>
      <c r="E499" s="29"/>
      <c r="F499" s="29"/>
      <c r="G499" s="29"/>
      <c r="H499" s="30"/>
      <c r="I499" s="31"/>
      <c r="J499" s="31"/>
      <c r="K499" s="29"/>
      <c r="L499" s="32"/>
      <c r="M499" s="29"/>
      <c r="N499" s="33"/>
      <c r="O499" s="32"/>
      <c r="P499" s="34"/>
      <c r="Q499" s="34"/>
      <c r="R499" s="34"/>
      <c r="S499" s="32"/>
      <c r="T499" s="32"/>
      <c r="U499" s="32"/>
      <c r="V499" s="32"/>
      <c r="W499" s="32"/>
    </row>
    <row r="500" spans="3:23" x14ac:dyDescent="0.25">
      <c r="C500" s="1"/>
      <c r="D500" s="29"/>
      <c r="E500" s="29"/>
      <c r="F500" s="29"/>
      <c r="G500" s="29"/>
      <c r="H500" s="30"/>
      <c r="I500" s="31"/>
      <c r="J500" s="31"/>
      <c r="K500" s="29"/>
      <c r="L500" s="32"/>
      <c r="M500" s="29"/>
      <c r="N500" s="33"/>
      <c r="O500" s="32"/>
      <c r="P500" s="34"/>
      <c r="Q500" s="34"/>
      <c r="R500" s="34"/>
      <c r="S500" s="32"/>
      <c r="T500" s="32"/>
      <c r="U500" s="32"/>
      <c r="V500" s="32"/>
      <c r="W500" s="32"/>
    </row>
    <row r="501" spans="3:23" x14ac:dyDescent="0.25">
      <c r="C501" s="1"/>
      <c r="D501" s="29"/>
      <c r="E501" s="29"/>
      <c r="F501" s="29"/>
      <c r="G501" s="29"/>
      <c r="H501" s="30"/>
      <c r="I501" s="31"/>
      <c r="J501" s="31"/>
      <c r="K501" s="29"/>
      <c r="L501" s="32"/>
      <c r="M501" s="29"/>
      <c r="N501" s="33"/>
      <c r="O501" s="32"/>
      <c r="P501" s="34"/>
      <c r="Q501" s="34"/>
      <c r="R501" s="34"/>
      <c r="S501" s="32"/>
      <c r="T501" s="32"/>
      <c r="U501" s="32"/>
      <c r="V501" s="32"/>
      <c r="W501" s="32"/>
    </row>
    <row r="502" spans="3:23" x14ac:dyDescent="0.25">
      <c r="C502" s="1"/>
      <c r="D502" s="29"/>
      <c r="E502" s="29"/>
      <c r="F502" s="29"/>
      <c r="G502" s="29"/>
      <c r="H502" s="30"/>
      <c r="I502" s="31"/>
      <c r="J502" s="31"/>
      <c r="K502" s="29"/>
      <c r="L502" s="32"/>
      <c r="M502" s="29"/>
      <c r="N502" s="33"/>
      <c r="O502" s="32"/>
      <c r="P502" s="34"/>
      <c r="Q502" s="34"/>
      <c r="R502" s="34"/>
      <c r="S502" s="32"/>
      <c r="T502" s="32"/>
      <c r="U502" s="32"/>
      <c r="V502" s="32"/>
      <c r="W502" s="32"/>
    </row>
    <row r="503" spans="3:23" x14ac:dyDescent="0.25">
      <c r="C503" s="1"/>
      <c r="D503" s="29"/>
      <c r="E503" s="29"/>
      <c r="F503" s="29"/>
      <c r="G503" s="29"/>
      <c r="H503" s="30"/>
      <c r="I503" s="31"/>
      <c r="J503" s="31"/>
      <c r="K503" s="29"/>
      <c r="L503" s="32"/>
      <c r="M503" s="29"/>
      <c r="N503" s="33"/>
      <c r="O503" s="32"/>
      <c r="P503" s="34"/>
      <c r="Q503" s="34"/>
      <c r="R503" s="34"/>
      <c r="S503" s="32"/>
      <c r="T503" s="32"/>
      <c r="U503" s="32"/>
      <c r="V503" s="32"/>
      <c r="W503" s="32"/>
    </row>
    <row r="504" spans="3:23" x14ac:dyDescent="0.25">
      <c r="C504" s="1"/>
      <c r="D504" s="29"/>
      <c r="E504" s="29"/>
      <c r="F504" s="29"/>
      <c r="G504" s="29"/>
      <c r="H504" s="30"/>
      <c r="I504" s="31"/>
      <c r="J504" s="31"/>
      <c r="K504" s="29"/>
      <c r="L504" s="32"/>
      <c r="M504" s="29"/>
      <c r="N504" s="33"/>
      <c r="O504" s="32"/>
      <c r="P504" s="34"/>
      <c r="Q504" s="34"/>
      <c r="R504" s="34"/>
      <c r="S504" s="32"/>
      <c r="T504" s="32"/>
      <c r="U504" s="32"/>
      <c r="V504" s="32"/>
      <c r="W504" s="32"/>
    </row>
    <row r="505" spans="3:23" x14ac:dyDescent="0.25">
      <c r="C505" s="1"/>
      <c r="D505" s="29"/>
      <c r="E505" s="29"/>
      <c r="F505" s="29"/>
      <c r="G505" s="29"/>
      <c r="H505" s="30"/>
      <c r="I505" s="31"/>
      <c r="J505" s="31"/>
      <c r="K505" s="29"/>
      <c r="L505" s="32"/>
      <c r="M505" s="29"/>
      <c r="N505" s="33"/>
      <c r="O505" s="32"/>
      <c r="P505" s="34"/>
      <c r="Q505" s="34"/>
      <c r="R505" s="34"/>
      <c r="S505" s="32"/>
      <c r="T505" s="32"/>
      <c r="U505" s="32"/>
      <c r="V505" s="32"/>
      <c r="W505" s="32"/>
    </row>
    <row r="506" spans="3:23" x14ac:dyDescent="0.25">
      <c r="C506" s="1"/>
      <c r="D506" s="29"/>
      <c r="E506" s="29"/>
      <c r="F506" s="29"/>
      <c r="G506" s="29"/>
      <c r="H506" s="30"/>
      <c r="I506" s="31"/>
      <c r="J506" s="31"/>
      <c r="K506" s="29"/>
      <c r="L506" s="32"/>
      <c r="M506" s="29"/>
      <c r="N506" s="33"/>
      <c r="O506" s="32"/>
      <c r="P506" s="34"/>
      <c r="Q506" s="34"/>
      <c r="R506" s="34"/>
      <c r="S506" s="32"/>
      <c r="T506" s="32"/>
      <c r="U506" s="32"/>
      <c r="V506" s="32"/>
      <c r="W506" s="32"/>
    </row>
    <row r="507" spans="3:23" x14ac:dyDescent="0.25">
      <c r="C507" s="1"/>
      <c r="D507" s="29"/>
      <c r="E507" s="29"/>
      <c r="F507" s="29"/>
      <c r="G507" s="29"/>
      <c r="H507" s="30"/>
      <c r="I507" s="31"/>
      <c r="J507" s="31"/>
      <c r="K507" s="29"/>
      <c r="L507" s="32"/>
      <c r="M507" s="29"/>
      <c r="N507" s="33"/>
      <c r="O507" s="32"/>
      <c r="P507" s="34"/>
      <c r="Q507" s="34"/>
      <c r="R507" s="34"/>
      <c r="S507" s="32"/>
      <c r="T507" s="32"/>
      <c r="U507" s="32"/>
      <c r="V507" s="32"/>
      <c r="W507" s="32"/>
    </row>
    <row r="508" spans="3:23" x14ac:dyDescent="0.25">
      <c r="C508" s="1"/>
      <c r="D508" s="29"/>
      <c r="E508" s="29"/>
      <c r="F508" s="29"/>
      <c r="G508" s="29"/>
      <c r="H508" s="30"/>
      <c r="I508" s="31"/>
      <c r="J508" s="31"/>
      <c r="K508" s="29"/>
      <c r="L508" s="32"/>
      <c r="M508" s="29"/>
      <c r="N508" s="33"/>
      <c r="O508" s="32"/>
      <c r="P508" s="34"/>
      <c r="Q508" s="34"/>
      <c r="R508" s="34"/>
      <c r="S508" s="32"/>
      <c r="T508" s="32"/>
      <c r="U508" s="32"/>
      <c r="V508" s="32"/>
      <c r="W508" s="32"/>
    </row>
    <row r="509" spans="3:23" x14ac:dyDescent="0.25">
      <c r="C509" s="1"/>
      <c r="D509" s="29"/>
      <c r="E509" s="29"/>
      <c r="F509" s="29"/>
      <c r="G509" s="29"/>
      <c r="H509" s="30"/>
      <c r="I509" s="31"/>
      <c r="J509" s="31"/>
      <c r="K509" s="29"/>
      <c r="L509" s="32"/>
      <c r="M509" s="29"/>
      <c r="N509" s="33"/>
      <c r="O509" s="32"/>
      <c r="P509" s="34"/>
      <c r="Q509" s="34"/>
      <c r="R509" s="34"/>
      <c r="S509" s="32"/>
      <c r="T509" s="32"/>
      <c r="U509" s="32"/>
      <c r="V509" s="32"/>
      <c r="W509" s="32"/>
    </row>
    <row r="510" spans="3:23" x14ac:dyDescent="0.25">
      <c r="C510" s="1"/>
      <c r="D510" s="29"/>
      <c r="E510" s="29"/>
      <c r="F510" s="29"/>
      <c r="G510" s="29"/>
      <c r="H510" s="30"/>
      <c r="I510" s="31"/>
      <c r="J510" s="31"/>
      <c r="K510" s="29"/>
      <c r="L510" s="32"/>
      <c r="M510" s="29"/>
      <c r="N510" s="33"/>
      <c r="O510" s="32"/>
      <c r="P510" s="34"/>
      <c r="Q510" s="34"/>
      <c r="R510" s="34"/>
      <c r="S510" s="32"/>
      <c r="T510" s="32"/>
      <c r="U510" s="32"/>
      <c r="V510" s="32"/>
      <c r="W510" s="32"/>
    </row>
    <row r="511" spans="3:23" x14ac:dyDescent="0.25">
      <c r="C511" s="1"/>
      <c r="D511" s="29"/>
      <c r="E511" s="29"/>
      <c r="F511" s="29"/>
      <c r="G511" s="29"/>
      <c r="H511" s="30"/>
      <c r="I511" s="31"/>
      <c r="J511" s="31"/>
      <c r="K511" s="29"/>
      <c r="L511" s="32"/>
      <c r="M511" s="29"/>
      <c r="N511" s="33"/>
      <c r="O511" s="32"/>
      <c r="P511" s="34"/>
      <c r="Q511" s="34"/>
      <c r="R511" s="34"/>
      <c r="S511" s="32"/>
      <c r="T511" s="32"/>
      <c r="U511" s="32"/>
      <c r="V511" s="32"/>
      <c r="W511" s="32"/>
    </row>
    <row r="512" spans="3:23" x14ac:dyDescent="0.25">
      <c r="C512" s="1"/>
      <c r="D512" s="29"/>
      <c r="E512" s="29"/>
      <c r="F512" s="29"/>
      <c r="G512" s="29"/>
      <c r="H512" s="30"/>
      <c r="I512" s="31"/>
      <c r="J512" s="31"/>
      <c r="K512" s="29"/>
      <c r="L512" s="32"/>
      <c r="M512" s="29"/>
      <c r="N512" s="33"/>
      <c r="O512" s="32"/>
      <c r="P512" s="34"/>
      <c r="Q512" s="34"/>
      <c r="R512" s="34"/>
      <c r="S512" s="32"/>
      <c r="T512" s="32"/>
      <c r="U512" s="32"/>
      <c r="V512" s="32"/>
      <c r="W512" s="32"/>
    </row>
    <row r="513" spans="3:23" x14ac:dyDescent="0.25">
      <c r="C513" s="1"/>
      <c r="D513" s="29"/>
      <c r="E513" s="29"/>
      <c r="F513" s="29"/>
      <c r="G513" s="29"/>
      <c r="H513" s="30"/>
      <c r="I513" s="31"/>
      <c r="J513" s="31"/>
      <c r="K513" s="29"/>
      <c r="L513" s="32"/>
      <c r="M513" s="29"/>
      <c r="N513" s="33"/>
      <c r="O513" s="32"/>
      <c r="P513" s="34"/>
      <c r="Q513" s="34"/>
      <c r="R513" s="34"/>
      <c r="S513" s="32"/>
      <c r="T513" s="32"/>
      <c r="U513" s="32"/>
      <c r="V513" s="32"/>
      <c r="W513" s="32"/>
    </row>
    <row r="514" spans="3:23" x14ac:dyDescent="0.25">
      <c r="C514" s="1"/>
      <c r="D514" s="29"/>
      <c r="E514" s="29"/>
      <c r="F514" s="29"/>
      <c r="G514" s="29"/>
      <c r="H514" s="30"/>
      <c r="I514" s="31"/>
      <c r="J514" s="31"/>
      <c r="K514" s="29"/>
      <c r="L514" s="32"/>
      <c r="M514" s="29"/>
      <c r="N514" s="33"/>
      <c r="O514" s="32"/>
      <c r="P514" s="34"/>
      <c r="Q514" s="34"/>
      <c r="R514" s="34"/>
      <c r="S514" s="32"/>
      <c r="T514" s="32"/>
      <c r="U514" s="32"/>
      <c r="V514" s="32"/>
      <c r="W514" s="32"/>
    </row>
    <row r="515" spans="3:23" x14ac:dyDescent="0.25">
      <c r="C515" s="1"/>
      <c r="D515" s="29"/>
      <c r="E515" s="29"/>
      <c r="F515" s="29"/>
      <c r="G515" s="29"/>
      <c r="H515" s="30"/>
      <c r="I515" s="31"/>
      <c r="J515" s="31"/>
      <c r="K515" s="29"/>
      <c r="L515" s="32"/>
      <c r="M515" s="29"/>
      <c r="N515" s="33"/>
      <c r="O515" s="32"/>
      <c r="P515" s="34"/>
      <c r="Q515" s="34"/>
      <c r="R515" s="34"/>
      <c r="S515" s="32"/>
      <c r="T515" s="32"/>
      <c r="U515" s="32"/>
      <c r="V515" s="32"/>
      <c r="W515" s="32"/>
    </row>
    <row r="516" spans="3:23" x14ac:dyDescent="0.25">
      <c r="C516" s="1"/>
      <c r="D516" s="29"/>
      <c r="E516" s="29"/>
      <c r="F516" s="29"/>
      <c r="G516" s="29"/>
      <c r="H516" s="30"/>
      <c r="I516" s="31"/>
      <c r="J516" s="31"/>
      <c r="K516" s="29"/>
      <c r="L516" s="32"/>
      <c r="M516" s="29"/>
      <c r="N516" s="33"/>
      <c r="O516" s="32"/>
      <c r="P516" s="34"/>
      <c r="Q516" s="34"/>
      <c r="R516" s="34"/>
      <c r="S516" s="32"/>
      <c r="T516" s="32"/>
      <c r="U516" s="32"/>
      <c r="V516" s="32"/>
      <c r="W516" s="32"/>
    </row>
    <row r="517" spans="3:23" x14ac:dyDescent="0.25">
      <c r="C517" s="1"/>
      <c r="D517" s="29"/>
      <c r="E517" s="29"/>
      <c r="F517" s="29"/>
      <c r="G517" s="29"/>
      <c r="H517" s="30"/>
      <c r="I517" s="31"/>
      <c r="J517" s="31"/>
      <c r="K517" s="29"/>
      <c r="L517" s="32"/>
      <c r="M517" s="29"/>
      <c r="N517" s="33"/>
      <c r="O517" s="32"/>
      <c r="P517" s="34"/>
      <c r="Q517" s="34"/>
      <c r="R517" s="34"/>
      <c r="S517" s="32"/>
      <c r="T517" s="32"/>
      <c r="U517" s="32"/>
      <c r="V517" s="32"/>
      <c r="W517" s="32"/>
    </row>
    <row r="518" spans="3:23" x14ac:dyDescent="0.25">
      <c r="C518" s="1"/>
      <c r="D518" s="29"/>
      <c r="E518" s="29"/>
      <c r="F518" s="29"/>
      <c r="G518" s="29"/>
      <c r="H518" s="30"/>
      <c r="I518" s="31"/>
      <c r="J518" s="31"/>
      <c r="K518" s="29"/>
      <c r="L518" s="32"/>
      <c r="M518" s="29"/>
      <c r="N518" s="33"/>
      <c r="O518" s="32"/>
      <c r="P518" s="34"/>
      <c r="Q518" s="34"/>
      <c r="R518" s="34"/>
      <c r="S518" s="32"/>
      <c r="T518" s="32"/>
      <c r="U518" s="32"/>
      <c r="V518" s="32"/>
      <c r="W518" s="32"/>
    </row>
    <row r="519" spans="3:23" x14ac:dyDescent="0.25">
      <c r="C519" s="1"/>
      <c r="D519" s="29"/>
      <c r="E519" s="29"/>
      <c r="F519" s="29"/>
      <c r="G519" s="29"/>
      <c r="H519" s="30"/>
      <c r="I519" s="31"/>
      <c r="J519" s="31"/>
      <c r="K519" s="29"/>
      <c r="L519" s="32"/>
      <c r="M519" s="29"/>
      <c r="N519" s="33"/>
      <c r="O519" s="32"/>
      <c r="P519" s="34"/>
      <c r="Q519" s="34"/>
      <c r="R519" s="34"/>
      <c r="S519" s="32"/>
      <c r="T519" s="32"/>
      <c r="U519" s="32"/>
      <c r="V519" s="32"/>
      <c r="W519" s="32"/>
    </row>
    <row r="520" spans="3:23" x14ac:dyDescent="0.25">
      <c r="C520" s="1"/>
      <c r="D520" s="29"/>
      <c r="E520" s="29"/>
      <c r="F520" s="29"/>
      <c r="G520" s="29"/>
      <c r="H520" s="30"/>
      <c r="I520" s="31"/>
      <c r="J520" s="31"/>
      <c r="K520" s="29"/>
      <c r="L520" s="32"/>
      <c r="M520" s="29"/>
      <c r="N520" s="33"/>
      <c r="O520" s="32"/>
      <c r="P520" s="34"/>
      <c r="Q520" s="34"/>
      <c r="R520" s="34"/>
      <c r="S520" s="32"/>
      <c r="T520" s="32"/>
      <c r="U520" s="32"/>
      <c r="V520" s="32"/>
      <c r="W520" s="32"/>
    </row>
    <row r="521" spans="3:23" x14ac:dyDescent="0.25">
      <c r="C521" s="1"/>
      <c r="D521" s="29"/>
      <c r="E521" s="29"/>
      <c r="F521" s="29"/>
      <c r="G521" s="29"/>
      <c r="H521" s="30"/>
      <c r="I521" s="31"/>
      <c r="J521" s="31"/>
      <c r="K521" s="29"/>
      <c r="L521" s="32"/>
      <c r="M521" s="29"/>
      <c r="N521" s="33"/>
      <c r="O521" s="32"/>
      <c r="P521" s="34"/>
      <c r="Q521" s="34"/>
      <c r="R521" s="34"/>
      <c r="S521" s="32"/>
      <c r="T521" s="32"/>
      <c r="U521" s="32"/>
      <c r="V521" s="32"/>
      <c r="W521" s="32"/>
    </row>
    <row r="522" spans="3:23" x14ac:dyDescent="0.25">
      <c r="C522" s="1"/>
      <c r="D522" s="29"/>
      <c r="E522" s="29"/>
      <c r="F522" s="29"/>
      <c r="G522" s="29"/>
      <c r="H522" s="30"/>
      <c r="I522" s="31"/>
      <c r="J522" s="31"/>
      <c r="K522" s="29"/>
      <c r="L522" s="32"/>
      <c r="M522" s="29"/>
      <c r="N522" s="33"/>
      <c r="O522" s="32"/>
      <c r="P522" s="34"/>
      <c r="Q522" s="34"/>
      <c r="R522" s="34"/>
      <c r="S522" s="32"/>
      <c r="T522" s="32"/>
      <c r="U522" s="32"/>
      <c r="V522" s="32"/>
      <c r="W522" s="32"/>
    </row>
    <row r="523" spans="3:23" x14ac:dyDescent="0.25">
      <c r="C523" s="1"/>
      <c r="D523" s="29"/>
      <c r="E523" s="29"/>
      <c r="F523" s="29"/>
      <c r="G523" s="29"/>
      <c r="H523" s="30"/>
      <c r="I523" s="31"/>
      <c r="J523" s="31"/>
      <c r="K523" s="29"/>
      <c r="L523" s="32"/>
      <c r="M523" s="29"/>
      <c r="N523" s="33"/>
      <c r="O523" s="32"/>
      <c r="P523" s="34"/>
      <c r="Q523" s="34"/>
      <c r="R523" s="34"/>
      <c r="S523" s="32"/>
      <c r="T523" s="32"/>
      <c r="U523" s="32"/>
      <c r="V523" s="32"/>
      <c r="W523" s="32"/>
    </row>
    <row r="524" spans="3:23" x14ac:dyDescent="0.25">
      <c r="C524" s="1"/>
      <c r="D524" s="29"/>
      <c r="E524" s="29"/>
      <c r="F524" s="29"/>
      <c r="G524" s="29"/>
      <c r="H524" s="30"/>
      <c r="I524" s="31"/>
      <c r="J524" s="31"/>
      <c r="K524" s="29"/>
      <c r="L524" s="32"/>
      <c r="M524" s="29"/>
      <c r="N524" s="33"/>
      <c r="O524" s="32"/>
      <c r="P524" s="34"/>
      <c r="Q524" s="34"/>
      <c r="R524" s="34"/>
      <c r="S524" s="32"/>
      <c r="T524" s="32"/>
      <c r="U524" s="32"/>
      <c r="V524" s="32"/>
      <c r="W524" s="32"/>
    </row>
    <row r="525" spans="3:23" x14ac:dyDescent="0.25">
      <c r="C525" s="1"/>
      <c r="D525" s="29"/>
      <c r="E525" s="29"/>
      <c r="F525" s="29"/>
      <c r="G525" s="29"/>
      <c r="H525" s="30"/>
      <c r="I525" s="31"/>
      <c r="J525" s="31"/>
      <c r="K525" s="29"/>
      <c r="L525" s="32"/>
      <c r="M525" s="29"/>
      <c r="N525" s="33"/>
      <c r="O525" s="32"/>
      <c r="P525" s="34"/>
      <c r="Q525" s="34"/>
      <c r="R525" s="34"/>
      <c r="S525" s="32"/>
      <c r="T525" s="32"/>
      <c r="U525" s="32"/>
      <c r="V525" s="32"/>
      <c r="W525" s="32"/>
    </row>
    <row r="526" spans="3:23" x14ac:dyDescent="0.25">
      <c r="C526" s="1"/>
      <c r="D526" s="29"/>
      <c r="E526" s="29"/>
      <c r="F526" s="29"/>
      <c r="G526" s="29"/>
      <c r="H526" s="30"/>
      <c r="I526" s="31"/>
      <c r="J526" s="31"/>
      <c r="K526" s="29"/>
      <c r="L526" s="32"/>
      <c r="M526" s="29"/>
      <c r="N526" s="33"/>
      <c r="O526" s="32"/>
      <c r="P526" s="34"/>
      <c r="Q526" s="34"/>
      <c r="R526" s="34"/>
      <c r="S526" s="32"/>
      <c r="T526" s="32"/>
      <c r="U526" s="32"/>
      <c r="V526" s="32"/>
      <c r="W526" s="32"/>
    </row>
    <row r="527" spans="3:23" x14ac:dyDescent="0.25">
      <c r="C527" s="1"/>
      <c r="D527" s="29"/>
      <c r="E527" s="29"/>
      <c r="F527" s="29"/>
      <c r="G527" s="29"/>
      <c r="H527" s="30"/>
      <c r="I527" s="31"/>
      <c r="J527" s="31"/>
      <c r="K527" s="29"/>
      <c r="L527" s="32"/>
      <c r="M527" s="29"/>
      <c r="N527" s="33"/>
      <c r="O527" s="32"/>
      <c r="P527" s="34"/>
      <c r="Q527" s="34"/>
      <c r="R527" s="34"/>
      <c r="S527" s="32"/>
      <c r="T527" s="32"/>
      <c r="U527" s="32"/>
      <c r="V527" s="32"/>
      <c r="W527" s="32"/>
    </row>
    <row r="528" spans="3:23" x14ac:dyDescent="0.25">
      <c r="C528" s="1"/>
      <c r="D528" s="29"/>
      <c r="E528" s="29"/>
      <c r="F528" s="29"/>
      <c r="G528" s="29"/>
      <c r="H528" s="30"/>
      <c r="I528" s="31"/>
      <c r="J528" s="31"/>
      <c r="K528" s="29"/>
      <c r="L528" s="32"/>
      <c r="M528" s="29"/>
      <c r="N528" s="33"/>
      <c r="O528" s="32"/>
      <c r="P528" s="34"/>
      <c r="Q528" s="34"/>
      <c r="R528" s="34"/>
      <c r="S528" s="32"/>
      <c r="T528" s="32"/>
      <c r="U528" s="32"/>
      <c r="V528" s="32"/>
      <c r="W528" s="32"/>
    </row>
    <row r="529" spans="3:23" x14ac:dyDescent="0.25">
      <c r="C529" s="1"/>
      <c r="D529" s="29"/>
      <c r="E529" s="29"/>
      <c r="F529" s="29"/>
      <c r="G529" s="29"/>
      <c r="H529" s="30"/>
      <c r="I529" s="31"/>
      <c r="J529" s="31"/>
      <c r="K529" s="29"/>
      <c r="L529" s="32"/>
      <c r="M529" s="29"/>
      <c r="N529" s="33"/>
      <c r="O529" s="32"/>
      <c r="P529" s="34"/>
      <c r="Q529" s="34"/>
      <c r="R529" s="34"/>
      <c r="S529" s="32"/>
      <c r="T529" s="32"/>
      <c r="U529" s="32"/>
      <c r="V529" s="32"/>
      <c r="W529" s="32"/>
    </row>
    <row r="530" spans="3:23" x14ac:dyDescent="0.25">
      <c r="C530" s="1"/>
      <c r="D530" s="29"/>
      <c r="E530" s="29"/>
      <c r="F530" s="29"/>
      <c r="G530" s="29"/>
      <c r="H530" s="30"/>
      <c r="I530" s="31"/>
      <c r="J530" s="31"/>
      <c r="K530" s="29"/>
      <c r="L530" s="32"/>
      <c r="M530" s="29"/>
      <c r="N530" s="33"/>
      <c r="O530" s="32"/>
      <c r="P530" s="34"/>
      <c r="Q530" s="34"/>
      <c r="R530" s="34"/>
      <c r="S530" s="32"/>
      <c r="T530" s="32"/>
      <c r="U530" s="32"/>
      <c r="V530" s="32"/>
      <c r="W530" s="32"/>
    </row>
    <row r="531" spans="3:23" x14ac:dyDescent="0.25">
      <c r="C531" s="1"/>
      <c r="D531" s="29"/>
      <c r="E531" s="29"/>
      <c r="F531" s="29"/>
      <c r="G531" s="29"/>
      <c r="H531" s="30"/>
      <c r="I531" s="31"/>
      <c r="J531" s="31"/>
      <c r="K531" s="29"/>
      <c r="L531" s="32"/>
      <c r="M531" s="29"/>
      <c r="N531" s="33"/>
      <c r="O531" s="32"/>
      <c r="P531" s="34"/>
      <c r="Q531" s="34"/>
      <c r="R531" s="34"/>
      <c r="S531" s="32"/>
      <c r="T531" s="32"/>
      <c r="U531" s="32"/>
      <c r="V531" s="32"/>
      <c r="W531" s="32"/>
    </row>
    <row r="532" spans="3:23" x14ac:dyDescent="0.25">
      <c r="C532" s="1"/>
      <c r="D532" s="29"/>
      <c r="E532" s="29"/>
      <c r="F532" s="29"/>
      <c r="G532" s="29"/>
      <c r="H532" s="30"/>
      <c r="I532" s="31"/>
      <c r="J532" s="31"/>
      <c r="K532" s="29"/>
      <c r="L532" s="32"/>
      <c r="M532" s="29"/>
      <c r="N532" s="33"/>
      <c r="O532" s="32"/>
      <c r="P532" s="34"/>
      <c r="Q532" s="34"/>
      <c r="R532" s="34"/>
      <c r="S532" s="32"/>
      <c r="T532" s="32"/>
      <c r="U532" s="32"/>
      <c r="V532" s="32"/>
      <c r="W532" s="32"/>
    </row>
    <row r="533" spans="3:23" x14ac:dyDescent="0.25">
      <c r="C533" s="1"/>
      <c r="D533" s="29"/>
      <c r="E533" s="29"/>
      <c r="F533" s="29"/>
      <c r="G533" s="29"/>
      <c r="H533" s="30"/>
      <c r="I533" s="31"/>
      <c r="J533" s="31"/>
      <c r="K533" s="29"/>
      <c r="L533" s="32"/>
      <c r="M533" s="29"/>
      <c r="N533" s="33"/>
      <c r="O533" s="32"/>
      <c r="P533" s="34"/>
      <c r="Q533" s="34"/>
      <c r="R533" s="34"/>
      <c r="S533" s="32"/>
      <c r="T533" s="32"/>
      <c r="U533" s="32"/>
      <c r="V533" s="32"/>
      <c r="W533" s="32"/>
    </row>
    <row r="534" spans="3:23" x14ac:dyDescent="0.25">
      <c r="C534" s="1"/>
      <c r="D534" s="29"/>
      <c r="E534" s="29"/>
      <c r="F534" s="29"/>
      <c r="G534" s="29"/>
      <c r="H534" s="30"/>
      <c r="I534" s="31"/>
      <c r="J534" s="31"/>
      <c r="K534" s="29"/>
      <c r="L534" s="32"/>
      <c r="M534" s="29"/>
      <c r="N534" s="33"/>
      <c r="O534" s="32"/>
      <c r="P534" s="34"/>
      <c r="Q534" s="34"/>
      <c r="R534" s="34"/>
      <c r="S534" s="32"/>
      <c r="T534" s="32"/>
      <c r="U534" s="32"/>
      <c r="V534" s="32"/>
      <c r="W534" s="32"/>
    </row>
    <row r="535" spans="3:23" x14ac:dyDescent="0.25">
      <c r="C535" s="1"/>
      <c r="D535" s="29"/>
      <c r="E535" s="29"/>
      <c r="F535" s="29"/>
      <c r="G535" s="29"/>
      <c r="H535" s="30"/>
      <c r="I535" s="31"/>
      <c r="J535" s="31"/>
      <c r="K535" s="29"/>
      <c r="L535" s="32"/>
      <c r="M535" s="29"/>
      <c r="N535" s="33"/>
      <c r="O535" s="32"/>
      <c r="P535" s="34"/>
      <c r="Q535" s="34"/>
      <c r="R535" s="34"/>
      <c r="S535" s="32"/>
      <c r="T535" s="32"/>
      <c r="U535" s="32"/>
      <c r="V535" s="32"/>
      <c r="W535" s="32"/>
    </row>
    <row r="536" spans="3:23" x14ac:dyDescent="0.25">
      <c r="C536" s="1"/>
      <c r="D536" s="29"/>
      <c r="E536" s="29"/>
      <c r="F536" s="29"/>
      <c r="G536" s="29"/>
      <c r="H536" s="30"/>
      <c r="I536" s="31"/>
      <c r="J536" s="31"/>
      <c r="K536" s="29"/>
      <c r="L536" s="32"/>
      <c r="M536" s="29"/>
      <c r="N536" s="33"/>
      <c r="O536" s="32"/>
      <c r="P536" s="34"/>
      <c r="Q536" s="34"/>
      <c r="R536" s="34"/>
      <c r="S536" s="32"/>
      <c r="T536" s="32"/>
      <c r="U536" s="32"/>
      <c r="V536" s="32"/>
      <c r="W536" s="32"/>
    </row>
    <row r="537" spans="3:23" x14ac:dyDescent="0.25">
      <c r="C537" s="1"/>
      <c r="D537" s="29"/>
      <c r="E537" s="29"/>
      <c r="F537" s="29"/>
      <c r="G537" s="29"/>
      <c r="H537" s="30"/>
      <c r="I537" s="31"/>
      <c r="J537" s="31"/>
      <c r="K537" s="29"/>
      <c r="L537" s="32"/>
      <c r="M537" s="29"/>
      <c r="N537" s="33"/>
      <c r="O537" s="32"/>
      <c r="P537" s="34"/>
      <c r="Q537" s="34"/>
      <c r="R537" s="34"/>
      <c r="S537" s="32"/>
      <c r="T537" s="32"/>
      <c r="U537" s="32"/>
      <c r="V537" s="32"/>
      <c r="W537" s="32"/>
    </row>
    <row r="538" spans="3:23" x14ac:dyDescent="0.25">
      <c r="C538" s="1"/>
      <c r="D538" s="29"/>
      <c r="E538" s="29"/>
      <c r="F538" s="29"/>
      <c r="G538" s="29"/>
      <c r="H538" s="30"/>
      <c r="I538" s="31"/>
      <c r="J538" s="31"/>
      <c r="K538" s="29"/>
      <c r="L538" s="32"/>
      <c r="M538" s="29"/>
      <c r="N538" s="33"/>
      <c r="O538" s="32"/>
      <c r="P538" s="34"/>
      <c r="Q538" s="34"/>
      <c r="R538" s="34"/>
      <c r="S538" s="32"/>
      <c r="T538" s="32"/>
      <c r="U538" s="32"/>
      <c r="V538" s="32"/>
      <c r="W538" s="32"/>
    </row>
    <row r="539" spans="3:23" x14ac:dyDescent="0.25">
      <c r="C539" s="1"/>
      <c r="D539" s="29"/>
      <c r="E539" s="29"/>
      <c r="F539" s="29"/>
      <c r="G539" s="29"/>
      <c r="H539" s="30"/>
      <c r="I539" s="31"/>
      <c r="J539" s="31"/>
      <c r="K539" s="29"/>
      <c r="L539" s="32"/>
      <c r="M539" s="29"/>
      <c r="N539" s="33"/>
      <c r="O539" s="32"/>
      <c r="P539" s="34"/>
      <c r="Q539" s="34"/>
      <c r="R539" s="34"/>
      <c r="S539" s="32"/>
      <c r="T539" s="32"/>
      <c r="U539" s="32"/>
      <c r="V539" s="32"/>
      <c r="W539" s="32"/>
    </row>
    <row r="540" spans="3:23" x14ac:dyDescent="0.25">
      <c r="C540" s="1"/>
      <c r="D540" s="29"/>
      <c r="E540" s="29"/>
      <c r="F540" s="29"/>
      <c r="G540" s="29"/>
      <c r="H540" s="30"/>
      <c r="I540" s="31"/>
      <c r="J540" s="31"/>
      <c r="K540" s="29"/>
      <c r="L540" s="32"/>
      <c r="M540" s="29"/>
      <c r="N540" s="33"/>
      <c r="O540" s="32"/>
      <c r="P540" s="34"/>
      <c r="Q540" s="34"/>
      <c r="R540" s="34"/>
      <c r="S540" s="32"/>
      <c r="T540" s="32"/>
      <c r="U540" s="32"/>
      <c r="V540" s="32"/>
      <c r="W540" s="32"/>
    </row>
    <row r="541" spans="3:23" x14ac:dyDescent="0.25">
      <c r="C541" s="1"/>
      <c r="D541" s="29"/>
      <c r="E541" s="29"/>
      <c r="F541" s="29"/>
      <c r="G541" s="29"/>
      <c r="H541" s="30"/>
      <c r="I541" s="31"/>
      <c r="J541" s="31"/>
      <c r="K541" s="29"/>
      <c r="L541" s="32"/>
      <c r="M541" s="29"/>
      <c r="N541" s="33"/>
      <c r="O541" s="32"/>
      <c r="P541" s="34"/>
      <c r="Q541" s="34"/>
      <c r="R541" s="34"/>
      <c r="S541" s="32"/>
      <c r="T541" s="32"/>
      <c r="U541" s="32"/>
      <c r="V541" s="32"/>
      <c r="W541" s="32"/>
    </row>
    <row r="542" spans="3:23" x14ac:dyDescent="0.25">
      <c r="C542" s="1"/>
      <c r="D542" s="29"/>
      <c r="E542" s="29"/>
      <c r="F542" s="29"/>
      <c r="G542" s="29"/>
      <c r="H542" s="30"/>
      <c r="I542" s="31"/>
      <c r="J542" s="31"/>
      <c r="K542" s="29"/>
      <c r="L542" s="32"/>
      <c r="M542" s="29"/>
      <c r="N542" s="33"/>
      <c r="O542" s="32"/>
      <c r="P542" s="34"/>
      <c r="Q542" s="34"/>
      <c r="R542" s="34"/>
      <c r="S542" s="32"/>
      <c r="T542" s="32"/>
      <c r="U542" s="32"/>
      <c r="V542" s="32"/>
      <c r="W542" s="32"/>
    </row>
    <row r="543" spans="3:23" x14ac:dyDescent="0.25">
      <c r="C543" s="1"/>
      <c r="D543" s="29"/>
      <c r="E543" s="29"/>
      <c r="F543" s="29"/>
      <c r="G543" s="29"/>
      <c r="H543" s="30"/>
      <c r="I543" s="31"/>
      <c r="J543" s="31"/>
      <c r="K543" s="29"/>
      <c r="L543" s="32"/>
      <c r="M543" s="29"/>
      <c r="N543" s="33"/>
      <c r="O543" s="32"/>
      <c r="P543" s="34"/>
      <c r="Q543" s="34"/>
      <c r="R543" s="34"/>
      <c r="S543" s="32"/>
      <c r="T543" s="32"/>
      <c r="U543" s="32"/>
      <c r="V543" s="32"/>
      <c r="W543" s="32"/>
    </row>
    <row r="544" spans="3:23" x14ac:dyDescent="0.25">
      <c r="C544" s="1"/>
      <c r="D544" s="29"/>
      <c r="E544" s="29"/>
      <c r="F544" s="29"/>
      <c r="G544" s="29"/>
      <c r="H544" s="30"/>
      <c r="I544" s="31"/>
      <c r="J544" s="31"/>
      <c r="K544" s="29"/>
      <c r="L544" s="32"/>
      <c r="M544" s="29"/>
      <c r="N544" s="33"/>
      <c r="O544" s="32"/>
      <c r="P544" s="34"/>
      <c r="Q544" s="34"/>
      <c r="R544" s="34"/>
      <c r="S544" s="32"/>
      <c r="T544" s="32"/>
      <c r="U544" s="32"/>
      <c r="V544" s="32"/>
      <c r="W544" s="32"/>
    </row>
    <row r="545" spans="3:23" x14ac:dyDescent="0.25">
      <c r="C545" s="1"/>
      <c r="D545" s="29"/>
      <c r="E545" s="29"/>
      <c r="F545" s="29"/>
      <c r="G545" s="29"/>
      <c r="H545" s="30"/>
      <c r="I545" s="31"/>
      <c r="J545" s="31"/>
      <c r="K545" s="29"/>
      <c r="L545" s="32"/>
      <c r="M545" s="29"/>
      <c r="N545" s="33"/>
      <c r="O545" s="32"/>
      <c r="P545" s="34"/>
      <c r="Q545" s="34"/>
      <c r="R545" s="34"/>
      <c r="S545" s="32"/>
      <c r="T545" s="32"/>
      <c r="U545" s="32"/>
      <c r="V545" s="32"/>
      <c r="W545" s="32"/>
    </row>
    <row r="546" spans="3:23" x14ac:dyDescent="0.25">
      <c r="C546" s="1"/>
      <c r="D546" s="29"/>
      <c r="E546" s="29"/>
      <c r="F546" s="29"/>
      <c r="G546" s="29"/>
      <c r="H546" s="30"/>
      <c r="I546" s="31"/>
      <c r="J546" s="31"/>
      <c r="K546" s="29"/>
      <c r="L546" s="32"/>
      <c r="M546" s="29"/>
      <c r="N546" s="33"/>
      <c r="O546" s="32"/>
      <c r="P546" s="34"/>
      <c r="Q546" s="34"/>
      <c r="R546" s="34"/>
      <c r="S546" s="32"/>
      <c r="T546" s="32"/>
      <c r="U546" s="32"/>
      <c r="V546" s="32"/>
      <c r="W546" s="32"/>
    </row>
    <row r="547" spans="3:23" x14ac:dyDescent="0.25">
      <c r="C547" s="1"/>
      <c r="D547" s="29"/>
      <c r="E547" s="29"/>
      <c r="F547" s="29"/>
      <c r="G547" s="29"/>
      <c r="H547" s="30"/>
      <c r="I547" s="31"/>
      <c r="J547" s="31"/>
      <c r="K547" s="29"/>
      <c r="L547" s="32"/>
      <c r="M547" s="29"/>
      <c r="N547" s="33"/>
      <c r="O547" s="32"/>
      <c r="P547" s="34"/>
      <c r="Q547" s="34"/>
      <c r="R547" s="34"/>
      <c r="S547" s="32"/>
      <c r="T547" s="32"/>
      <c r="U547" s="32"/>
      <c r="V547" s="32"/>
      <c r="W547" s="32"/>
    </row>
    <row r="548" spans="3:23" x14ac:dyDescent="0.25">
      <c r="C548" s="1"/>
      <c r="D548" s="29"/>
      <c r="E548" s="29"/>
      <c r="F548" s="29"/>
      <c r="G548" s="29"/>
      <c r="H548" s="30"/>
      <c r="I548" s="31"/>
      <c r="J548" s="31"/>
      <c r="K548" s="29"/>
      <c r="L548" s="32"/>
      <c r="M548" s="29"/>
      <c r="N548" s="33"/>
      <c r="O548" s="32"/>
      <c r="P548" s="34"/>
      <c r="Q548" s="34"/>
      <c r="R548" s="34"/>
      <c r="S548" s="32"/>
      <c r="T548" s="32"/>
      <c r="U548" s="32"/>
      <c r="V548" s="32"/>
      <c r="W548" s="32"/>
    </row>
    <row r="549" spans="3:23" x14ac:dyDescent="0.25">
      <c r="C549" s="1"/>
      <c r="D549" s="29"/>
      <c r="E549" s="29"/>
      <c r="F549" s="29"/>
      <c r="G549" s="29"/>
      <c r="H549" s="30"/>
      <c r="I549" s="31"/>
      <c r="J549" s="31"/>
      <c r="K549" s="29"/>
      <c r="L549" s="32"/>
      <c r="M549" s="29"/>
      <c r="N549" s="33"/>
      <c r="O549" s="32"/>
      <c r="P549" s="34"/>
      <c r="Q549" s="34"/>
      <c r="R549" s="34"/>
      <c r="S549" s="32"/>
      <c r="T549" s="32"/>
      <c r="U549" s="32"/>
      <c r="V549" s="32"/>
      <c r="W549" s="32"/>
    </row>
    <row r="550" spans="3:23" x14ac:dyDescent="0.25">
      <c r="C550" s="1"/>
      <c r="D550" s="29"/>
      <c r="E550" s="29"/>
      <c r="F550" s="29"/>
      <c r="G550" s="29"/>
      <c r="H550" s="30"/>
      <c r="I550" s="31"/>
      <c r="J550" s="31"/>
      <c r="K550" s="29"/>
      <c r="L550" s="32"/>
      <c r="M550" s="29"/>
      <c r="N550" s="33"/>
      <c r="O550" s="32"/>
      <c r="P550" s="34"/>
      <c r="Q550" s="34"/>
      <c r="R550" s="34"/>
      <c r="S550" s="32"/>
      <c r="T550" s="32"/>
      <c r="U550" s="32"/>
      <c r="V550" s="32"/>
      <c r="W550" s="32"/>
    </row>
    <row r="551" spans="3:23" x14ac:dyDescent="0.25">
      <c r="C551" s="1"/>
      <c r="D551" s="29"/>
      <c r="E551" s="29"/>
      <c r="F551" s="29"/>
      <c r="G551" s="29"/>
      <c r="H551" s="30"/>
      <c r="I551" s="31"/>
      <c r="J551" s="31"/>
      <c r="K551" s="29"/>
      <c r="L551" s="32"/>
      <c r="M551" s="29"/>
      <c r="N551" s="33"/>
      <c r="O551" s="32"/>
      <c r="P551" s="34"/>
      <c r="Q551" s="34"/>
      <c r="R551" s="34"/>
      <c r="S551" s="32"/>
      <c r="T551" s="32"/>
      <c r="U551" s="32"/>
      <c r="V551" s="32"/>
      <c r="W551" s="32"/>
    </row>
    <row r="552" spans="3:23" x14ac:dyDescent="0.25">
      <c r="C552" s="1"/>
      <c r="D552" s="29"/>
      <c r="E552" s="29"/>
      <c r="F552" s="29"/>
      <c r="G552" s="29"/>
      <c r="H552" s="30"/>
      <c r="I552" s="31"/>
      <c r="J552" s="31"/>
      <c r="K552" s="29"/>
      <c r="L552" s="32"/>
      <c r="M552" s="29"/>
      <c r="N552" s="33"/>
      <c r="O552" s="32"/>
      <c r="P552" s="34"/>
      <c r="Q552" s="34"/>
      <c r="R552" s="34"/>
      <c r="S552" s="32"/>
      <c r="T552" s="32"/>
      <c r="U552" s="32"/>
      <c r="V552" s="32"/>
      <c r="W552" s="32"/>
    </row>
    <row r="553" spans="3:23" x14ac:dyDescent="0.25">
      <c r="C553" s="1"/>
      <c r="D553" s="29"/>
      <c r="E553" s="29"/>
      <c r="F553" s="29"/>
      <c r="G553" s="29"/>
      <c r="H553" s="30"/>
      <c r="I553" s="31"/>
      <c r="J553" s="31"/>
      <c r="K553" s="29"/>
      <c r="L553" s="32"/>
      <c r="M553" s="29"/>
      <c r="N553" s="33"/>
      <c r="O553" s="32"/>
      <c r="P553" s="34"/>
      <c r="Q553" s="34"/>
      <c r="R553" s="34"/>
      <c r="S553" s="32"/>
      <c r="T553" s="32"/>
      <c r="U553" s="32"/>
      <c r="V553" s="32"/>
      <c r="W553" s="32"/>
    </row>
    <row r="554" spans="3:23" x14ac:dyDescent="0.25">
      <c r="C554" s="1"/>
      <c r="D554" s="29"/>
      <c r="E554" s="29"/>
      <c r="F554" s="29"/>
      <c r="G554" s="29"/>
      <c r="H554" s="30"/>
      <c r="I554" s="31"/>
      <c r="J554" s="31"/>
      <c r="K554" s="29"/>
      <c r="L554" s="32"/>
      <c r="M554" s="29"/>
      <c r="N554" s="33"/>
      <c r="O554" s="32"/>
      <c r="P554" s="34"/>
      <c r="Q554" s="34"/>
      <c r="R554" s="34"/>
      <c r="S554" s="32"/>
      <c r="T554" s="32"/>
      <c r="U554" s="32"/>
      <c r="V554" s="32"/>
      <c r="W554" s="32"/>
    </row>
    <row r="555" spans="3:23" x14ac:dyDescent="0.25">
      <c r="C555" s="1"/>
      <c r="D555" s="29"/>
      <c r="E555" s="29"/>
      <c r="F555" s="29"/>
      <c r="G555" s="29"/>
      <c r="H555" s="30"/>
      <c r="I555" s="31"/>
      <c r="J555" s="31"/>
      <c r="K555" s="29"/>
      <c r="L555" s="32"/>
      <c r="M555" s="29"/>
      <c r="N555" s="33"/>
      <c r="O555" s="32"/>
      <c r="P555" s="34"/>
      <c r="Q555" s="34"/>
      <c r="R555" s="34"/>
      <c r="S555" s="32"/>
      <c r="T555" s="32"/>
      <c r="U555" s="32"/>
      <c r="V555" s="32"/>
      <c r="W555" s="32"/>
    </row>
    <row r="556" spans="3:23" x14ac:dyDescent="0.25">
      <c r="C556" s="1"/>
      <c r="D556" s="29"/>
      <c r="E556" s="29"/>
      <c r="F556" s="29"/>
      <c r="G556" s="29"/>
      <c r="H556" s="30"/>
      <c r="I556" s="31"/>
      <c r="J556" s="31"/>
      <c r="K556" s="29"/>
      <c r="L556" s="32"/>
      <c r="M556" s="29"/>
      <c r="N556" s="33"/>
      <c r="O556" s="32"/>
      <c r="P556" s="34"/>
      <c r="Q556" s="34"/>
      <c r="R556" s="34"/>
      <c r="S556" s="32"/>
      <c r="T556" s="32"/>
      <c r="U556" s="32"/>
      <c r="V556" s="32"/>
      <c r="W556" s="32"/>
    </row>
    <row r="557" spans="3:23" x14ac:dyDescent="0.25">
      <c r="C557" s="1"/>
      <c r="D557" s="29"/>
      <c r="E557" s="29"/>
      <c r="F557" s="29"/>
      <c r="G557" s="29"/>
      <c r="H557" s="30"/>
      <c r="I557" s="31"/>
      <c r="J557" s="31"/>
      <c r="K557" s="29"/>
      <c r="L557" s="32"/>
      <c r="M557" s="29"/>
      <c r="N557" s="33"/>
      <c r="O557" s="32"/>
      <c r="P557" s="34"/>
      <c r="Q557" s="34"/>
      <c r="R557" s="34"/>
      <c r="S557" s="32"/>
      <c r="T557" s="32"/>
      <c r="U557" s="32"/>
      <c r="V557" s="32"/>
      <c r="W557" s="32"/>
    </row>
    <row r="558" spans="3:23" x14ac:dyDescent="0.25">
      <c r="C558" s="1"/>
      <c r="D558" s="29"/>
      <c r="E558" s="29"/>
      <c r="F558" s="29"/>
      <c r="G558" s="29"/>
      <c r="H558" s="30"/>
      <c r="I558" s="31"/>
      <c r="J558" s="31"/>
      <c r="K558" s="29"/>
      <c r="L558" s="32"/>
      <c r="M558" s="29"/>
      <c r="N558" s="33"/>
      <c r="O558" s="32"/>
      <c r="P558" s="34"/>
      <c r="Q558" s="34"/>
      <c r="R558" s="34"/>
      <c r="S558" s="32"/>
      <c r="T558" s="32"/>
      <c r="U558" s="32"/>
      <c r="V558" s="32"/>
      <c r="W558" s="32"/>
    </row>
    <row r="559" spans="3:23" x14ac:dyDescent="0.25">
      <c r="C559" s="1"/>
      <c r="D559" s="29"/>
      <c r="E559" s="29"/>
      <c r="F559" s="29"/>
      <c r="G559" s="29"/>
      <c r="H559" s="30"/>
      <c r="I559" s="31"/>
      <c r="J559" s="31"/>
      <c r="K559" s="29"/>
      <c r="L559" s="32"/>
      <c r="M559" s="29"/>
      <c r="N559" s="33"/>
      <c r="O559" s="32"/>
      <c r="P559" s="34"/>
      <c r="Q559" s="34"/>
      <c r="R559" s="34"/>
      <c r="S559" s="32"/>
      <c r="T559" s="32"/>
      <c r="U559" s="32"/>
      <c r="V559" s="32"/>
      <c r="W559" s="32"/>
    </row>
    <row r="560" spans="3:23" x14ac:dyDescent="0.25">
      <c r="C560" s="1"/>
      <c r="D560" s="29"/>
      <c r="E560" s="29"/>
      <c r="F560" s="29"/>
      <c r="G560" s="29"/>
      <c r="H560" s="30"/>
      <c r="I560" s="31"/>
      <c r="J560" s="31"/>
      <c r="K560" s="29"/>
      <c r="L560" s="32"/>
      <c r="M560" s="29"/>
      <c r="N560" s="33"/>
      <c r="O560" s="32"/>
      <c r="P560" s="34"/>
      <c r="Q560" s="34"/>
      <c r="R560" s="34"/>
      <c r="S560" s="32"/>
      <c r="T560" s="32"/>
      <c r="U560" s="32"/>
      <c r="V560" s="32"/>
      <c r="W560" s="32"/>
    </row>
    <row r="561" spans="3:23" x14ac:dyDescent="0.25">
      <c r="C561" s="1"/>
      <c r="D561" s="29"/>
      <c r="E561" s="29"/>
      <c r="F561" s="29"/>
      <c r="G561" s="29"/>
      <c r="H561" s="30"/>
      <c r="I561" s="31"/>
      <c r="J561" s="31"/>
      <c r="K561" s="29"/>
      <c r="L561" s="32"/>
      <c r="M561" s="29"/>
      <c r="N561" s="33"/>
      <c r="O561" s="32"/>
      <c r="P561" s="34"/>
      <c r="Q561" s="34"/>
      <c r="R561" s="34"/>
      <c r="S561" s="32"/>
      <c r="T561" s="32"/>
      <c r="U561" s="32"/>
      <c r="V561" s="32"/>
      <c r="W561" s="32"/>
    </row>
    <row r="562" spans="3:23" x14ac:dyDescent="0.25">
      <c r="C562" s="1"/>
      <c r="D562" s="29"/>
      <c r="E562" s="29"/>
      <c r="F562" s="29"/>
      <c r="G562" s="29"/>
      <c r="H562" s="30"/>
      <c r="I562" s="31"/>
      <c r="J562" s="31"/>
      <c r="K562" s="29"/>
      <c r="L562" s="32"/>
      <c r="M562" s="29"/>
      <c r="N562" s="33"/>
      <c r="O562" s="32"/>
      <c r="P562" s="34"/>
      <c r="Q562" s="34"/>
      <c r="R562" s="34"/>
      <c r="S562" s="32"/>
      <c r="T562" s="32"/>
      <c r="U562" s="32"/>
      <c r="V562" s="32"/>
      <c r="W562" s="32"/>
    </row>
    <row r="563" spans="3:23" x14ac:dyDescent="0.25">
      <c r="C563" s="1"/>
      <c r="D563" s="29"/>
      <c r="E563" s="29"/>
      <c r="F563" s="29"/>
      <c r="G563" s="29"/>
      <c r="H563" s="30"/>
      <c r="I563" s="31"/>
      <c r="J563" s="31"/>
      <c r="K563" s="29"/>
      <c r="L563" s="32"/>
      <c r="M563" s="29"/>
      <c r="N563" s="33"/>
      <c r="O563" s="32"/>
      <c r="P563" s="34"/>
      <c r="Q563" s="34"/>
      <c r="R563" s="34"/>
      <c r="S563" s="32"/>
      <c r="T563" s="32"/>
      <c r="U563" s="32"/>
      <c r="V563" s="32"/>
      <c r="W563" s="32"/>
    </row>
    <row r="564" spans="3:23" x14ac:dyDescent="0.25">
      <c r="C564" s="1"/>
      <c r="D564" s="29"/>
      <c r="E564" s="29"/>
      <c r="F564" s="29"/>
      <c r="G564" s="29"/>
      <c r="H564" s="30"/>
      <c r="I564" s="31"/>
      <c r="J564" s="31"/>
      <c r="K564" s="29"/>
      <c r="L564" s="32"/>
      <c r="M564" s="29"/>
      <c r="N564" s="33"/>
      <c r="O564" s="32"/>
      <c r="P564" s="34"/>
      <c r="Q564" s="34"/>
      <c r="R564" s="34"/>
      <c r="S564" s="32"/>
      <c r="T564" s="32"/>
      <c r="U564" s="32"/>
      <c r="V564" s="32"/>
      <c r="W564" s="32"/>
    </row>
    <row r="565" spans="3:23" x14ac:dyDescent="0.25">
      <c r="C565" s="1"/>
      <c r="D565" s="29"/>
      <c r="E565" s="29"/>
      <c r="F565" s="29"/>
      <c r="G565" s="29"/>
      <c r="H565" s="30"/>
      <c r="I565" s="31"/>
      <c r="J565" s="31"/>
      <c r="K565" s="29"/>
      <c r="L565" s="32"/>
      <c r="M565" s="29"/>
      <c r="N565" s="33"/>
      <c r="O565" s="32"/>
      <c r="P565" s="34"/>
      <c r="Q565" s="34"/>
      <c r="R565" s="34"/>
      <c r="S565" s="32"/>
      <c r="T565" s="32"/>
      <c r="U565" s="32"/>
      <c r="V565" s="32"/>
      <c r="W565" s="32"/>
    </row>
    <row r="566" spans="3:23" x14ac:dyDescent="0.25">
      <c r="C566" s="1"/>
      <c r="D566" s="29"/>
      <c r="E566" s="29"/>
      <c r="F566" s="29"/>
      <c r="G566" s="29"/>
      <c r="H566" s="30"/>
      <c r="I566" s="31"/>
      <c r="J566" s="31"/>
      <c r="K566" s="29"/>
      <c r="L566" s="32"/>
      <c r="M566" s="29"/>
      <c r="N566" s="33"/>
      <c r="O566" s="32"/>
      <c r="P566" s="34"/>
      <c r="Q566" s="34"/>
      <c r="R566" s="34"/>
      <c r="S566" s="32"/>
      <c r="T566" s="32"/>
      <c r="U566" s="32"/>
      <c r="V566" s="32"/>
      <c r="W566" s="32"/>
    </row>
    <row r="567" spans="3:23" x14ac:dyDescent="0.25">
      <c r="C567" s="1"/>
      <c r="D567" s="29"/>
      <c r="E567" s="29"/>
      <c r="F567" s="29"/>
      <c r="G567" s="29"/>
      <c r="H567" s="30"/>
      <c r="I567" s="31"/>
      <c r="J567" s="31"/>
      <c r="K567" s="29"/>
      <c r="L567" s="32"/>
      <c r="M567" s="29"/>
      <c r="N567" s="33"/>
      <c r="O567" s="32"/>
      <c r="P567" s="34"/>
      <c r="Q567" s="34"/>
      <c r="R567" s="34"/>
      <c r="S567" s="32"/>
      <c r="T567" s="32"/>
      <c r="U567" s="32"/>
      <c r="V567" s="32"/>
      <c r="W567" s="32"/>
    </row>
    <row r="568" spans="3:23" x14ac:dyDescent="0.25">
      <c r="C568" s="1"/>
      <c r="D568" s="29"/>
      <c r="E568" s="29"/>
      <c r="F568" s="29"/>
      <c r="G568" s="29"/>
      <c r="H568" s="30"/>
      <c r="I568" s="31"/>
      <c r="J568" s="31"/>
      <c r="K568" s="29"/>
      <c r="L568" s="32"/>
      <c r="M568" s="29"/>
      <c r="N568" s="33"/>
      <c r="O568" s="32"/>
      <c r="P568" s="34"/>
      <c r="Q568" s="34"/>
      <c r="R568" s="34"/>
      <c r="S568" s="32"/>
      <c r="T568" s="32"/>
      <c r="U568" s="32"/>
      <c r="V568" s="32"/>
      <c r="W568" s="32"/>
    </row>
    <row r="569" spans="3:23" x14ac:dyDescent="0.25">
      <c r="C569" s="1"/>
      <c r="D569" s="29"/>
      <c r="E569" s="29"/>
      <c r="F569" s="29"/>
      <c r="G569" s="29"/>
      <c r="H569" s="30"/>
      <c r="I569" s="31"/>
      <c r="J569" s="31"/>
      <c r="K569" s="29"/>
      <c r="L569" s="32"/>
      <c r="M569" s="29"/>
      <c r="N569" s="33"/>
      <c r="O569" s="32"/>
      <c r="P569" s="34"/>
      <c r="Q569" s="34"/>
      <c r="R569" s="34"/>
      <c r="S569" s="32"/>
      <c r="T569" s="32"/>
      <c r="U569" s="32"/>
      <c r="V569" s="32"/>
      <c r="W569" s="32"/>
    </row>
    <row r="570" spans="3:23" x14ac:dyDescent="0.25">
      <c r="C570" s="1"/>
      <c r="D570" s="29"/>
      <c r="E570" s="29"/>
      <c r="F570" s="29"/>
      <c r="G570" s="29"/>
      <c r="H570" s="30"/>
      <c r="I570" s="31"/>
      <c r="J570" s="31"/>
      <c r="K570" s="29"/>
      <c r="L570" s="32"/>
      <c r="M570" s="29"/>
      <c r="N570" s="33"/>
      <c r="O570" s="32"/>
      <c r="P570" s="34"/>
      <c r="Q570" s="34"/>
      <c r="R570" s="34"/>
      <c r="S570" s="32"/>
      <c r="T570" s="32"/>
      <c r="U570" s="32"/>
      <c r="V570" s="32"/>
      <c r="W570" s="32"/>
    </row>
    <row r="571" spans="3:23" x14ac:dyDescent="0.25">
      <c r="C571" s="1"/>
      <c r="D571" s="29"/>
      <c r="E571" s="29"/>
      <c r="F571" s="29"/>
      <c r="G571" s="29"/>
      <c r="H571" s="30"/>
      <c r="I571" s="31"/>
      <c r="J571" s="31"/>
      <c r="K571" s="29"/>
      <c r="L571" s="32"/>
      <c r="M571" s="29"/>
      <c r="N571" s="33"/>
      <c r="O571" s="32"/>
      <c r="P571" s="34"/>
      <c r="Q571" s="34"/>
      <c r="R571" s="34"/>
      <c r="S571" s="32"/>
      <c r="T571" s="32"/>
      <c r="U571" s="32"/>
      <c r="V571" s="32"/>
      <c r="W571" s="32"/>
    </row>
    <row r="572" spans="3:23" x14ac:dyDescent="0.25">
      <c r="C572" s="1"/>
      <c r="D572" s="29"/>
      <c r="E572" s="29"/>
      <c r="F572" s="29"/>
      <c r="G572" s="29"/>
      <c r="H572" s="30"/>
      <c r="I572" s="31"/>
      <c r="J572" s="31"/>
      <c r="K572" s="29"/>
      <c r="L572" s="32"/>
      <c r="M572" s="29"/>
      <c r="N572" s="33"/>
      <c r="O572" s="32"/>
      <c r="P572" s="34"/>
      <c r="Q572" s="34"/>
      <c r="R572" s="34"/>
      <c r="S572" s="32"/>
      <c r="T572" s="32"/>
      <c r="U572" s="32"/>
      <c r="V572" s="32"/>
      <c r="W572" s="32"/>
    </row>
    <row r="573" spans="3:23" x14ac:dyDescent="0.25">
      <c r="C573" s="1"/>
      <c r="D573" s="29"/>
      <c r="E573" s="29"/>
      <c r="F573" s="29"/>
      <c r="G573" s="29"/>
      <c r="H573" s="30"/>
      <c r="I573" s="31"/>
      <c r="J573" s="31"/>
      <c r="K573" s="29"/>
      <c r="L573" s="32"/>
      <c r="M573" s="29"/>
      <c r="N573" s="33"/>
      <c r="O573" s="32"/>
      <c r="P573" s="34"/>
      <c r="Q573" s="34"/>
      <c r="R573" s="34"/>
      <c r="S573" s="32"/>
      <c r="T573" s="32"/>
      <c r="U573" s="32"/>
      <c r="V573" s="32"/>
      <c r="W573" s="32"/>
    </row>
    <row r="574" spans="3:23" x14ac:dyDescent="0.25">
      <c r="C574" s="1"/>
      <c r="D574" s="29"/>
      <c r="E574" s="29"/>
      <c r="F574" s="29"/>
      <c r="G574" s="29"/>
      <c r="H574" s="30"/>
      <c r="I574" s="31"/>
      <c r="J574" s="31"/>
      <c r="K574" s="29"/>
      <c r="L574" s="32"/>
      <c r="M574" s="29"/>
      <c r="N574" s="33"/>
      <c r="O574" s="32"/>
      <c r="P574" s="34"/>
      <c r="Q574" s="34"/>
      <c r="R574" s="34"/>
      <c r="S574" s="32"/>
      <c r="T574" s="32"/>
      <c r="U574" s="32"/>
      <c r="V574" s="32"/>
      <c r="W574" s="32"/>
    </row>
    <row r="575" spans="3:23" x14ac:dyDescent="0.25">
      <c r="C575" s="1"/>
      <c r="D575" s="29"/>
      <c r="E575" s="29"/>
      <c r="F575" s="29"/>
      <c r="G575" s="29"/>
      <c r="H575" s="30"/>
      <c r="I575" s="31"/>
      <c r="J575" s="31"/>
      <c r="K575" s="29"/>
      <c r="L575" s="32"/>
      <c r="M575" s="29"/>
      <c r="N575" s="33"/>
      <c r="O575" s="32"/>
      <c r="P575" s="34"/>
      <c r="Q575" s="34"/>
      <c r="R575" s="34"/>
      <c r="S575" s="32"/>
      <c r="T575" s="32"/>
      <c r="U575" s="32"/>
      <c r="V575" s="32"/>
      <c r="W575" s="32"/>
    </row>
    <row r="576" spans="3:23" x14ac:dyDescent="0.25">
      <c r="C576" s="1"/>
      <c r="D576" s="29"/>
      <c r="E576" s="29"/>
      <c r="F576" s="29"/>
      <c r="G576" s="29"/>
      <c r="H576" s="30"/>
      <c r="I576" s="31"/>
      <c r="J576" s="31"/>
      <c r="K576" s="29"/>
      <c r="L576" s="32"/>
      <c r="M576" s="29"/>
      <c r="N576" s="33"/>
      <c r="O576" s="32"/>
      <c r="P576" s="34"/>
      <c r="Q576" s="34"/>
      <c r="R576" s="34"/>
      <c r="S576" s="32"/>
      <c r="T576" s="32"/>
      <c r="U576" s="32"/>
      <c r="V576" s="32"/>
      <c r="W576" s="32"/>
    </row>
    <row r="577" spans="3:23" x14ac:dyDescent="0.25">
      <c r="C577" s="1"/>
      <c r="D577" s="29"/>
      <c r="E577" s="29"/>
      <c r="F577" s="29"/>
      <c r="G577" s="29"/>
      <c r="H577" s="30"/>
      <c r="I577" s="31"/>
      <c r="J577" s="31"/>
      <c r="K577" s="29"/>
      <c r="L577" s="32"/>
      <c r="M577" s="29"/>
      <c r="N577" s="33"/>
      <c r="O577" s="32"/>
      <c r="P577" s="34"/>
      <c r="Q577" s="34"/>
      <c r="R577" s="34"/>
      <c r="S577" s="32"/>
      <c r="T577" s="32"/>
      <c r="U577" s="32"/>
      <c r="V577" s="32"/>
      <c r="W577" s="32"/>
    </row>
    <row r="578" spans="3:23" x14ac:dyDescent="0.25">
      <c r="C578" s="1"/>
      <c r="D578" s="29"/>
      <c r="E578" s="29"/>
      <c r="F578" s="29"/>
      <c r="G578" s="29"/>
      <c r="H578" s="30"/>
      <c r="I578" s="31"/>
      <c r="J578" s="31"/>
      <c r="K578" s="29"/>
      <c r="L578" s="32"/>
      <c r="M578" s="29"/>
      <c r="N578" s="33"/>
      <c r="O578" s="32"/>
      <c r="P578" s="34"/>
      <c r="Q578" s="34"/>
      <c r="R578" s="34"/>
      <c r="S578" s="32"/>
      <c r="T578" s="32"/>
      <c r="U578" s="32"/>
      <c r="V578" s="32"/>
      <c r="W578" s="32"/>
    </row>
    <row r="579" spans="3:23" x14ac:dyDescent="0.25">
      <c r="C579" s="1"/>
      <c r="D579" s="29"/>
      <c r="E579" s="29"/>
      <c r="F579" s="29"/>
      <c r="G579" s="29"/>
      <c r="H579" s="30"/>
      <c r="I579" s="31"/>
      <c r="J579" s="31"/>
      <c r="K579" s="29"/>
      <c r="L579" s="32"/>
      <c r="M579" s="29"/>
      <c r="N579" s="33"/>
      <c r="O579" s="32"/>
      <c r="P579" s="34"/>
      <c r="Q579" s="34"/>
      <c r="R579" s="34"/>
      <c r="S579" s="32"/>
      <c r="T579" s="32"/>
      <c r="U579" s="32"/>
      <c r="V579" s="32"/>
      <c r="W579" s="32"/>
    </row>
    <row r="580" spans="3:23" x14ac:dyDescent="0.25">
      <c r="C580" s="1"/>
      <c r="D580" s="29"/>
      <c r="E580" s="29"/>
      <c r="F580" s="29"/>
      <c r="G580" s="29"/>
      <c r="H580" s="30"/>
      <c r="I580" s="31"/>
      <c r="J580" s="31"/>
      <c r="K580" s="29"/>
      <c r="L580" s="32"/>
      <c r="M580" s="29"/>
      <c r="N580" s="33"/>
      <c r="O580" s="32"/>
      <c r="P580" s="34"/>
      <c r="Q580" s="34"/>
      <c r="R580" s="34"/>
      <c r="S580" s="32"/>
      <c r="T580" s="32"/>
      <c r="U580" s="32"/>
      <c r="V580" s="32"/>
      <c r="W580" s="32"/>
    </row>
    <row r="581" spans="3:23" x14ac:dyDescent="0.25">
      <c r="C581" s="1"/>
      <c r="D581" s="29"/>
      <c r="E581" s="29"/>
      <c r="F581" s="29"/>
      <c r="G581" s="29"/>
      <c r="H581" s="30"/>
      <c r="I581" s="31"/>
      <c r="J581" s="31"/>
      <c r="K581" s="29"/>
      <c r="L581" s="32"/>
      <c r="M581" s="29"/>
      <c r="N581" s="33"/>
      <c r="O581" s="32"/>
      <c r="P581" s="34"/>
      <c r="Q581" s="34"/>
      <c r="R581" s="34"/>
      <c r="S581" s="32"/>
      <c r="T581" s="32"/>
      <c r="U581" s="32"/>
      <c r="V581" s="32"/>
      <c r="W581" s="32"/>
    </row>
    <row r="582" spans="3:23" x14ac:dyDescent="0.25">
      <c r="C582" s="1"/>
      <c r="D582" s="29"/>
      <c r="E582" s="29"/>
      <c r="F582" s="29"/>
      <c r="G582" s="29"/>
      <c r="H582" s="30"/>
      <c r="I582" s="31"/>
      <c r="J582" s="31"/>
      <c r="K582" s="29"/>
      <c r="L582" s="32"/>
      <c r="M582" s="29"/>
      <c r="N582" s="33"/>
      <c r="O582" s="32"/>
      <c r="P582" s="34"/>
      <c r="Q582" s="34"/>
      <c r="R582" s="34"/>
      <c r="S582" s="32"/>
      <c r="T582" s="32"/>
      <c r="U582" s="32"/>
      <c r="V582" s="32"/>
      <c r="W582" s="32"/>
    </row>
    <row r="583" spans="3:23" x14ac:dyDescent="0.25">
      <c r="C583" s="1"/>
      <c r="D583" s="29"/>
      <c r="E583" s="29"/>
      <c r="F583" s="29"/>
      <c r="G583" s="29"/>
      <c r="H583" s="30"/>
      <c r="I583" s="31"/>
      <c r="J583" s="31"/>
      <c r="K583" s="29"/>
      <c r="L583" s="32"/>
      <c r="M583" s="29"/>
      <c r="N583" s="33"/>
      <c r="O583" s="32"/>
      <c r="P583" s="34"/>
      <c r="Q583" s="34"/>
      <c r="R583" s="34"/>
      <c r="S583" s="32"/>
      <c r="T583" s="32"/>
      <c r="U583" s="32"/>
      <c r="V583" s="32"/>
      <c r="W583" s="32"/>
    </row>
    <row r="584" spans="3:23" x14ac:dyDescent="0.25">
      <c r="C584" s="1"/>
      <c r="D584" s="29"/>
      <c r="E584" s="29"/>
      <c r="F584" s="29"/>
      <c r="G584" s="29"/>
      <c r="H584" s="30"/>
      <c r="I584" s="31"/>
      <c r="J584" s="31"/>
      <c r="K584" s="29"/>
      <c r="L584" s="32"/>
      <c r="M584" s="29"/>
      <c r="N584" s="33"/>
      <c r="O584" s="32"/>
      <c r="P584" s="34"/>
      <c r="Q584" s="34"/>
      <c r="R584" s="34"/>
      <c r="S584" s="32"/>
      <c r="T584" s="32"/>
      <c r="U584" s="32"/>
      <c r="V584" s="32"/>
      <c r="W584" s="32"/>
    </row>
    <row r="585" spans="3:23" x14ac:dyDescent="0.25">
      <c r="C585" s="1"/>
      <c r="D585" s="29"/>
      <c r="E585" s="29"/>
      <c r="F585" s="29"/>
      <c r="G585" s="29"/>
      <c r="H585" s="30"/>
      <c r="I585" s="31"/>
      <c r="J585" s="31"/>
      <c r="K585" s="29"/>
      <c r="L585" s="32"/>
      <c r="M585" s="29"/>
      <c r="N585" s="33"/>
      <c r="O585" s="32"/>
      <c r="P585" s="34"/>
      <c r="Q585" s="34"/>
      <c r="R585" s="34"/>
      <c r="S585" s="32"/>
      <c r="T585" s="32"/>
      <c r="U585" s="32"/>
      <c r="V585" s="32"/>
      <c r="W585" s="32"/>
    </row>
    <row r="586" spans="3:23" x14ac:dyDescent="0.25">
      <c r="C586" s="1"/>
      <c r="D586" s="29"/>
      <c r="E586" s="29"/>
      <c r="F586" s="29"/>
      <c r="G586" s="29"/>
      <c r="H586" s="30"/>
      <c r="I586" s="31"/>
      <c r="J586" s="31"/>
      <c r="K586" s="29"/>
      <c r="L586" s="32"/>
      <c r="M586" s="29"/>
      <c r="N586" s="33"/>
      <c r="O586" s="32"/>
      <c r="P586" s="34"/>
      <c r="Q586" s="34"/>
      <c r="R586" s="34"/>
      <c r="S586" s="32"/>
      <c r="T586" s="32"/>
      <c r="U586" s="32"/>
      <c r="V586" s="32"/>
      <c r="W586" s="32"/>
    </row>
    <row r="587" spans="3:23" x14ac:dyDescent="0.25">
      <c r="C587" s="1"/>
      <c r="D587" s="29"/>
      <c r="E587" s="29"/>
      <c r="F587" s="29"/>
      <c r="G587" s="29"/>
      <c r="H587" s="30"/>
      <c r="I587" s="31"/>
      <c r="J587" s="31"/>
      <c r="K587" s="29"/>
      <c r="L587" s="32"/>
      <c r="M587" s="29"/>
      <c r="N587" s="33"/>
      <c r="O587" s="32"/>
      <c r="P587" s="34"/>
      <c r="Q587" s="34"/>
      <c r="R587" s="34"/>
      <c r="S587" s="32"/>
      <c r="T587" s="32"/>
      <c r="U587" s="32"/>
      <c r="V587" s="32"/>
      <c r="W587" s="32"/>
    </row>
    <row r="588" spans="3:23" x14ac:dyDescent="0.25">
      <c r="C588" s="1"/>
      <c r="D588" s="29"/>
      <c r="E588" s="29"/>
      <c r="F588" s="29"/>
      <c r="G588" s="29"/>
      <c r="H588" s="30"/>
      <c r="I588" s="31"/>
      <c r="J588" s="31"/>
      <c r="K588" s="29"/>
      <c r="L588" s="32"/>
      <c r="M588" s="29"/>
      <c r="N588" s="33"/>
      <c r="O588" s="32"/>
      <c r="P588" s="34"/>
      <c r="Q588" s="34"/>
      <c r="R588" s="34"/>
      <c r="S588" s="32"/>
      <c r="T588" s="32"/>
      <c r="U588" s="32"/>
      <c r="V588" s="32"/>
      <c r="W588" s="32"/>
    </row>
    <row r="589" spans="3:23" x14ac:dyDescent="0.25">
      <c r="C589" s="1"/>
      <c r="D589" s="29"/>
      <c r="E589" s="29"/>
      <c r="F589" s="29"/>
      <c r="G589" s="29"/>
      <c r="H589" s="30"/>
      <c r="I589" s="31"/>
      <c r="J589" s="31"/>
      <c r="K589" s="29"/>
      <c r="L589" s="32"/>
      <c r="M589" s="29"/>
      <c r="N589" s="33"/>
      <c r="O589" s="32"/>
      <c r="P589" s="34"/>
      <c r="Q589" s="34"/>
      <c r="R589" s="34"/>
      <c r="S589" s="32"/>
      <c r="T589" s="32"/>
      <c r="U589" s="32"/>
      <c r="V589" s="32"/>
      <c r="W589" s="32"/>
    </row>
    <row r="590" spans="3:23" x14ac:dyDescent="0.25">
      <c r="C590" s="1"/>
      <c r="D590" s="29"/>
      <c r="E590" s="29"/>
      <c r="F590" s="29"/>
      <c r="G590" s="29"/>
      <c r="H590" s="30"/>
      <c r="I590" s="31"/>
      <c r="J590" s="31"/>
      <c r="K590" s="29"/>
      <c r="L590" s="32"/>
      <c r="M590" s="29"/>
      <c r="N590" s="33"/>
      <c r="O590" s="32"/>
      <c r="P590" s="34"/>
      <c r="Q590" s="34"/>
      <c r="R590" s="34"/>
      <c r="S590" s="32"/>
      <c r="T590" s="32"/>
      <c r="U590" s="32"/>
      <c r="V590" s="32"/>
      <c r="W590" s="32"/>
    </row>
    <row r="591" spans="3:23" x14ac:dyDescent="0.25">
      <c r="C591" s="1"/>
      <c r="D591" s="29"/>
      <c r="E591" s="29"/>
      <c r="F591" s="29"/>
      <c r="G591" s="29"/>
      <c r="H591" s="30"/>
      <c r="I591" s="31"/>
      <c r="J591" s="31"/>
      <c r="K591" s="29"/>
      <c r="L591" s="32"/>
      <c r="M591" s="29"/>
      <c r="N591" s="33"/>
      <c r="O591" s="32"/>
      <c r="P591" s="34"/>
      <c r="Q591" s="34"/>
      <c r="R591" s="34"/>
      <c r="S591" s="32"/>
      <c r="T591" s="32"/>
      <c r="U591" s="32"/>
      <c r="V591" s="32"/>
      <c r="W591" s="32"/>
    </row>
    <row r="592" spans="3:23" x14ac:dyDescent="0.25">
      <c r="C592" s="1"/>
      <c r="D592" s="29"/>
      <c r="E592" s="29"/>
      <c r="F592" s="29"/>
      <c r="G592" s="29"/>
      <c r="H592" s="30"/>
      <c r="I592" s="31"/>
      <c r="J592" s="31"/>
      <c r="K592" s="29"/>
      <c r="L592" s="32"/>
      <c r="M592" s="29"/>
      <c r="N592" s="33"/>
      <c r="O592" s="32"/>
      <c r="P592" s="34"/>
      <c r="Q592" s="34"/>
      <c r="R592" s="34"/>
      <c r="S592" s="32"/>
      <c r="T592" s="32"/>
      <c r="U592" s="32"/>
      <c r="V592" s="32"/>
      <c r="W592" s="32"/>
    </row>
    <row r="593" spans="3:23" x14ac:dyDescent="0.25">
      <c r="C593" s="1"/>
      <c r="D593" s="29"/>
      <c r="E593" s="29"/>
      <c r="F593" s="29"/>
      <c r="G593" s="29"/>
      <c r="H593" s="30"/>
      <c r="I593" s="31"/>
      <c r="J593" s="31"/>
      <c r="K593" s="29"/>
      <c r="L593" s="32"/>
      <c r="M593" s="29"/>
      <c r="N593" s="33"/>
      <c r="O593" s="32"/>
      <c r="P593" s="34"/>
      <c r="Q593" s="34"/>
      <c r="R593" s="34"/>
      <c r="S593" s="32"/>
      <c r="T593" s="32"/>
      <c r="U593" s="32"/>
      <c r="V593" s="32"/>
      <c r="W593" s="32"/>
    </row>
    <row r="594" spans="3:23" x14ac:dyDescent="0.25">
      <c r="C594" s="1"/>
      <c r="D594" s="29"/>
      <c r="E594" s="29"/>
      <c r="F594" s="29"/>
      <c r="G594" s="29"/>
      <c r="H594" s="30"/>
      <c r="I594" s="31"/>
      <c r="J594" s="31"/>
      <c r="K594" s="29"/>
      <c r="L594" s="32"/>
      <c r="M594" s="29"/>
      <c r="N594" s="33"/>
      <c r="O594" s="32"/>
      <c r="P594" s="34"/>
      <c r="Q594" s="34"/>
      <c r="R594" s="34"/>
      <c r="S594" s="32"/>
      <c r="T594" s="32"/>
      <c r="U594" s="32"/>
      <c r="V594" s="32"/>
      <c r="W594" s="32"/>
    </row>
    <row r="595" spans="3:23" x14ac:dyDescent="0.25">
      <c r="C595" s="1"/>
      <c r="D595" s="29"/>
      <c r="E595" s="29"/>
      <c r="F595" s="29"/>
      <c r="G595" s="29"/>
      <c r="H595" s="30"/>
      <c r="I595" s="31"/>
      <c r="J595" s="31"/>
      <c r="K595" s="29"/>
      <c r="L595" s="32"/>
      <c r="M595" s="29"/>
      <c r="N595" s="33"/>
      <c r="O595" s="32"/>
      <c r="P595" s="34"/>
      <c r="Q595" s="34"/>
      <c r="R595" s="34"/>
      <c r="S595" s="32"/>
      <c r="T595" s="32"/>
      <c r="U595" s="32"/>
      <c r="V595" s="32"/>
      <c r="W595" s="32"/>
    </row>
    <row r="596" spans="3:23" x14ac:dyDescent="0.25">
      <c r="C596" s="1"/>
      <c r="D596" s="29"/>
      <c r="E596" s="29"/>
      <c r="F596" s="29"/>
      <c r="G596" s="29"/>
      <c r="H596" s="30"/>
      <c r="I596" s="31"/>
      <c r="J596" s="31"/>
      <c r="K596" s="29"/>
      <c r="L596" s="32"/>
      <c r="M596" s="29"/>
      <c r="N596" s="33"/>
      <c r="O596" s="32"/>
      <c r="P596" s="34"/>
      <c r="Q596" s="34"/>
      <c r="R596" s="34"/>
      <c r="S596" s="32"/>
      <c r="T596" s="32"/>
      <c r="U596" s="32"/>
      <c r="V596" s="32"/>
      <c r="W596" s="32"/>
    </row>
    <row r="597" spans="3:23" x14ac:dyDescent="0.25">
      <c r="C597" s="1"/>
      <c r="D597" s="29"/>
      <c r="E597" s="29"/>
      <c r="F597" s="29"/>
      <c r="G597" s="29"/>
      <c r="H597" s="30"/>
      <c r="I597" s="31"/>
      <c r="J597" s="31"/>
      <c r="K597" s="29"/>
      <c r="L597" s="32"/>
      <c r="M597" s="29"/>
      <c r="N597" s="33"/>
      <c r="O597" s="32"/>
      <c r="P597" s="34"/>
      <c r="Q597" s="34"/>
      <c r="R597" s="34"/>
      <c r="S597" s="32"/>
      <c r="T597" s="32"/>
      <c r="U597" s="32"/>
      <c r="V597" s="32"/>
      <c r="W597" s="32"/>
    </row>
    <row r="598" spans="3:23" x14ac:dyDescent="0.25">
      <c r="C598" s="1"/>
      <c r="D598" s="29"/>
      <c r="E598" s="29"/>
      <c r="F598" s="29"/>
      <c r="G598" s="29"/>
      <c r="H598" s="30"/>
      <c r="I598" s="31"/>
      <c r="J598" s="31"/>
      <c r="K598" s="29"/>
      <c r="L598" s="32"/>
      <c r="M598" s="29"/>
      <c r="N598" s="33"/>
      <c r="O598" s="32"/>
      <c r="P598" s="34"/>
      <c r="Q598" s="34"/>
      <c r="R598" s="34"/>
      <c r="S598" s="32"/>
      <c r="T598" s="32"/>
      <c r="U598" s="32"/>
      <c r="V598" s="32"/>
      <c r="W598" s="32"/>
    </row>
    <row r="599" spans="3:23" x14ac:dyDescent="0.25">
      <c r="C599" s="1"/>
      <c r="D599" s="29"/>
      <c r="E599" s="29"/>
      <c r="F599" s="29"/>
      <c r="G599" s="29"/>
      <c r="H599" s="30"/>
      <c r="I599" s="31"/>
      <c r="J599" s="31"/>
      <c r="K599" s="29"/>
      <c r="L599" s="32"/>
      <c r="M599" s="29"/>
      <c r="N599" s="33"/>
      <c r="O599" s="32"/>
      <c r="P599" s="34"/>
      <c r="Q599" s="34"/>
      <c r="R599" s="34"/>
      <c r="S599" s="32"/>
      <c r="T599" s="32"/>
      <c r="U599" s="32"/>
      <c r="V599" s="32"/>
      <c r="W599" s="32"/>
    </row>
    <row r="600" spans="3:23" x14ac:dyDescent="0.25">
      <c r="C600" s="1"/>
      <c r="D600" s="29"/>
      <c r="E600" s="29"/>
      <c r="F600" s="29"/>
      <c r="G600" s="29"/>
      <c r="H600" s="30"/>
      <c r="I600" s="31"/>
      <c r="J600" s="31"/>
      <c r="K600" s="29"/>
      <c r="L600" s="32"/>
      <c r="M600" s="29"/>
      <c r="N600" s="33"/>
      <c r="O600" s="32"/>
      <c r="P600" s="34"/>
      <c r="Q600" s="34"/>
      <c r="R600" s="34"/>
      <c r="S600" s="32"/>
      <c r="T600" s="32"/>
      <c r="U600" s="32"/>
      <c r="V600" s="32"/>
      <c r="W600" s="32"/>
    </row>
    <row r="601" spans="3:23" x14ac:dyDescent="0.25">
      <c r="C601" s="1"/>
      <c r="D601" s="29"/>
      <c r="E601" s="29"/>
      <c r="F601" s="29"/>
      <c r="G601" s="29"/>
      <c r="H601" s="30"/>
      <c r="I601" s="31"/>
      <c r="J601" s="31"/>
      <c r="K601" s="29"/>
      <c r="L601" s="32"/>
      <c r="M601" s="29"/>
      <c r="N601" s="33"/>
      <c r="O601" s="32"/>
      <c r="P601" s="34"/>
      <c r="Q601" s="34"/>
      <c r="R601" s="34"/>
      <c r="S601" s="32"/>
      <c r="T601" s="32"/>
      <c r="U601" s="32"/>
      <c r="V601" s="32"/>
      <c r="W601" s="32"/>
    </row>
    <row r="602" spans="3:23" x14ac:dyDescent="0.25">
      <c r="C602" s="1"/>
      <c r="D602" s="29"/>
      <c r="E602" s="29"/>
      <c r="F602" s="29"/>
      <c r="G602" s="29"/>
      <c r="H602" s="30"/>
      <c r="I602" s="31"/>
      <c r="J602" s="31"/>
      <c r="K602" s="29"/>
      <c r="L602" s="32"/>
      <c r="M602" s="29"/>
      <c r="N602" s="33"/>
      <c r="O602" s="32"/>
      <c r="P602" s="34"/>
      <c r="Q602" s="34"/>
      <c r="R602" s="34"/>
      <c r="S602" s="32"/>
      <c r="T602" s="32"/>
      <c r="U602" s="32"/>
      <c r="V602" s="32"/>
      <c r="W602" s="32"/>
    </row>
    <row r="603" spans="3:23" x14ac:dyDescent="0.25">
      <c r="C603" s="1"/>
      <c r="D603" s="29"/>
      <c r="E603" s="29"/>
      <c r="F603" s="29"/>
      <c r="G603" s="29"/>
      <c r="H603" s="30"/>
      <c r="I603" s="31"/>
      <c r="J603" s="31"/>
      <c r="K603" s="29"/>
      <c r="L603" s="32"/>
      <c r="M603" s="29"/>
      <c r="N603" s="33"/>
      <c r="O603" s="32"/>
      <c r="P603" s="34"/>
      <c r="Q603" s="34"/>
      <c r="R603" s="34"/>
      <c r="S603" s="32"/>
      <c r="T603" s="32"/>
      <c r="U603" s="32"/>
      <c r="V603" s="32"/>
      <c r="W603" s="32"/>
    </row>
    <row r="604" spans="3:23" x14ac:dyDescent="0.25">
      <c r="C604" s="1"/>
      <c r="D604" s="29"/>
      <c r="E604" s="29"/>
      <c r="F604" s="29"/>
      <c r="G604" s="29"/>
      <c r="H604" s="30"/>
      <c r="I604" s="31"/>
      <c r="J604" s="31"/>
      <c r="K604" s="29"/>
      <c r="L604" s="32"/>
      <c r="M604" s="29"/>
      <c r="N604" s="33"/>
      <c r="O604" s="32"/>
      <c r="P604" s="34"/>
      <c r="Q604" s="34"/>
      <c r="R604" s="34"/>
      <c r="S604" s="32"/>
      <c r="T604" s="32"/>
      <c r="U604" s="32"/>
      <c r="V604" s="32"/>
      <c r="W604" s="32"/>
    </row>
    <row r="605" spans="3:23" x14ac:dyDescent="0.25">
      <c r="C605" s="1"/>
      <c r="D605" s="29"/>
      <c r="E605" s="29"/>
      <c r="F605" s="29"/>
      <c r="G605" s="29"/>
      <c r="H605" s="30"/>
      <c r="I605" s="31"/>
      <c r="J605" s="31"/>
      <c r="K605" s="29"/>
      <c r="L605" s="32"/>
      <c r="M605" s="29"/>
      <c r="N605" s="33"/>
      <c r="O605" s="32"/>
      <c r="P605" s="34"/>
      <c r="Q605" s="34"/>
      <c r="R605" s="34"/>
      <c r="S605" s="32"/>
      <c r="T605" s="32"/>
      <c r="U605" s="32"/>
      <c r="V605" s="32"/>
      <c r="W605" s="32"/>
    </row>
    <row r="606" spans="3:23" x14ac:dyDescent="0.25">
      <c r="C606" s="1"/>
      <c r="D606" s="29"/>
      <c r="E606" s="29"/>
      <c r="F606" s="29"/>
      <c r="G606" s="29"/>
      <c r="H606" s="30"/>
      <c r="I606" s="31"/>
      <c r="J606" s="31"/>
      <c r="K606" s="29"/>
      <c r="L606" s="32"/>
      <c r="M606" s="29"/>
      <c r="N606" s="33"/>
      <c r="O606" s="32"/>
      <c r="P606" s="34"/>
      <c r="Q606" s="34"/>
      <c r="R606" s="34"/>
      <c r="S606" s="32"/>
      <c r="T606" s="32"/>
      <c r="U606" s="32"/>
      <c r="V606" s="32"/>
      <c r="W606" s="32"/>
    </row>
    <row r="607" spans="3:23" x14ac:dyDescent="0.25">
      <c r="C607" s="1"/>
      <c r="D607" s="29"/>
      <c r="E607" s="29"/>
      <c r="F607" s="29"/>
      <c r="G607" s="29"/>
      <c r="H607" s="30"/>
      <c r="I607" s="31"/>
      <c r="J607" s="31"/>
      <c r="K607" s="29"/>
      <c r="L607" s="32"/>
      <c r="M607" s="29"/>
      <c r="N607" s="33"/>
      <c r="O607" s="32"/>
      <c r="P607" s="34"/>
      <c r="Q607" s="34"/>
      <c r="R607" s="34"/>
      <c r="S607" s="32"/>
      <c r="T607" s="32"/>
      <c r="U607" s="32"/>
      <c r="V607" s="32"/>
      <c r="W607" s="32"/>
    </row>
    <row r="608" spans="3:23" x14ac:dyDescent="0.25">
      <c r="C608" s="1"/>
      <c r="D608" s="29"/>
      <c r="E608" s="29"/>
      <c r="F608" s="29"/>
      <c r="G608" s="29"/>
      <c r="H608" s="30"/>
      <c r="I608" s="31"/>
      <c r="J608" s="31"/>
      <c r="K608" s="29"/>
      <c r="L608" s="32"/>
      <c r="M608" s="29"/>
      <c r="N608" s="33"/>
      <c r="O608" s="32"/>
      <c r="P608" s="34"/>
      <c r="Q608" s="34"/>
      <c r="R608" s="34"/>
      <c r="S608" s="32"/>
      <c r="T608" s="32"/>
      <c r="U608" s="32"/>
      <c r="V608" s="32"/>
      <c r="W608" s="32"/>
    </row>
    <row r="609" spans="3:23" x14ac:dyDescent="0.25">
      <c r="C609" s="1"/>
      <c r="D609" s="29"/>
      <c r="E609" s="29"/>
      <c r="F609" s="29"/>
      <c r="G609" s="29"/>
      <c r="H609" s="30"/>
      <c r="I609" s="31"/>
      <c r="J609" s="31"/>
      <c r="K609" s="29"/>
      <c r="L609" s="32"/>
      <c r="M609" s="29"/>
      <c r="N609" s="33"/>
      <c r="O609" s="32"/>
      <c r="P609" s="34"/>
      <c r="Q609" s="34"/>
      <c r="R609" s="34"/>
      <c r="S609" s="32"/>
      <c r="T609" s="32"/>
      <c r="U609" s="32"/>
      <c r="V609" s="32"/>
      <c r="W609" s="32"/>
    </row>
    <row r="610" spans="3:23" x14ac:dyDescent="0.25">
      <c r="C610" s="1"/>
      <c r="D610" s="29"/>
      <c r="E610" s="29"/>
      <c r="F610" s="29"/>
      <c r="G610" s="29"/>
      <c r="H610" s="30"/>
      <c r="I610" s="31"/>
      <c r="J610" s="31"/>
      <c r="K610" s="29"/>
      <c r="L610" s="32"/>
      <c r="M610" s="29"/>
      <c r="N610" s="33"/>
      <c r="O610" s="32"/>
      <c r="P610" s="34"/>
      <c r="Q610" s="34"/>
      <c r="R610" s="34"/>
      <c r="S610" s="32"/>
      <c r="T610" s="32"/>
      <c r="U610" s="32"/>
      <c r="V610" s="32"/>
      <c r="W610" s="32"/>
    </row>
    <row r="611" spans="3:23" x14ac:dyDescent="0.25">
      <c r="C611" s="1"/>
      <c r="D611" s="29"/>
      <c r="E611" s="29"/>
      <c r="F611" s="29"/>
      <c r="G611" s="29"/>
      <c r="H611" s="30"/>
      <c r="I611" s="31"/>
      <c r="J611" s="31"/>
      <c r="K611" s="29"/>
      <c r="L611" s="32"/>
      <c r="M611" s="29"/>
      <c r="N611" s="33"/>
      <c r="O611" s="32"/>
      <c r="P611" s="34"/>
      <c r="Q611" s="34"/>
      <c r="R611" s="34"/>
      <c r="S611" s="32"/>
      <c r="T611" s="32"/>
      <c r="U611" s="32"/>
      <c r="V611" s="32"/>
      <c r="W611" s="32"/>
    </row>
    <row r="612" spans="3:23" x14ac:dyDescent="0.25">
      <c r="C612" s="1"/>
      <c r="D612" s="29"/>
      <c r="E612" s="29"/>
      <c r="F612" s="29"/>
      <c r="G612" s="29"/>
      <c r="H612" s="30"/>
      <c r="I612" s="31"/>
      <c r="J612" s="31"/>
      <c r="K612" s="29"/>
      <c r="L612" s="32"/>
      <c r="M612" s="29"/>
      <c r="N612" s="33"/>
      <c r="O612" s="32"/>
      <c r="P612" s="34"/>
      <c r="Q612" s="34"/>
      <c r="R612" s="34"/>
      <c r="S612" s="32"/>
      <c r="T612" s="32"/>
      <c r="U612" s="32"/>
      <c r="V612" s="32"/>
      <c r="W612" s="32"/>
    </row>
    <row r="613" spans="3:23" x14ac:dyDescent="0.25">
      <c r="C613" s="1"/>
      <c r="D613" s="29"/>
      <c r="E613" s="29"/>
      <c r="F613" s="29"/>
      <c r="G613" s="29"/>
      <c r="H613" s="30"/>
      <c r="I613" s="31"/>
      <c r="J613" s="31"/>
      <c r="K613" s="29"/>
      <c r="L613" s="32"/>
      <c r="M613" s="29"/>
      <c r="N613" s="33"/>
      <c r="O613" s="32"/>
      <c r="P613" s="34"/>
      <c r="Q613" s="34"/>
      <c r="R613" s="34"/>
      <c r="S613" s="32"/>
      <c r="T613" s="32"/>
      <c r="U613" s="32"/>
      <c r="V613" s="32"/>
      <c r="W613" s="32"/>
    </row>
    <row r="614" spans="3:23" x14ac:dyDescent="0.25">
      <c r="C614" s="1"/>
      <c r="D614" s="29"/>
      <c r="E614" s="29"/>
      <c r="F614" s="29"/>
      <c r="G614" s="29"/>
      <c r="H614" s="30"/>
      <c r="I614" s="31"/>
      <c r="J614" s="31"/>
      <c r="K614" s="29"/>
      <c r="L614" s="32"/>
      <c r="M614" s="29"/>
      <c r="N614" s="33"/>
      <c r="O614" s="32"/>
      <c r="P614" s="34"/>
      <c r="Q614" s="34"/>
      <c r="R614" s="34"/>
      <c r="S614" s="32"/>
      <c r="T614" s="32"/>
      <c r="U614" s="32"/>
      <c r="V614" s="32"/>
      <c r="W614" s="32"/>
    </row>
    <row r="615" spans="3:23" x14ac:dyDescent="0.25">
      <c r="C615" s="1"/>
      <c r="D615" s="29"/>
      <c r="E615" s="29"/>
      <c r="F615" s="29"/>
      <c r="G615" s="29"/>
      <c r="H615" s="30"/>
      <c r="I615" s="31"/>
      <c r="J615" s="31"/>
      <c r="K615" s="29"/>
      <c r="L615" s="32"/>
      <c r="M615" s="29"/>
      <c r="N615" s="33"/>
      <c r="O615" s="32"/>
      <c r="P615" s="34"/>
      <c r="Q615" s="34"/>
      <c r="R615" s="34"/>
      <c r="S615" s="32"/>
      <c r="T615" s="32"/>
      <c r="U615" s="32"/>
      <c r="V615" s="32"/>
      <c r="W615" s="32"/>
    </row>
    <row r="616" spans="3:23" x14ac:dyDescent="0.25">
      <c r="C616" s="1"/>
      <c r="D616" s="29"/>
      <c r="E616" s="29"/>
      <c r="F616" s="29"/>
      <c r="G616" s="29"/>
      <c r="H616" s="30"/>
      <c r="I616" s="31"/>
      <c r="J616" s="31"/>
      <c r="K616" s="29"/>
      <c r="L616" s="32"/>
      <c r="M616" s="29"/>
      <c r="N616" s="33"/>
      <c r="O616" s="32"/>
      <c r="P616" s="34"/>
      <c r="Q616" s="34"/>
      <c r="R616" s="34"/>
      <c r="S616" s="32"/>
      <c r="T616" s="32"/>
      <c r="U616" s="32"/>
      <c r="V616" s="32"/>
      <c r="W616" s="32"/>
    </row>
    <row r="617" spans="3:23" x14ac:dyDescent="0.25">
      <c r="C617" s="1"/>
      <c r="D617" s="29"/>
      <c r="E617" s="29"/>
      <c r="F617" s="29"/>
      <c r="G617" s="29"/>
      <c r="H617" s="30"/>
      <c r="I617" s="31"/>
      <c r="J617" s="31"/>
      <c r="K617" s="29"/>
      <c r="L617" s="32"/>
      <c r="M617" s="29"/>
      <c r="N617" s="33"/>
      <c r="O617" s="32"/>
      <c r="P617" s="34"/>
      <c r="Q617" s="34"/>
      <c r="R617" s="34"/>
      <c r="S617" s="32"/>
      <c r="T617" s="32"/>
      <c r="U617" s="32"/>
      <c r="V617" s="32"/>
      <c r="W617" s="32"/>
    </row>
    <row r="618" spans="3:23" x14ac:dyDescent="0.25">
      <c r="C618" s="1"/>
      <c r="D618" s="29"/>
      <c r="E618" s="29"/>
      <c r="F618" s="29"/>
      <c r="G618" s="29"/>
      <c r="H618" s="30"/>
      <c r="I618" s="31"/>
      <c r="J618" s="31"/>
      <c r="K618" s="29"/>
      <c r="L618" s="32"/>
      <c r="M618" s="29"/>
      <c r="N618" s="33"/>
      <c r="O618" s="32"/>
      <c r="P618" s="34"/>
      <c r="Q618" s="34"/>
      <c r="R618" s="34"/>
      <c r="S618" s="32"/>
      <c r="T618" s="32"/>
      <c r="U618" s="32"/>
      <c r="V618" s="32"/>
      <c r="W618" s="32"/>
    </row>
    <row r="619" spans="3:23" x14ac:dyDescent="0.25">
      <c r="C619" s="1"/>
      <c r="D619" s="29"/>
      <c r="E619" s="29"/>
      <c r="F619" s="29"/>
      <c r="G619" s="29"/>
      <c r="H619" s="30"/>
      <c r="I619" s="31"/>
      <c r="J619" s="31"/>
      <c r="K619" s="29"/>
      <c r="L619" s="32"/>
      <c r="M619" s="29"/>
      <c r="N619" s="33"/>
      <c r="O619" s="32"/>
      <c r="P619" s="34"/>
      <c r="Q619" s="34"/>
      <c r="R619" s="34"/>
      <c r="S619" s="32"/>
      <c r="T619" s="32"/>
      <c r="U619" s="32"/>
      <c r="V619" s="32"/>
      <c r="W619" s="32"/>
    </row>
    <row r="620" spans="3:23" x14ac:dyDescent="0.25">
      <c r="C620" s="1"/>
      <c r="D620" s="29"/>
      <c r="E620" s="29"/>
      <c r="F620" s="29"/>
      <c r="G620" s="29"/>
      <c r="H620" s="30"/>
      <c r="I620" s="31"/>
      <c r="J620" s="31"/>
      <c r="K620" s="29"/>
      <c r="L620" s="32"/>
      <c r="M620" s="29"/>
      <c r="N620" s="33"/>
      <c r="O620" s="32"/>
      <c r="P620" s="34"/>
      <c r="Q620" s="34"/>
      <c r="R620" s="34"/>
      <c r="S620" s="32"/>
      <c r="T620" s="32"/>
      <c r="U620" s="32"/>
      <c r="V620" s="32"/>
      <c r="W620" s="32"/>
    </row>
    <row r="621" spans="3:23" x14ac:dyDescent="0.25">
      <c r="C621" s="1"/>
      <c r="D621" s="29"/>
      <c r="E621" s="29"/>
      <c r="F621" s="29"/>
      <c r="G621" s="29"/>
      <c r="H621" s="30"/>
      <c r="I621" s="31"/>
      <c r="J621" s="31"/>
      <c r="K621" s="29"/>
      <c r="L621" s="32"/>
      <c r="M621" s="29"/>
      <c r="N621" s="33"/>
      <c r="O621" s="32"/>
      <c r="P621" s="34"/>
      <c r="Q621" s="34"/>
      <c r="R621" s="34"/>
      <c r="S621" s="32"/>
      <c r="T621" s="32"/>
      <c r="U621" s="32"/>
      <c r="V621" s="32"/>
      <c r="W621" s="32"/>
    </row>
    <row r="622" spans="3:23" x14ac:dyDescent="0.25">
      <c r="C622" s="1"/>
      <c r="D622" s="29"/>
      <c r="E622" s="29"/>
      <c r="F622" s="29"/>
      <c r="G622" s="29"/>
      <c r="H622" s="30"/>
      <c r="I622" s="31"/>
      <c r="J622" s="31"/>
      <c r="K622" s="29"/>
      <c r="L622" s="32"/>
      <c r="M622" s="29"/>
      <c r="N622" s="33"/>
      <c r="O622" s="32"/>
      <c r="P622" s="34"/>
      <c r="Q622" s="34"/>
      <c r="R622" s="34"/>
      <c r="S622" s="32"/>
      <c r="T622" s="32"/>
      <c r="U622" s="32"/>
      <c r="V622" s="32"/>
      <c r="W622" s="32"/>
    </row>
    <row r="623" spans="3:23" x14ac:dyDescent="0.25">
      <c r="C623" s="1"/>
      <c r="D623" s="29"/>
      <c r="E623" s="29"/>
      <c r="F623" s="29"/>
      <c r="G623" s="29"/>
      <c r="H623" s="30"/>
      <c r="I623" s="31"/>
      <c r="J623" s="31"/>
      <c r="K623" s="29"/>
      <c r="L623" s="32"/>
      <c r="M623" s="29"/>
      <c r="N623" s="33"/>
      <c r="O623" s="32"/>
      <c r="P623" s="34"/>
      <c r="Q623" s="34"/>
      <c r="R623" s="34"/>
      <c r="S623" s="32"/>
      <c r="T623" s="32"/>
      <c r="U623" s="32"/>
      <c r="V623" s="32"/>
      <c r="W623" s="32"/>
    </row>
    <row r="624" spans="3:23" x14ac:dyDescent="0.25">
      <c r="C624" s="1"/>
      <c r="D624" s="29"/>
      <c r="E624" s="29"/>
      <c r="F624" s="29"/>
      <c r="G624" s="29"/>
      <c r="H624" s="30"/>
      <c r="I624" s="31"/>
      <c r="J624" s="31"/>
      <c r="K624" s="29"/>
      <c r="L624" s="32"/>
      <c r="M624" s="29"/>
      <c r="N624" s="33"/>
      <c r="O624" s="32"/>
      <c r="P624" s="34"/>
      <c r="Q624" s="34"/>
      <c r="R624" s="34"/>
      <c r="S624" s="32"/>
      <c r="T624" s="32"/>
      <c r="U624" s="32"/>
      <c r="V624" s="32"/>
      <c r="W624" s="32"/>
    </row>
    <row r="625" spans="3:23" x14ac:dyDescent="0.25">
      <c r="C625" s="1"/>
      <c r="D625" s="29"/>
      <c r="E625" s="29"/>
      <c r="F625" s="29"/>
      <c r="G625" s="29"/>
      <c r="H625" s="30"/>
      <c r="I625" s="31"/>
      <c r="J625" s="31"/>
      <c r="K625" s="29"/>
      <c r="L625" s="32"/>
      <c r="M625" s="29"/>
      <c r="N625" s="33"/>
      <c r="O625" s="32"/>
      <c r="P625" s="34"/>
      <c r="Q625" s="34"/>
      <c r="R625" s="34"/>
      <c r="S625" s="32"/>
      <c r="T625" s="32"/>
      <c r="U625" s="32"/>
      <c r="V625" s="32"/>
      <c r="W625" s="32"/>
    </row>
    <row r="626" spans="3:23" x14ac:dyDescent="0.25">
      <c r="C626" s="1"/>
      <c r="D626" s="29"/>
      <c r="E626" s="29"/>
      <c r="F626" s="29"/>
      <c r="G626" s="29"/>
      <c r="H626" s="30"/>
      <c r="I626" s="31"/>
      <c r="J626" s="31"/>
      <c r="K626" s="29"/>
      <c r="L626" s="32"/>
      <c r="M626" s="29"/>
      <c r="N626" s="33"/>
      <c r="O626" s="32"/>
      <c r="P626" s="34"/>
      <c r="Q626" s="34"/>
      <c r="R626" s="34"/>
      <c r="S626" s="32"/>
      <c r="T626" s="32"/>
      <c r="U626" s="32"/>
      <c r="V626" s="32"/>
      <c r="W626" s="32"/>
    </row>
    <row r="627" spans="3:23" x14ac:dyDescent="0.25">
      <c r="C627" s="1"/>
      <c r="D627" s="29"/>
      <c r="E627" s="29"/>
      <c r="F627" s="29"/>
      <c r="G627" s="29"/>
      <c r="H627" s="30"/>
      <c r="I627" s="31"/>
      <c r="J627" s="31"/>
      <c r="K627" s="29"/>
      <c r="L627" s="32"/>
      <c r="M627" s="29"/>
      <c r="N627" s="33"/>
      <c r="O627" s="32"/>
      <c r="P627" s="34"/>
      <c r="Q627" s="34"/>
      <c r="R627" s="34"/>
      <c r="S627" s="32"/>
      <c r="T627" s="32"/>
      <c r="U627" s="32"/>
      <c r="V627" s="32"/>
      <c r="W627" s="32"/>
    </row>
    <row r="628" spans="3:23" x14ac:dyDescent="0.25">
      <c r="C628" s="1"/>
      <c r="D628" s="29"/>
      <c r="E628" s="29"/>
      <c r="F628" s="29"/>
      <c r="G628" s="29"/>
      <c r="H628" s="30"/>
      <c r="I628" s="31"/>
      <c r="J628" s="31"/>
      <c r="K628" s="29"/>
      <c r="L628" s="32"/>
      <c r="M628" s="29"/>
      <c r="N628" s="33"/>
      <c r="O628" s="32"/>
      <c r="P628" s="34"/>
      <c r="Q628" s="34"/>
      <c r="R628" s="34"/>
      <c r="S628" s="32"/>
      <c r="T628" s="32"/>
      <c r="U628" s="32"/>
      <c r="V628" s="32"/>
      <c r="W628" s="32"/>
    </row>
    <row r="629" spans="3:23" x14ac:dyDescent="0.25">
      <c r="C629" s="1"/>
      <c r="D629" s="29"/>
      <c r="E629" s="29"/>
      <c r="F629" s="29"/>
      <c r="G629" s="29"/>
      <c r="H629" s="30"/>
      <c r="I629" s="31"/>
      <c r="J629" s="31"/>
      <c r="K629" s="29"/>
      <c r="L629" s="32"/>
      <c r="M629" s="29"/>
      <c r="N629" s="33"/>
      <c r="O629" s="32"/>
      <c r="P629" s="34"/>
      <c r="Q629" s="34"/>
      <c r="R629" s="34"/>
      <c r="S629" s="32"/>
      <c r="T629" s="32"/>
      <c r="U629" s="32"/>
      <c r="V629" s="32"/>
      <c r="W629" s="32"/>
    </row>
    <row r="630" spans="3:23" x14ac:dyDescent="0.25">
      <c r="C630" s="1"/>
      <c r="D630" s="29"/>
      <c r="E630" s="29"/>
      <c r="F630" s="29"/>
      <c r="G630" s="29"/>
      <c r="H630" s="30"/>
      <c r="I630" s="31"/>
      <c r="J630" s="31"/>
      <c r="K630" s="29"/>
      <c r="L630" s="32"/>
      <c r="M630" s="29"/>
      <c r="N630" s="33"/>
      <c r="O630" s="32"/>
      <c r="P630" s="34"/>
      <c r="Q630" s="34"/>
      <c r="R630" s="34"/>
      <c r="S630" s="32"/>
      <c r="T630" s="32"/>
      <c r="U630" s="32"/>
      <c r="V630" s="32"/>
      <c r="W630" s="32"/>
    </row>
    <row r="631" spans="3:23" x14ac:dyDescent="0.25">
      <c r="C631" s="1"/>
      <c r="D631" s="29"/>
      <c r="E631" s="29"/>
      <c r="F631" s="29"/>
      <c r="G631" s="29"/>
      <c r="H631" s="30"/>
      <c r="I631" s="31"/>
      <c r="J631" s="31"/>
      <c r="K631" s="29"/>
      <c r="L631" s="32"/>
      <c r="M631" s="29"/>
      <c r="N631" s="33"/>
      <c r="O631" s="32"/>
      <c r="P631" s="34"/>
      <c r="Q631" s="34"/>
      <c r="R631" s="34"/>
      <c r="S631" s="32"/>
      <c r="T631" s="32"/>
      <c r="U631" s="32"/>
      <c r="V631" s="32"/>
      <c r="W631" s="32"/>
    </row>
    <row r="632" spans="3:23" x14ac:dyDescent="0.25">
      <c r="C632" s="1"/>
      <c r="D632" s="29"/>
      <c r="E632" s="29"/>
      <c r="F632" s="29"/>
      <c r="G632" s="29"/>
      <c r="H632" s="30"/>
      <c r="I632" s="31"/>
      <c r="J632" s="31"/>
      <c r="K632" s="29"/>
      <c r="L632" s="32"/>
      <c r="M632" s="29"/>
      <c r="N632" s="33"/>
      <c r="O632" s="32"/>
      <c r="P632" s="34"/>
      <c r="Q632" s="34"/>
      <c r="R632" s="34"/>
      <c r="S632" s="32"/>
      <c r="T632" s="32"/>
      <c r="U632" s="32"/>
      <c r="V632" s="32"/>
      <c r="W632" s="32"/>
    </row>
    <row r="633" spans="3:23" x14ac:dyDescent="0.25">
      <c r="C633" s="1"/>
      <c r="D633" s="29"/>
      <c r="E633" s="29"/>
      <c r="F633" s="29"/>
      <c r="G633" s="29"/>
      <c r="H633" s="30"/>
      <c r="I633" s="31"/>
      <c r="J633" s="31"/>
      <c r="K633" s="29"/>
      <c r="L633" s="32"/>
      <c r="M633" s="29"/>
      <c r="N633" s="33"/>
      <c r="O633" s="32"/>
      <c r="P633" s="34"/>
      <c r="Q633" s="34"/>
      <c r="R633" s="34"/>
      <c r="S633" s="32"/>
      <c r="T633" s="32"/>
      <c r="U633" s="32"/>
      <c r="V633" s="32"/>
      <c r="W633" s="32"/>
    </row>
    <row r="634" spans="3:23" x14ac:dyDescent="0.25">
      <c r="C634" s="1"/>
      <c r="D634" s="29"/>
      <c r="E634" s="29"/>
      <c r="F634" s="29"/>
      <c r="G634" s="29"/>
      <c r="H634" s="30"/>
      <c r="I634" s="31"/>
      <c r="J634" s="31"/>
      <c r="K634" s="29"/>
      <c r="L634" s="32"/>
      <c r="M634" s="29"/>
      <c r="N634" s="33"/>
      <c r="O634" s="32"/>
      <c r="P634" s="34"/>
      <c r="Q634" s="34"/>
      <c r="R634" s="34"/>
      <c r="S634" s="32"/>
      <c r="T634" s="32"/>
      <c r="U634" s="32"/>
      <c r="V634" s="32"/>
      <c r="W634" s="32"/>
    </row>
    <row r="635" spans="3:23" x14ac:dyDescent="0.25">
      <c r="C635" s="1"/>
      <c r="D635" s="29"/>
      <c r="E635" s="29"/>
      <c r="F635" s="29"/>
      <c r="G635" s="29"/>
      <c r="H635" s="30"/>
      <c r="I635" s="31"/>
      <c r="J635" s="31"/>
      <c r="K635" s="29"/>
      <c r="L635" s="32"/>
      <c r="M635" s="29"/>
      <c r="N635" s="33"/>
      <c r="O635" s="32"/>
      <c r="P635" s="34"/>
      <c r="Q635" s="34"/>
      <c r="R635" s="34"/>
      <c r="S635" s="32"/>
      <c r="T635" s="32"/>
      <c r="U635" s="32"/>
      <c r="V635" s="32"/>
      <c r="W635" s="32"/>
    </row>
    <row r="636" spans="3:23" x14ac:dyDescent="0.25">
      <c r="C636" s="1"/>
      <c r="D636" s="29"/>
      <c r="E636" s="29"/>
      <c r="F636" s="29"/>
      <c r="G636" s="29"/>
      <c r="H636" s="30"/>
      <c r="I636" s="31"/>
      <c r="J636" s="31"/>
      <c r="K636" s="29"/>
      <c r="L636" s="32"/>
      <c r="M636" s="29"/>
      <c r="N636" s="33"/>
      <c r="O636" s="32"/>
      <c r="P636" s="34"/>
      <c r="Q636" s="34"/>
      <c r="R636" s="34"/>
      <c r="S636" s="32"/>
      <c r="T636" s="32"/>
      <c r="U636" s="32"/>
      <c r="V636" s="32"/>
      <c r="W636" s="32"/>
    </row>
    <row r="637" spans="3:23" x14ac:dyDescent="0.25">
      <c r="C637" s="1"/>
      <c r="D637" s="29"/>
      <c r="E637" s="29"/>
      <c r="F637" s="29"/>
      <c r="G637" s="29"/>
      <c r="H637" s="30"/>
      <c r="I637" s="31"/>
      <c r="J637" s="31"/>
      <c r="K637" s="29"/>
      <c r="L637" s="32"/>
      <c r="M637" s="29"/>
      <c r="N637" s="33"/>
      <c r="O637" s="32"/>
      <c r="P637" s="34"/>
      <c r="Q637" s="34"/>
      <c r="R637" s="34"/>
      <c r="S637" s="32"/>
      <c r="T637" s="32"/>
      <c r="U637" s="32"/>
      <c r="V637" s="32"/>
      <c r="W637" s="32"/>
    </row>
    <row r="638" spans="3:23" x14ac:dyDescent="0.25">
      <c r="C638" s="1"/>
      <c r="D638" s="29"/>
      <c r="E638" s="29"/>
      <c r="F638" s="29"/>
      <c r="G638" s="29"/>
      <c r="H638" s="30"/>
      <c r="I638" s="31"/>
      <c r="J638" s="31"/>
      <c r="K638" s="29"/>
      <c r="L638" s="32"/>
      <c r="M638" s="29"/>
      <c r="N638" s="33"/>
      <c r="O638" s="32"/>
      <c r="P638" s="34"/>
      <c r="Q638" s="34"/>
      <c r="R638" s="34"/>
      <c r="S638" s="32"/>
      <c r="T638" s="32"/>
      <c r="U638" s="32"/>
      <c r="V638" s="32"/>
      <c r="W638" s="32"/>
    </row>
    <row r="639" spans="3:23" x14ac:dyDescent="0.25">
      <c r="C639" s="1"/>
      <c r="D639" s="29"/>
      <c r="E639" s="29"/>
      <c r="F639" s="29"/>
      <c r="G639" s="29"/>
      <c r="H639" s="30"/>
      <c r="I639" s="31"/>
      <c r="J639" s="31"/>
      <c r="K639" s="29"/>
      <c r="L639" s="32"/>
      <c r="M639" s="29"/>
      <c r="N639" s="33"/>
      <c r="O639" s="32"/>
      <c r="P639" s="34"/>
      <c r="Q639" s="34"/>
      <c r="R639" s="34"/>
      <c r="S639" s="32"/>
      <c r="T639" s="32"/>
      <c r="U639" s="32"/>
      <c r="V639" s="32"/>
      <c r="W639" s="32"/>
    </row>
    <row r="640" spans="3:23" x14ac:dyDescent="0.25">
      <c r="C640" s="1"/>
      <c r="D640" s="29"/>
      <c r="E640" s="29"/>
      <c r="F640" s="29"/>
      <c r="G640" s="29"/>
      <c r="H640" s="30"/>
      <c r="I640" s="31"/>
      <c r="J640" s="31"/>
      <c r="K640" s="29"/>
      <c r="L640" s="32"/>
      <c r="M640" s="29"/>
      <c r="N640" s="33"/>
      <c r="O640" s="32"/>
      <c r="P640" s="34"/>
      <c r="Q640" s="34"/>
      <c r="R640" s="34"/>
      <c r="S640" s="32"/>
      <c r="T640" s="32"/>
      <c r="U640" s="32"/>
      <c r="V640" s="32"/>
      <c r="W640" s="32"/>
    </row>
    <row r="641" spans="3:23" x14ac:dyDescent="0.25">
      <c r="C641" s="1"/>
      <c r="D641" s="29"/>
      <c r="E641" s="29"/>
      <c r="F641" s="29"/>
      <c r="G641" s="29"/>
      <c r="H641" s="30"/>
      <c r="I641" s="31"/>
      <c r="J641" s="31"/>
      <c r="K641" s="29"/>
      <c r="L641" s="32"/>
      <c r="M641" s="29"/>
      <c r="N641" s="33"/>
      <c r="O641" s="32"/>
      <c r="P641" s="34"/>
      <c r="Q641" s="34"/>
      <c r="R641" s="34"/>
      <c r="S641" s="32"/>
      <c r="T641" s="32"/>
      <c r="U641" s="32"/>
      <c r="V641" s="32"/>
      <c r="W641" s="32"/>
    </row>
    <row r="642" spans="3:23" x14ac:dyDescent="0.25">
      <c r="C642" s="1"/>
      <c r="D642" s="29"/>
      <c r="E642" s="29"/>
      <c r="F642" s="29"/>
      <c r="G642" s="29"/>
      <c r="H642" s="30"/>
      <c r="I642" s="31"/>
      <c r="J642" s="31"/>
      <c r="K642" s="29"/>
      <c r="L642" s="32"/>
      <c r="M642" s="29"/>
      <c r="N642" s="33"/>
      <c r="O642" s="32"/>
      <c r="P642" s="34"/>
      <c r="Q642" s="34"/>
      <c r="R642" s="34"/>
      <c r="S642" s="32"/>
      <c r="T642" s="32"/>
      <c r="U642" s="32"/>
      <c r="V642" s="32"/>
      <c r="W642" s="32"/>
    </row>
    <row r="643" spans="3:23" x14ac:dyDescent="0.25">
      <c r="C643" s="1"/>
      <c r="D643" s="29"/>
      <c r="E643" s="29"/>
      <c r="F643" s="29"/>
      <c r="G643" s="29"/>
      <c r="H643" s="30"/>
      <c r="I643" s="31"/>
      <c r="J643" s="31"/>
      <c r="K643" s="29"/>
      <c r="L643" s="32"/>
      <c r="M643" s="29"/>
      <c r="N643" s="33"/>
      <c r="O643" s="32"/>
      <c r="P643" s="34"/>
      <c r="Q643" s="34"/>
      <c r="R643" s="34"/>
      <c r="S643" s="32"/>
      <c r="T643" s="32"/>
      <c r="U643" s="32"/>
      <c r="V643" s="32"/>
      <c r="W643" s="32"/>
    </row>
    <row r="644" spans="3:23" x14ac:dyDescent="0.25">
      <c r="C644" s="1"/>
      <c r="D644" s="29"/>
      <c r="E644" s="29"/>
      <c r="F644" s="29"/>
      <c r="G644" s="29"/>
      <c r="H644" s="30"/>
      <c r="I644" s="31"/>
      <c r="J644" s="31"/>
      <c r="K644" s="29"/>
      <c r="L644" s="32"/>
      <c r="M644" s="29"/>
      <c r="N644" s="33"/>
      <c r="O644" s="32"/>
      <c r="P644" s="34"/>
      <c r="Q644" s="34"/>
      <c r="R644" s="34"/>
      <c r="S644" s="32"/>
      <c r="T644" s="32"/>
      <c r="U644" s="32"/>
      <c r="V644" s="32"/>
      <c r="W644" s="32"/>
    </row>
    <row r="645" spans="3:23" x14ac:dyDescent="0.25">
      <c r="C645" s="1"/>
      <c r="D645" s="29"/>
      <c r="E645" s="29"/>
      <c r="F645" s="29"/>
      <c r="G645" s="29"/>
      <c r="H645" s="30"/>
      <c r="I645" s="31"/>
      <c r="J645" s="31"/>
      <c r="K645" s="29"/>
      <c r="L645" s="32"/>
      <c r="M645" s="29"/>
      <c r="N645" s="33"/>
      <c r="O645" s="32"/>
      <c r="P645" s="34"/>
      <c r="Q645" s="34"/>
      <c r="R645" s="34"/>
      <c r="S645" s="32"/>
      <c r="T645" s="32"/>
      <c r="U645" s="32"/>
      <c r="V645" s="32"/>
      <c r="W645" s="32"/>
    </row>
    <row r="646" spans="3:23" x14ac:dyDescent="0.25">
      <c r="C646" s="1"/>
      <c r="D646" s="29"/>
      <c r="E646" s="29"/>
      <c r="F646" s="29"/>
      <c r="G646" s="29"/>
      <c r="H646" s="30"/>
      <c r="I646" s="31"/>
      <c r="J646" s="31"/>
      <c r="K646" s="29"/>
      <c r="L646" s="32"/>
      <c r="M646" s="29"/>
      <c r="N646" s="33"/>
      <c r="O646" s="32"/>
      <c r="P646" s="34"/>
      <c r="Q646" s="34"/>
      <c r="R646" s="34"/>
      <c r="S646" s="32"/>
      <c r="T646" s="32"/>
      <c r="U646" s="32"/>
      <c r="V646" s="32"/>
      <c r="W646" s="32"/>
    </row>
    <row r="647" spans="3:23" x14ac:dyDescent="0.25">
      <c r="C647" s="1"/>
      <c r="D647" s="29"/>
      <c r="E647" s="29"/>
      <c r="F647" s="29"/>
      <c r="G647" s="29"/>
      <c r="H647" s="30"/>
      <c r="I647" s="31"/>
      <c r="J647" s="31"/>
      <c r="K647" s="29"/>
      <c r="L647" s="32"/>
      <c r="M647" s="29"/>
      <c r="N647" s="33"/>
      <c r="O647" s="32"/>
      <c r="P647" s="34"/>
      <c r="Q647" s="34"/>
      <c r="R647" s="34"/>
      <c r="S647" s="32"/>
      <c r="T647" s="32"/>
      <c r="U647" s="32"/>
      <c r="V647" s="32"/>
      <c r="W647" s="32"/>
    </row>
    <row r="648" spans="3:23" x14ac:dyDescent="0.25">
      <c r="C648" s="1"/>
      <c r="D648" s="29"/>
      <c r="E648" s="29"/>
      <c r="F648" s="29"/>
      <c r="G648" s="29"/>
      <c r="H648" s="30"/>
      <c r="I648" s="31"/>
      <c r="J648" s="31"/>
      <c r="K648" s="29"/>
      <c r="L648" s="32"/>
      <c r="M648" s="29"/>
      <c r="N648" s="33"/>
      <c r="O648" s="32"/>
      <c r="P648" s="34"/>
      <c r="Q648" s="34"/>
      <c r="R648" s="34"/>
      <c r="S648" s="32"/>
      <c r="T648" s="32"/>
      <c r="U648" s="32"/>
      <c r="V648" s="32"/>
      <c r="W648" s="32"/>
    </row>
    <row r="649" spans="3:23" x14ac:dyDescent="0.25">
      <c r="C649" s="1"/>
      <c r="D649" s="29"/>
      <c r="E649" s="29"/>
      <c r="F649" s="29"/>
      <c r="G649" s="29"/>
      <c r="H649" s="30"/>
      <c r="I649" s="31"/>
      <c r="J649" s="31"/>
      <c r="K649" s="29"/>
      <c r="L649" s="32"/>
      <c r="M649" s="29"/>
      <c r="N649" s="33"/>
      <c r="O649" s="32"/>
      <c r="P649" s="34"/>
      <c r="Q649" s="34"/>
      <c r="R649" s="34"/>
      <c r="S649" s="32"/>
      <c r="T649" s="32"/>
      <c r="U649" s="32"/>
      <c r="V649" s="32"/>
      <c r="W649" s="32"/>
    </row>
    <row r="650" spans="3:23" x14ac:dyDescent="0.25">
      <c r="C650" s="1"/>
      <c r="D650" s="29"/>
      <c r="E650" s="29"/>
      <c r="F650" s="29"/>
      <c r="G650" s="29"/>
      <c r="H650" s="30"/>
      <c r="I650" s="31"/>
      <c r="J650" s="31"/>
      <c r="K650" s="29"/>
      <c r="L650" s="32"/>
      <c r="M650" s="29"/>
      <c r="N650" s="33"/>
      <c r="O650" s="32"/>
      <c r="P650" s="34"/>
      <c r="Q650" s="34"/>
      <c r="R650" s="34"/>
      <c r="S650" s="32"/>
      <c r="T650" s="32"/>
      <c r="U650" s="32"/>
      <c r="V650" s="32"/>
      <c r="W650" s="32"/>
    </row>
    <row r="651" spans="3:23" x14ac:dyDescent="0.25">
      <c r="C651" s="1"/>
      <c r="D651" s="29"/>
      <c r="E651" s="29"/>
      <c r="F651" s="29"/>
      <c r="G651" s="29"/>
      <c r="H651" s="30"/>
      <c r="I651" s="31"/>
      <c r="J651" s="31"/>
      <c r="K651" s="29"/>
      <c r="L651" s="32"/>
      <c r="M651" s="29"/>
      <c r="N651" s="33"/>
      <c r="O651" s="32"/>
      <c r="P651" s="34"/>
      <c r="Q651" s="34"/>
      <c r="R651" s="34"/>
      <c r="S651" s="32"/>
      <c r="T651" s="32"/>
      <c r="U651" s="32"/>
      <c r="V651" s="32"/>
      <c r="W651" s="32"/>
    </row>
    <row r="652" spans="3:23" x14ac:dyDescent="0.25">
      <c r="C652" s="1"/>
      <c r="D652" s="29"/>
      <c r="E652" s="29"/>
      <c r="F652" s="29"/>
      <c r="G652" s="29"/>
      <c r="H652" s="30"/>
      <c r="I652" s="31"/>
      <c r="J652" s="31"/>
      <c r="K652" s="29"/>
      <c r="L652" s="32"/>
      <c r="M652" s="29"/>
      <c r="N652" s="33"/>
      <c r="O652" s="32"/>
      <c r="P652" s="34"/>
      <c r="Q652" s="34"/>
      <c r="R652" s="34"/>
      <c r="S652" s="32"/>
      <c r="T652" s="32"/>
      <c r="U652" s="32"/>
      <c r="V652" s="32"/>
      <c r="W652" s="32"/>
    </row>
    <row r="653" spans="3:23" x14ac:dyDescent="0.25">
      <c r="C653" s="1"/>
      <c r="D653" s="29"/>
      <c r="E653" s="29"/>
      <c r="F653" s="29"/>
      <c r="G653" s="29"/>
      <c r="H653" s="30"/>
      <c r="I653" s="31"/>
      <c r="J653" s="31"/>
      <c r="K653" s="29"/>
      <c r="L653" s="32"/>
      <c r="M653" s="29"/>
      <c r="N653" s="33"/>
      <c r="O653" s="32"/>
      <c r="P653" s="34"/>
      <c r="Q653" s="34"/>
      <c r="R653" s="34"/>
      <c r="S653" s="32"/>
      <c r="T653" s="32"/>
      <c r="U653" s="32"/>
      <c r="V653" s="32"/>
      <c r="W653" s="32"/>
    </row>
    <row r="654" spans="3:23" x14ac:dyDescent="0.25">
      <c r="C654" s="1"/>
      <c r="D654" s="29"/>
      <c r="E654" s="29"/>
      <c r="F654" s="29"/>
      <c r="G654" s="29"/>
      <c r="H654" s="30"/>
      <c r="I654" s="31"/>
      <c r="J654" s="31"/>
      <c r="K654" s="29"/>
      <c r="L654" s="32"/>
      <c r="M654" s="29"/>
      <c r="N654" s="33"/>
      <c r="O654" s="32"/>
      <c r="P654" s="34"/>
      <c r="Q654" s="34"/>
      <c r="R654" s="34"/>
      <c r="S654" s="32"/>
      <c r="T654" s="32"/>
      <c r="U654" s="32"/>
      <c r="V654" s="32"/>
      <c r="W654" s="32"/>
    </row>
    <row r="655" spans="3:23" x14ac:dyDescent="0.25">
      <c r="C655" s="1"/>
      <c r="D655" s="29"/>
      <c r="E655" s="29"/>
      <c r="F655" s="29"/>
      <c r="G655" s="29"/>
      <c r="H655" s="30"/>
      <c r="I655" s="31"/>
      <c r="J655" s="31"/>
      <c r="K655" s="29"/>
      <c r="L655" s="32"/>
      <c r="M655" s="29"/>
      <c r="N655" s="33"/>
      <c r="O655" s="32"/>
      <c r="P655" s="34"/>
      <c r="Q655" s="34"/>
      <c r="R655" s="34"/>
      <c r="S655" s="32"/>
      <c r="T655" s="32"/>
      <c r="U655" s="32"/>
      <c r="V655" s="32"/>
      <c r="W655" s="32"/>
    </row>
    <row r="656" spans="3:23" x14ac:dyDescent="0.25">
      <c r="C656" s="1"/>
      <c r="D656" s="29"/>
      <c r="E656" s="29"/>
      <c r="F656" s="29"/>
      <c r="G656" s="29"/>
      <c r="H656" s="30"/>
      <c r="I656" s="31"/>
      <c r="J656" s="31"/>
      <c r="K656" s="29"/>
      <c r="L656" s="32"/>
      <c r="M656" s="29"/>
      <c r="N656" s="33"/>
      <c r="O656" s="32"/>
      <c r="P656" s="34"/>
      <c r="Q656" s="34"/>
      <c r="R656" s="34"/>
      <c r="S656" s="32"/>
      <c r="T656" s="32"/>
      <c r="U656" s="32"/>
      <c r="V656" s="32"/>
      <c r="W656" s="32"/>
    </row>
    <row r="657" spans="3:23" x14ac:dyDescent="0.25">
      <c r="C657" s="1"/>
      <c r="D657" s="29"/>
      <c r="E657" s="29"/>
      <c r="F657" s="29"/>
      <c r="G657" s="29"/>
      <c r="H657" s="30"/>
      <c r="I657" s="31"/>
      <c r="J657" s="31"/>
      <c r="K657" s="29"/>
      <c r="L657" s="32"/>
      <c r="M657" s="29"/>
      <c r="N657" s="33"/>
      <c r="O657" s="32"/>
      <c r="P657" s="34"/>
      <c r="Q657" s="34"/>
      <c r="R657" s="34"/>
      <c r="S657" s="32"/>
      <c r="T657" s="32"/>
      <c r="U657" s="32"/>
      <c r="V657" s="32"/>
      <c r="W657" s="32"/>
    </row>
    <row r="658" spans="3:23" x14ac:dyDescent="0.25">
      <c r="C658" s="1"/>
      <c r="D658" s="29"/>
      <c r="E658" s="29"/>
      <c r="F658" s="29"/>
      <c r="G658" s="29"/>
      <c r="H658" s="30"/>
      <c r="I658" s="31"/>
      <c r="J658" s="31"/>
      <c r="K658" s="29"/>
      <c r="L658" s="32"/>
      <c r="M658" s="29"/>
      <c r="N658" s="33"/>
      <c r="O658" s="32"/>
      <c r="P658" s="34"/>
      <c r="Q658" s="34"/>
      <c r="R658" s="34"/>
      <c r="S658" s="32"/>
      <c r="T658" s="32"/>
      <c r="U658" s="32"/>
      <c r="V658" s="32"/>
      <c r="W658" s="32"/>
    </row>
    <row r="659" spans="3:23" x14ac:dyDescent="0.25">
      <c r="C659" s="1"/>
      <c r="D659" s="29"/>
      <c r="E659" s="29"/>
      <c r="F659" s="29"/>
      <c r="G659" s="29"/>
      <c r="H659" s="30"/>
      <c r="I659" s="31"/>
      <c r="J659" s="31"/>
      <c r="K659" s="29"/>
      <c r="L659" s="32"/>
      <c r="M659" s="29"/>
      <c r="N659" s="33"/>
      <c r="O659" s="32"/>
      <c r="P659" s="34"/>
      <c r="Q659" s="34"/>
      <c r="R659" s="34"/>
      <c r="S659" s="32"/>
      <c r="T659" s="32"/>
      <c r="U659" s="32"/>
      <c r="V659" s="32"/>
      <c r="W659" s="32"/>
    </row>
    <row r="660" spans="3:23" x14ac:dyDescent="0.25">
      <c r="C660" s="1"/>
      <c r="D660" s="29"/>
      <c r="E660" s="29"/>
      <c r="F660" s="29"/>
      <c r="G660" s="29"/>
      <c r="H660" s="30"/>
      <c r="I660" s="31"/>
      <c r="J660" s="31"/>
      <c r="K660" s="29"/>
      <c r="L660" s="32"/>
      <c r="M660" s="29"/>
      <c r="N660" s="33"/>
      <c r="O660" s="32"/>
      <c r="P660" s="34"/>
      <c r="Q660" s="34"/>
      <c r="R660" s="34"/>
      <c r="S660" s="32"/>
      <c r="T660" s="32"/>
      <c r="U660" s="32"/>
      <c r="V660" s="32"/>
      <c r="W660" s="32"/>
    </row>
    <row r="661" spans="3:23" x14ac:dyDescent="0.25">
      <c r="C661" s="1"/>
      <c r="D661" s="29"/>
      <c r="E661" s="29"/>
      <c r="F661" s="29"/>
      <c r="G661" s="29"/>
      <c r="H661" s="30"/>
      <c r="I661" s="31"/>
      <c r="J661" s="31"/>
      <c r="K661" s="29"/>
      <c r="L661" s="32"/>
      <c r="M661" s="29"/>
      <c r="N661" s="33"/>
      <c r="O661" s="32"/>
      <c r="P661" s="34"/>
      <c r="Q661" s="34"/>
      <c r="R661" s="34"/>
      <c r="S661" s="32"/>
      <c r="T661" s="32"/>
      <c r="U661" s="32"/>
      <c r="V661" s="32"/>
      <c r="W661" s="32"/>
    </row>
    <row r="662" spans="3:23" x14ac:dyDescent="0.25">
      <c r="C662" s="1"/>
      <c r="D662" s="29"/>
      <c r="E662" s="29"/>
      <c r="F662" s="29"/>
      <c r="G662" s="29"/>
      <c r="H662" s="30"/>
      <c r="I662" s="31"/>
      <c r="J662" s="31"/>
      <c r="K662" s="29"/>
      <c r="L662" s="32"/>
      <c r="M662" s="29"/>
      <c r="N662" s="33"/>
      <c r="O662" s="32"/>
      <c r="P662" s="34"/>
      <c r="Q662" s="34"/>
      <c r="R662" s="34"/>
      <c r="S662" s="32"/>
      <c r="T662" s="32"/>
      <c r="U662" s="32"/>
      <c r="V662" s="32"/>
      <c r="W662" s="32"/>
    </row>
    <row r="663" spans="3:23" x14ac:dyDescent="0.25">
      <c r="C663" s="1"/>
      <c r="D663" s="29"/>
      <c r="E663" s="29"/>
      <c r="F663" s="29"/>
      <c r="G663" s="29"/>
      <c r="H663" s="30"/>
      <c r="I663" s="31"/>
      <c r="J663" s="31"/>
      <c r="K663" s="29"/>
      <c r="L663" s="32"/>
      <c r="M663" s="29"/>
      <c r="N663" s="33"/>
      <c r="O663" s="32"/>
      <c r="P663" s="34"/>
      <c r="Q663" s="34"/>
      <c r="R663" s="34"/>
      <c r="S663" s="32"/>
      <c r="T663" s="32"/>
      <c r="U663" s="32"/>
      <c r="V663" s="32"/>
      <c r="W663" s="32"/>
    </row>
    <row r="664" spans="3:23" x14ac:dyDescent="0.25">
      <c r="C664" s="1"/>
      <c r="D664" s="29"/>
      <c r="E664" s="29"/>
      <c r="F664" s="29"/>
      <c r="G664" s="29"/>
      <c r="H664" s="30"/>
      <c r="I664" s="31"/>
      <c r="J664" s="31"/>
      <c r="K664" s="29"/>
      <c r="L664" s="32"/>
      <c r="M664" s="29"/>
      <c r="N664" s="33"/>
      <c r="O664" s="32"/>
      <c r="P664" s="34"/>
      <c r="Q664" s="34"/>
      <c r="R664" s="34"/>
      <c r="S664" s="32"/>
      <c r="T664" s="32"/>
      <c r="U664" s="32"/>
      <c r="V664" s="32"/>
      <c r="W664" s="32"/>
    </row>
    <row r="665" spans="3:23" x14ac:dyDescent="0.25">
      <c r="C665" s="1"/>
      <c r="D665" s="29"/>
      <c r="E665" s="29"/>
      <c r="F665" s="29"/>
      <c r="G665" s="29"/>
      <c r="H665" s="30"/>
      <c r="I665" s="31"/>
      <c r="J665" s="31"/>
      <c r="K665" s="29"/>
      <c r="L665" s="32"/>
      <c r="M665" s="29"/>
      <c r="N665" s="33"/>
      <c r="O665" s="32"/>
      <c r="P665" s="34"/>
      <c r="Q665" s="34"/>
      <c r="R665" s="34"/>
      <c r="S665" s="32"/>
      <c r="T665" s="32"/>
      <c r="U665" s="32"/>
      <c r="V665" s="32"/>
      <c r="W665" s="32"/>
    </row>
    <row r="666" spans="3:23" x14ac:dyDescent="0.25">
      <c r="C666" s="1"/>
      <c r="D666" s="29"/>
      <c r="E666" s="29"/>
      <c r="F666" s="29"/>
      <c r="G666" s="29"/>
      <c r="H666" s="30"/>
      <c r="I666" s="31"/>
      <c r="J666" s="31"/>
      <c r="K666" s="29"/>
      <c r="L666" s="32"/>
      <c r="M666" s="29"/>
      <c r="N666" s="33"/>
      <c r="O666" s="32"/>
      <c r="P666" s="34"/>
      <c r="Q666" s="34"/>
      <c r="R666" s="34"/>
      <c r="S666" s="32"/>
      <c r="T666" s="32"/>
      <c r="U666" s="32"/>
      <c r="V666" s="32"/>
      <c r="W666" s="32"/>
    </row>
    <row r="667" spans="3:23" x14ac:dyDescent="0.25">
      <c r="C667" s="1"/>
      <c r="D667" s="29"/>
      <c r="E667" s="29"/>
      <c r="F667" s="29"/>
      <c r="G667" s="29"/>
      <c r="H667" s="30"/>
      <c r="I667" s="31"/>
      <c r="J667" s="31"/>
      <c r="K667" s="29"/>
      <c r="L667" s="32"/>
      <c r="M667" s="29"/>
      <c r="N667" s="33"/>
      <c r="O667" s="32"/>
      <c r="P667" s="34"/>
      <c r="Q667" s="34"/>
      <c r="R667" s="34"/>
      <c r="S667" s="32"/>
      <c r="T667" s="32"/>
      <c r="U667" s="32"/>
      <c r="V667" s="32"/>
      <c r="W667" s="32"/>
    </row>
    <row r="668" spans="3:23" x14ac:dyDescent="0.25">
      <c r="C668" s="1"/>
      <c r="D668" s="29"/>
      <c r="E668" s="29"/>
      <c r="F668" s="29"/>
      <c r="G668" s="29"/>
      <c r="H668" s="30"/>
      <c r="I668" s="31"/>
      <c r="J668" s="31"/>
      <c r="K668" s="29"/>
      <c r="L668" s="32"/>
      <c r="M668" s="29"/>
      <c r="N668" s="33"/>
      <c r="O668" s="32"/>
      <c r="P668" s="34"/>
      <c r="Q668" s="34"/>
      <c r="R668" s="34"/>
      <c r="S668" s="32"/>
      <c r="T668" s="32"/>
      <c r="U668" s="32"/>
      <c r="V668" s="32"/>
      <c r="W668" s="32"/>
    </row>
    <row r="669" spans="3:23" x14ac:dyDescent="0.25">
      <c r="C669" s="1"/>
      <c r="D669" s="29"/>
      <c r="E669" s="29"/>
      <c r="F669" s="29"/>
      <c r="G669" s="29"/>
      <c r="H669" s="30"/>
      <c r="I669" s="31"/>
      <c r="J669" s="31"/>
      <c r="K669" s="29"/>
      <c r="L669" s="32"/>
      <c r="M669" s="29"/>
      <c r="N669" s="33"/>
      <c r="O669" s="32"/>
      <c r="P669" s="34"/>
      <c r="Q669" s="34"/>
      <c r="R669" s="34"/>
      <c r="S669" s="32"/>
      <c r="T669" s="32"/>
      <c r="U669" s="32"/>
      <c r="V669" s="32"/>
      <c r="W669" s="32"/>
    </row>
    <row r="670" spans="3:23" x14ac:dyDescent="0.25">
      <c r="C670" s="1"/>
      <c r="D670" s="29"/>
      <c r="E670" s="29"/>
      <c r="F670" s="29"/>
      <c r="G670" s="29"/>
      <c r="H670" s="30"/>
      <c r="I670" s="31"/>
      <c r="J670" s="31"/>
      <c r="K670" s="29"/>
      <c r="L670" s="32"/>
      <c r="M670" s="29"/>
      <c r="N670" s="33"/>
      <c r="O670" s="32"/>
      <c r="P670" s="34"/>
      <c r="Q670" s="34"/>
      <c r="R670" s="34"/>
      <c r="S670" s="32"/>
      <c r="T670" s="32"/>
      <c r="U670" s="32"/>
      <c r="V670" s="32"/>
      <c r="W670" s="32"/>
    </row>
    <row r="671" spans="3:23" x14ac:dyDescent="0.25">
      <c r="C671" s="1"/>
      <c r="D671" s="29"/>
      <c r="E671" s="29"/>
      <c r="F671" s="29"/>
      <c r="G671" s="29"/>
      <c r="H671" s="30"/>
      <c r="I671" s="31"/>
      <c r="J671" s="31"/>
      <c r="K671" s="29"/>
      <c r="L671" s="32"/>
      <c r="M671" s="29"/>
      <c r="N671" s="33"/>
      <c r="O671" s="32"/>
      <c r="P671" s="34"/>
      <c r="Q671" s="34"/>
      <c r="R671" s="34"/>
      <c r="S671" s="32"/>
      <c r="T671" s="32"/>
      <c r="U671" s="32"/>
      <c r="V671" s="32"/>
      <c r="W671" s="32"/>
    </row>
    <row r="672" spans="3:23" x14ac:dyDescent="0.25">
      <c r="C672" s="1"/>
      <c r="D672" s="29"/>
      <c r="E672" s="29"/>
      <c r="F672" s="29"/>
      <c r="G672" s="29"/>
      <c r="H672" s="30"/>
      <c r="I672" s="31"/>
      <c r="J672" s="31"/>
      <c r="K672" s="29"/>
      <c r="L672" s="32"/>
      <c r="M672" s="29"/>
      <c r="N672" s="33"/>
      <c r="O672" s="32"/>
      <c r="P672" s="34"/>
      <c r="Q672" s="34"/>
      <c r="R672" s="34"/>
      <c r="S672" s="32"/>
      <c r="T672" s="32"/>
      <c r="U672" s="32"/>
      <c r="V672" s="32"/>
      <c r="W672" s="32"/>
    </row>
    <row r="673" spans="3:23" x14ac:dyDescent="0.25">
      <c r="C673" s="1"/>
      <c r="D673" s="29"/>
      <c r="E673" s="29"/>
      <c r="F673" s="29"/>
      <c r="G673" s="29"/>
      <c r="H673" s="30"/>
      <c r="I673" s="31"/>
      <c r="J673" s="31"/>
      <c r="K673" s="29"/>
      <c r="L673" s="32"/>
      <c r="M673" s="29"/>
      <c r="N673" s="33"/>
      <c r="O673" s="32"/>
      <c r="P673" s="34"/>
      <c r="Q673" s="34"/>
      <c r="R673" s="34"/>
      <c r="S673" s="32"/>
      <c r="T673" s="32"/>
      <c r="U673" s="32"/>
      <c r="V673" s="32"/>
      <c r="W673" s="32"/>
    </row>
    <row r="674" spans="3:23" x14ac:dyDescent="0.25">
      <c r="C674" s="1"/>
      <c r="D674" s="29"/>
      <c r="E674" s="29"/>
      <c r="F674" s="29"/>
      <c r="G674" s="29"/>
      <c r="H674" s="30"/>
      <c r="I674" s="31"/>
      <c r="J674" s="31"/>
      <c r="K674" s="29"/>
      <c r="L674" s="32"/>
      <c r="M674" s="29"/>
      <c r="N674" s="33"/>
      <c r="O674" s="32"/>
      <c r="P674" s="34"/>
      <c r="Q674" s="34"/>
      <c r="R674" s="34"/>
      <c r="S674" s="32"/>
      <c r="T674" s="32"/>
      <c r="U674" s="32"/>
      <c r="V674" s="32"/>
      <c r="W674" s="32"/>
    </row>
    <row r="675" spans="3:23" x14ac:dyDescent="0.25">
      <c r="C675" s="1"/>
      <c r="D675" s="29"/>
      <c r="E675" s="29"/>
      <c r="F675" s="29"/>
      <c r="G675" s="29"/>
      <c r="H675" s="30"/>
      <c r="I675" s="31"/>
      <c r="J675" s="31"/>
      <c r="K675" s="29"/>
      <c r="L675" s="32"/>
      <c r="M675" s="29"/>
      <c r="N675" s="33"/>
      <c r="O675" s="32"/>
      <c r="P675" s="34"/>
      <c r="Q675" s="34"/>
      <c r="R675" s="34"/>
      <c r="S675" s="32"/>
      <c r="T675" s="32"/>
      <c r="U675" s="32"/>
      <c r="V675" s="32"/>
      <c r="W675" s="32"/>
    </row>
    <row r="676" spans="3:23" x14ac:dyDescent="0.25">
      <c r="C676" s="1"/>
      <c r="D676" s="29"/>
      <c r="E676" s="29"/>
      <c r="F676" s="29"/>
      <c r="G676" s="29"/>
      <c r="H676" s="30"/>
      <c r="I676" s="31"/>
      <c r="J676" s="31"/>
      <c r="K676" s="29"/>
      <c r="L676" s="32"/>
      <c r="M676" s="29"/>
      <c r="N676" s="33"/>
      <c r="O676" s="32"/>
      <c r="P676" s="34"/>
      <c r="Q676" s="34"/>
      <c r="R676" s="34"/>
      <c r="S676" s="32"/>
      <c r="T676" s="32"/>
      <c r="U676" s="32"/>
      <c r="V676" s="32"/>
      <c r="W676" s="32"/>
    </row>
    <row r="677" spans="3:23" x14ac:dyDescent="0.25">
      <c r="C677" s="1"/>
      <c r="D677" s="29"/>
      <c r="E677" s="29"/>
      <c r="F677" s="29"/>
      <c r="G677" s="29"/>
      <c r="H677" s="30"/>
      <c r="I677" s="31"/>
      <c r="J677" s="31"/>
      <c r="K677" s="29"/>
      <c r="L677" s="32"/>
      <c r="M677" s="29"/>
      <c r="N677" s="33"/>
      <c r="O677" s="32"/>
      <c r="P677" s="34"/>
      <c r="Q677" s="34"/>
      <c r="R677" s="34"/>
      <c r="S677" s="32"/>
      <c r="T677" s="32"/>
      <c r="U677" s="32"/>
      <c r="V677" s="32"/>
      <c r="W677" s="32"/>
    </row>
    <row r="678" spans="3:23" x14ac:dyDescent="0.25">
      <c r="C678" s="1"/>
      <c r="D678" s="29"/>
      <c r="E678" s="29"/>
      <c r="F678" s="29"/>
      <c r="G678" s="29"/>
      <c r="H678" s="30"/>
      <c r="I678" s="31"/>
      <c r="J678" s="31"/>
      <c r="K678" s="29"/>
      <c r="L678" s="32"/>
      <c r="M678" s="29"/>
      <c r="N678" s="33"/>
      <c r="O678" s="32"/>
      <c r="P678" s="34"/>
      <c r="Q678" s="34"/>
      <c r="R678" s="34"/>
      <c r="S678" s="32"/>
      <c r="T678" s="32"/>
      <c r="U678" s="32"/>
      <c r="V678" s="32"/>
      <c r="W678" s="32"/>
    </row>
    <row r="679" spans="3:23" x14ac:dyDescent="0.25">
      <c r="C679" s="1"/>
      <c r="D679" s="29"/>
      <c r="E679" s="29"/>
      <c r="F679" s="29"/>
      <c r="G679" s="29"/>
      <c r="H679" s="30"/>
      <c r="I679" s="31"/>
      <c r="J679" s="31"/>
      <c r="K679" s="29"/>
      <c r="L679" s="32"/>
      <c r="M679" s="29"/>
      <c r="N679" s="33"/>
      <c r="O679" s="32"/>
      <c r="P679" s="34"/>
      <c r="Q679" s="34"/>
      <c r="R679" s="34"/>
      <c r="S679" s="32"/>
      <c r="T679" s="32"/>
      <c r="U679" s="32"/>
      <c r="V679" s="32"/>
      <c r="W679" s="32"/>
    </row>
    <row r="680" spans="3:23" x14ac:dyDescent="0.25">
      <c r="C680" s="1"/>
      <c r="D680" s="29"/>
      <c r="E680" s="29"/>
      <c r="F680" s="29"/>
      <c r="G680" s="29"/>
      <c r="H680" s="30"/>
      <c r="I680" s="31"/>
      <c r="J680" s="31"/>
      <c r="K680" s="29"/>
      <c r="L680" s="32"/>
      <c r="M680" s="29"/>
      <c r="N680" s="33"/>
      <c r="O680" s="32"/>
      <c r="P680" s="34"/>
      <c r="Q680" s="34"/>
      <c r="R680" s="34"/>
      <c r="S680" s="32"/>
      <c r="T680" s="32"/>
      <c r="U680" s="32"/>
      <c r="V680" s="32"/>
      <c r="W680" s="32"/>
    </row>
    <row r="681" spans="3:23" x14ac:dyDescent="0.25">
      <c r="C681" s="1"/>
      <c r="D681" s="29"/>
      <c r="E681" s="29"/>
      <c r="F681" s="29"/>
      <c r="G681" s="29"/>
      <c r="H681" s="30"/>
      <c r="I681" s="31"/>
      <c r="J681" s="31"/>
      <c r="K681" s="29"/>
      <c r="L681" s="32"/>
      <c r="M681" s="29"/>
      <c r="N681" s="33"/>
      <c r="O681" s="32"/>
      <c r="P681" s="34"/>
      <c r="Q681" s="34"/>
      <c r="R681" s="34"/>
      <c r="S681" s="32"/>
      <c r="T681" s="32"/>
      <c r="U681" s="32"/>
      <c r="V681" s="32"/>
      <c r="W681" s="32"/>
    </row>
    <row r="682" spans="3:23" x14ac:dyDescent="0.25">
      <c r="C682" s="1"/>
      <c r="D682" s="29"/>
      <c r="E682" s="29"/>
      <c r="F682" s="29"/>
      <c r="G682" s="29"/>
      <c r="H682" s="30"/>
      <c r="I682" s="31"/>
      <c r="J682" s="31"/>
      <c r="K682" s="29"/>
      <c r="L682" s="32"/>
      <c r="M682" s="29"/>
      <c r="N682" s="33"/>
      <c r="O682" s="32"/>
      <c r="P682" s="34"/>
      <c r="Q682" s="34"/>
      <c r="R682" s="34"/>
      <c r="S682" s="32"/>
      <c r="T682" s="32"/>
      <c r="U682" s="32"/>
      <c r="V682" s="32"/>
      <c r="W682" s="32"/>
    </row>
    <row r="683" spans="3:23" x14ac:dyDescent="0.25">
      <c r="C683" s="1"/>
      <c r="D683" s="29"/>
      <c r="E683" s="29"/>
      <c r="F683" s="29"/>
      <c r="G683" s="29"/>
      <c r="H683" s="30"/>
      <c r="I683" s="31"/>
      <c r="J683" s="31"/>
      <c r="K683" s="29"/>
      <c r="L683" s="32"/>
      <c r="M683" s="29"/>
      <c r="N683" s="33"/>
      <c r="O683" s="32"/>
      <c r="P683" s="34"/>
      <c r="Q683" s="34"/>
      <c r="R683" s="34"/>
      <c r="S683" s="32"/>
      <c r="T683" s="32"/>
      <c r="U683" s="32"/>
      <c r="V683" s="32"/>
      <c r="W683" s="32"/>
    </row>
    <row r="684" spans="3:23" x14ac:dyDescent="0.25">
      <c r="C684" s="1"/>
      <c r="D684" s="29"/>
      <c r="E684" s="29"/>
      <c r="F684" s="29"/>
      <c r="G684" s="29"/>
      <c r="H684" s="30"/>
      <c r="I684" s="31"/>
      <c r="J684" s="31"/>
      <c r="K684" s="29"/>
      <c r="L684" s="32"/>
      <c r="M684" s="29"/>
      <c r="N684" s="33"/>
      <c r="O684" s="32"/>
      <c r="P684" s="34"/>
      <c r="Q684" s="34"/>
      <c r="R684" s="34"/>
      <c r="S684" s="32"/>
      <c r="T684" s="32"/>
      <c r="U684" s="32"/>
      <c r="V684" s="32"/>
      <c r="W684" s="32"/>
    </row>
    <row r="685" spans="3:23" x14ac:dyDescent="0.25">
      <c r="C685" s="1"/>
      <c r="D685" s="29"/>
      <c r="E685" s="29"/>
      <c r="F685" s="29"/>
      <c r="G685" s="29"/>
      <c r="H685" s="30"/>
      <c r="I685" s="31"/>
      <c r="J685" s="31"/>
      <c r="K685" s="29"/>
      <c r="L685" s="32"/>
      <c r="M685" s="29"/>
      <c r="N685" s="33"/>
      <c r="O685" s="32"/>
      <c r="P685" s="34"/>
      <c r="Q685" s="34"/>
      <c r="R685" s="34"/>
      <c r="S685" s="32"/>
      <c r="T685" s="32"/>
      <c r="U685" s="32"/>
      <c r="V685" s="32"/>
      <c r="W685" s="32"/>
    </row>
    <row r="686" spans="3:23" x14ac:dyDescent="0.25">
      <c r="C686" s="1"/>
      <c r="D686" s="29"/>
      <c r="E686" s="29"/>
      <c r="F686" s="29"/>
      <c r="G686" s="29"/>
      <c r="H686" s="30"/>
      <c r="I686" s="31"/>
      <c r="J686" s="31"/>
      <c r="K686" s="29"/>
      <c r="L686" s="32"/>
      <c r="M686" s="29"/>
      <c r="N686" s="33"/>
      <c r="O686" s="32"/>
      <c r="P686" s="34"/>
      <c r="Q686" s="34"/>
      <c r="R686" s="34"/>
      <c r="S686" s="32"/>
      <c r="T686" s="32"/>
      <c r="U686" s="32"/>
      <c r="V686" s="32"/>
      <c r="W686" s="32"/>
    </row>
    <row r="687" spans="3:23" x14ac:dyDescent="0.25">
      <c r="C687" s="1"/>
      <c r="D687" s="29"/>
      <c r="E687" s="29"/>
      <c r="F687" s="29"/>
      <c r="G687" s="29"/>
      <c r="H687" s="30"/>
      <c r="I687" s="31"/>
      <c r="J687" s="31"/>
      <c r="K687" s="29"/>
      <c r="L687" s="32"/>
      <c r="M687" s="29"/>
      <c r="N687" s="33"/>
      <c r="O687" s="32"/>
      <c r="P687" s="34"/>
      <c r="Q687" s="34"/>
      <c r="R687" s="34"/>
      <c r="S687" s="32"/>
      <c r="T687" s="32"/>
      <c r="U687" s="32"/>
      <c r="V687" s="32"/>
      <c r="W687" s="32"/>
    </row>
    <row r="688" spans="3:23" x14ac:dyDescent="0.25">
      <c r="C688" s="1"/>
      <c r="D688" s="29"/>
      <c r="E688" s="29"/>
      <c r="F688" s="29"/>
      <c r="G688" s="29"/>
      <c r="H688" s="30"/>
      <c r="I688" s="31"/>
      <c r="J688" s="31"/>
      <c r="K688" s="29"/>
      <c r="L688" s="32"/>
      <c r="M688" s="29"/>
      <c r="N688" s="33"/>
      <c r="O688" s="32"/>
      <c r="P688" s="34"/>
      <c r="Q688" s="34"/>
      <c r="R688" s="34"/>
      <c r="S688" s="32"/>
      <c r="T688" s="32"/>
      <c r="U688" s="32"/>
      <c r="V688" s="32"/>
      <c r="W688" s="32"/>
    </row>
    <row r="689" spans="3:23" x14ac:dyDescent="0.25">
      <c r="C689" s="1"/>
      <c r="D689" s="29"/>
      <c r="E689" s="29"/>
      <c r="F689" s="29"/>
      <c r="G689" s="29"/>
      <c r="H689" s="30"/>
      <c r="I689" s="31"/>
      <c r="J689" s="31"/>
      <c r="K689" s="29"/>
      <c r="L689" s="32"/>
      <c r="M689" s="29"/>
      <c r="N689" s="33"/>
      <c r="O689" s="32"/>
      <c r="P689" s="34"/>
      <c r="Q689" s="34"/>
      <c r="R689" s="34"/>
      <c r="S689" s="32"/>
      <c r="T689" s="32"/>
      <c r="U689" s="32"/>
      <c r="V689" s="32"/>
      <c r="W689" s="32"/>
    </row>
    <row r="690" spans="3:23" x14ac:dyDescent="0.25">
      <c r="C690" s="1"/>
      <c r="D690" s="29"/>
      <c r="E690" s="29"/>
      <c r="F690" s="29"/>
      <c r="G690" s="29"/>
      <c r="H690" s="30"/>
      <c r="I690" s="31"/>
      <c r="J690" s="31"/>
      <c r="K690" s="29"/>
      <c r="L690" s="32"/>
      <c r="M690" s="29"/>
      <c r="N690" s="33"/>
      <c r="O690" s="32"/>
      <c r="P690" s="34"/>
      <c r="Q690" s="34"/>
      <c r="R690" s="34"/>
      <c r="S690" s="32"/>
      <c r="T690" s="32"/>
      <c r="U690" s="32"/>
      <c r="V690" s="32"/>
      <c r="W690" s="32"/>
    </row>
    <row r="691" spans="3:23" x14ac:dyDescent="0.25">
      <c r="C691" s="1"/>
      <c r="D691" s="29"/>
      <c r="E691" s="29"/>
      <c r="F691" s="29"/>
      <c r="G691" s="29"/>
      <c r="H691" s="30"/>
      <c r="I691" s="31"/>
      <c r="J691" s="31"/>
      <c r="K691" s="29"/>
      <c r="L691" s="32"/>
      <c r="M691" s="29"/>
      <c r="N691" s="33"/>
      <c r="O691" s="32"/>
      <c r="P691" s="34"/>
      <c r="Q691" s="34"/>
      <c r="R691" s="34"/>
      <c r="S691" s="32"/>
      <c r="T691" s="32"/>
      <c r="U691" s="32"/>
      <c r="V691" s="32"/>
      <c r="W691" s="32"/>
    </row>
    <row r="692" spans="3:23" x14ac:dyDescent="0.25">
      <c r="C692" s="1"/>
      <c r="D692" s="29"/>
      <c r="E692" s="29"/>
      <c r="F692" s="29"/>
      <c r="G692" s="29"/>
      <c r="H692" s="30"/>
      <c r="I692" s="31"/>
      <c r="J692" s="31"/>
      <c r="K692" s="29"/>
      <c r="L692" s="32"/>
      <c r="M692" s="29"/>
      <c r="N692" s="33"/>
      <c r="O692" s="32"/>
      <c r="P692" s="34"/>
      <c r="Q692" s="34"/>
      <c r="R692" s="34"/>
      <c r="S692" s="32"/>
      <c r="T692" s="32"/>
      <c r="U692" s="32"/>
      <c r="V692" s="32"/>
      <c r="W692" s="32"/>
    </row>
    <row r="693" spans="3:23" x14ac:dyDescent="0.25">
      <c r="C693" s="1"/>
      <c r="D693" s="29"/>
      <c r="E693" s="29"/>
      <c r="F693" s="29"/>
      <c r="G693" s="29"/>
      <c r="H693" s="30"/>
      <c r="I693" s="31"/>
      <c r="J693" s="31"/>
      <c r="K693" s="29"/>
      <c r="L693" s="32"/>
      <c r="M693" s="29"/>
      <c r="N693" s="33"/>
      <c r="O693" s="32"/>
      <c r="P693" s="34"/>
      <c r="Q693" s="34"/>
      <c r="R693" s="34"/>
      <c r="S693" s="32"/>
      <c r="T693" s="32"/>
      <c r="U693" s="32"/>
      <c r="V693" s="32"/>
      <c r="W693" s="32"/>
    </row>
    <row r="694" spans="3:23" x14ac:dyDescent="0.25">
      <c r="C694" s="1"/>
      <c r="D694" s="29"/>
      <c r="E694" s="29"/>
      <c r="F694" s="29"/>
      <c r="G694" s="29"/>
      <c r="H694" s="30"/>
      <c r="I694" s="31"/>
      <c r="J694" s="31"/>
      <c r="K694" s="29"/>
      <c r="L694" s="32"/>
      <c r="M694" s="29"/>
      <c r="N694" s="33"/>
      <c r="O694" s="32"/>
      <c r="P694" s="34"/>
      <c r="Q694" s="34"/>
      <c r="R694" s="34"/>
      <c r="S694" s="32"/>
      <c r="T694" s="32"/>
      <c r="U694" s="32"/>
      <c r="V694" s="32"/>
      <c r="W694" s="32"/>
    </row>
    <row r="695" spans="3:23" x14ac:dyDescent="0.25">
      <c r="C695" s="1"/>
      <c r="D695" s="29"/>
      <c r="E695" s="29"/>
      <c r="F695" s="29"/>
      <c r="G695" s="29"/>
      <c r="H695" s="30"/>
      <c r="I695" s="31"/>
      <c r="J695" s="31"/>
      <c r="K695" s="29"/>
      <c r="L695" s="32"/>
      <c r="M695" s="29"/>
      <c r="N695" s="33"/>
      <c r="O695" s="32"/>
      <c r="P695" s="34"/>
      <c r="Q695" s="34"/>
      <c r="R695" s="34"/>
      <c r="S695" s="32"/>
      <c r="T695" s="32"/>
      <c r="U695" s="32"/>
      <c r="V695" s="32"/>
      <c r="W695" s="32"/>
    </row>
    <row r="696" spans="3:23" x14ac:dyDescent="0.25">
      <c r="C696" s="1"/>
      <c r="D696" s="29"/>
      <c r="E696" s="29"/>
      <c r="F696" s="29"/>
      <c r="G696" s="29"/>
      <c r="H696" s="30"/>
      <c r="I696" s="31"/>
      <c r="J696" s="31"/>
      <c r="K696" s="29"/>
      <c r="L696" s="32"/>
      <c r="M696" s="29"/>
      <c r="N696" s="33"/>
      <c r="O696" s="32"/>
      <c r="P696" s="34"/>
      <c r="Q696" s="34"/>
      <c r="R696" s="34"/>
      <c r="S696" s="32"/>
      <c r="T696" s="32"/>
      <c r="U696" s="32"/>
      <c r="V696" s="32"/>
      <c r="W696" s="32"/>
    </row>
    <row r="697" spans="3:23" x14ac:dyDescent="0.25">
      <c r="C697" s="1"/>
      <c r="D697" s="29"/>
      <c r="E697" s="29"/>
      <c r="F697" s="29"/>
      <c r="G697" s="29"/>
      <c r="H697" s="30"/>
      <c r="I697" s="31"/>
      <c r="J697" s="31"/>
      <c r="K697" s="29"/>
      <c r="L697" s="32"/>
      <c r="M697" s="29"/>
      <c r="N697" s="33"/>
      <c r="O697" s="32"/>
      <c r="P697" s="34"/>
      <c r="Q697" s="34"/>
      <c r="R697" s="34"/>
      <c r="S697" s="32"/>
      <c r="T697" s="32"/>
      <c r="U697" s="32"/>
      <c r="V697" s="32"/>
      <c r="W697" s="32"/>
    </row>
    <row r="698" spans="3:23" x14ac:dyDescent="0.25">
      <c r="C698" s="1"/>
      <c r="D698" s="29"/>
      <c r="E698" s="29"/>
      <c r="F698" s="29"/>
      <c r="G698" s="29"/>
      <c r="H698" s="30"/>
      <c r="I698" s="31"/>
      <c r="J698" s="31"/>
      <c r="K698" s="29"/>
      <c r="L698" s="32"/>
      <c r="M698" s="29"/>
      <c r="N698" s="33"/>
      <c r="O698" s="32"/>
      <c r="P698" s="34"/>
      <c r="Q698" s="34"/>
      <c r="R698" s="34"/>
      <c r="S698" s="32"/>
      <c r="T698" s="32"/>
      <c r="U698" s="32"/>
      <c r="V698" s="32"/>
      <c r="W698" s="32"/>
    </row>
    <row r="699" spans="3:23" x14ac:dyDescent="0.25">
      <c r="C699" s="1"/>
      <c r="D699" s="29"/>
      <c r="E699" s="29"/>
      <c r="F699" s="29"/>
      <c r="G699" s="29"/>
      <c r="H699" s="30"/>
      <c r="I699" s="31"/>
      <c r="J699" s="31"/>
      <c r="K699" s="29"/>
      <c r="L699" s="32"/>
      <c r="M699" s="29"/>
      <c r="N699" s="33"/>
      <c r="O699" s="32"/>
      <c r="P699" s="34"/>
      <c r="Q699" s="34"/>
      <c r="R699" s="34"/>
      <c r="S699" s="32"/>
      <c r="T699" s="32"/>
      <c r="U699" s="32"/>
      <c r="V699" s="32"/>
      <c r="W699" s="32"/>
    </row>
    <row r="700" spans="3:23" x14ac:dyDescent="0.25">
      <c r="C700" s="1"/>
      <c r="D700" s="29"/>
      <c r="E700" s="29"/>
      <c r="F700" s="29"/>
      <c r="G700" s="29"/>
      <c r="H700" s="30"/>
      <c r="I700" s="31"/>
      <c r="J700" s="31"/>
      <c r="K700" s="29"/>
      <c r="L700" s="32"/>
      <c r="M700" s="29"/>
      <c r="N700" s="33"/>
      <c r="O700" s="32"/>
      <c r="P700" s="34"/>
      <c r="Q700" s="34"/>
      <c r="R700" s="34"/>
      <c r="S700" s="32"/>
      <c r="T700" s="32"/>
      <c r="U700" s="32"/>
      <c r="V700" s="32"/>
      <c r="W700" s="32"/>
    </row>
    <row r="701" spans="3:23" x14ac:dyDescent="0.25">
      <c r="C701" s="1"/>
      <c r="D701" s="29"/>
      <c r="E701" s="29"/>
      <c r="F701" s="29"/>
      <c r="G701" s="29"/>
      <c r="H701" s="30"/>
      <c r="I701" s="31"/>
      <c r="J701" s="31"/>
      <c r="K701" s="29"/>
      <c r="L701" s="32"/>
      <c r="M701" s="29"/>
      <c r="N701" s="33"/>
      <c r="O701" s="32"/>
      <c r="P701" s="34"/>
      <c r="Q701" s="34"/>
      <c r="R701" s="34"/>
      <c r="S701" s="32"/>
      <c r="T701" s="32"/>
      <c r="U701" s="32"/>
      <c r="V701" s="32"/>
      <c r="W701" s="32"/>
    </row>
    <row r="702" spans="3:23" x14ac:dyDescent="0.25">
      <c r="C702" s="1"/>
      <c r="D702" s="29"/>
      <c r="E702" s="29"/>
      <c r="F702" s="29"/>
      <c r="G702" s="29"/>
      <c r="H702" s="30"/>
      <c r="I702" s="31"/>
      <c r="J702" s="31"/>
      <c r="K702" s="29"/>
      <c r="L702" s="32"/>
      <c r="M702" s="29"/>
      <c r="N702" s="33"/>
      <c r="O702" s="32"/>
      <c r="P702" s="34"/>
      <c r="Q702" s="34"/>
      <c r="R702" s="34"/>
      <c r="S702" s="32"/>
      <c r="T702" s="32"/>
      <c r="U702" s="32"/>
      <c r="V702" s="32"/>
      <c r="W702" s="32"/>
    </row>
    <row r="703" spans="3:23" x14ac:dyDescent="0.25">
      <c r="C703" s="1"/>
      <c r="D703" s="29"/>
      <c r="E703" s="29"/>
      <c r="F703" s="29"/>
      <c r="G703" s="29"/>
      <c r="H703" s="30"/>
      <c r="I703" s="31"/>
      <c r="J703" s="31"/>
      <c r="K703" s="29"/>
      <c r="L703" s="32"/>
      <c r="M703" s="29"/>
      <c r="N703" s="33"/>
      <c r="O703" s="32"/>
      <c r="P703" s="34"/>
      <c r="Q703" s="34"/>
      <c r="R703" s="34"/>
      <c r="S703" s="32"/>
      <c r="T703" s="32"/>
      <c r="U703" s="32"/>
      <c r="V703" s="32"/>
      <c r="W703" s="32"/>
    </row>
    <row r="704" spans="3:23" x14ac:dyDescent="0.25">
      <c r="C704" s="1"/>
      <c r="D704" s="29"/>
      <c r="E704" s="29"/>
      <c r="F704" s="29"/>
      <c r="G704" s="29"/>
      <c r="H704" s="30"/>
      <c r="I704" s="31"/>
      <c r="J704" s="31"/>
      <c r="K704" s="29"/>
      <c r="L704" s="32"/>
      <c r="M704" s="29"/>
      <c r="N704" s="33"/>
      <c r="O704" s="32"/>
      <c r="P704" s="34"/>
      <c r="Q704" s="34"/>
      <c r="R704" s="34"/>
      <c r="S704" s="32"/>
      <c r="T704" s="32"/>
      <c r="U704" s="32"/>
      <c r="V704" s="32"/>
      <c r="W704" s="32"/>
    </row>
    <row r="705" spans="3:23" x14ac:dyDescent="0.25">
      <c r="C705" s="1"/>
      <c r="D705" s="29"/>
      <c r="E705" s="29"/>
      <c r="F705" s="29"/>
      <c r="G705" s="29"/>
      <c r="H705" s="30"/>
      <c r="I705" s="31"/>
      <c r="J705" s="31"/>
      <c r="K705" s="29"/>
      <c r="L705" s="32"/>
      <c r="M705" s="29"/>
      <c r="N705" s="33"/>
      <c r="O705" s="32"/>
      <c r="P705" s="34"/>
      <c r="Q705" s="34"/>
      <c r="R705" s="34"/>
      <c r="S705" s="32"/>
      <c r="T705" s="32"/>
      <c r="U705" s="32"/>
      <c r="V705" s="32"/>
      <c r="W705" s="32"/>
    </row>
    <row r="706" spans="3:23" x14ac:dyDescent="0.25">
      <c r="C706" s="1"/>
      <c r="D706" s="29"/>
      <c r="E706" s="29"/>
      <c r="F706" s="29"/>
      <c r="G706" s="29"/>
      <c r="H706" s="30"/>
      <c r="I706" s="31"/>
      <c r="J706" s="31"/>
      <c r="K706" s="29"/>
      <c r="L706" s="32"/>
      <c r="M706" s="29"/>
      <c r="N706" s="33"/>
      <c r="O706" s="32"/>
      <c r="P706" s="34"/>
      <c r="Q706" s="34"/>
      <c r="R706" s="34"/>
      <c r="S706" s="32"/>
      <c r="T706" s="32"/>
      <c r="U706" s="32"/>
      <c r="V706" s="32"/>
      <c r="W706" s="32"/>
    </row>
    <row r="707" spans="3:23" x14ac:dyDescent="0.25">
      <c r="C707" s="1"/>
      <c r="D707" s="29"/>
      <c r="E707" s="29"/>
      <c r="F707" s="29"/>
      <c r="G707" s="29"/>
      <c r="H707" s="30"/>
      <c r="I707" s="31"/>
      <c r="J707" s="31"/>
      <c r="K707" s="29"/>
      <c r="L707" s="32"/>
      <c r="M707" s="29"/>
      <c r="N707" s="33"/>
      <c r="O707" s="32"/>
      <c r="P707" s="34"/>
      <c r="Q707" s="34"/>
      <c r="R707" s="34"/>
      <c r="S707" s="32"/>
      <c r="T707" s="32"/>
      <c r="U707" s="32"/>
      <c r="V707" s="32"/>
      <c r="W707" s="32"/>
    </row>
    <row r="708" spans="3:23" x14ac:dyDescent="0.25">
      <c r="C708" s="1"/>
      <c r="D708" s="29"/>
      <c r="E708" s="29"/>
      <c r="F708" s="29"/>
      <c r="G708" s="29"/>
      <c r="H708" s="30"/>
      <c r="I708" s="31"/>
      <c r="J708" s="31"/>
      <c r="K708" s="29"/>
      <c r="L708" s="32"/>
      <c r="M708" s="29"/>
      <c r="N708" s="33"/>
      <c r="O708" s="32"/>
      <c r="P708" s="34"/>
      <c r="Q708" s="34"/>
      <c r="R708" s="34"/>
      <c r="S708" s="32"/>
      <c r="T708" s="32"/>
      <c r="U708" s="32"/>
      <c r="V708" s="32"/>
      <c r="W708" s="32"/>
    </row>
    <row r="709" spans="3:23" x14ac:dyDescent="0.25">
      <c r="C709" s="1"/>
      <c r="D709" s="29"/>
      <c r="E709" s="29"/>
      <c r="F709" s="29"/>
      <c r="G709" s="29"/>
      <c r="H709" s="30"/>
      <c r="I709" s="31"/>
      <c r="J709" s="31"/>
      <c r="K709" s="29"/>
      <c r="L709" s="32"/>
      <c r="M709" s="29"/>
      <c r="N709" s="33"/>
      <c r="O709" s="32"/>
      <c r="P709" s="34"/>
      <c r="Q709" s="34"/>
      <c r="R709" s="34"/>
      <c r="S709" s="32"/>
      <c r="T709" s="32"/>
      <c r="U709" s="32"/>
      <c r="V709" s="32"/>
      <c r="W709" s="32"/>
    </row>
    <row r="710" spans="3:23" x14ac:dyDescent="0.25">
      <c r="C710" s="1"/>
      <c r="D710" s="29"/>
      <c r="E710" s="29"/>
      <c r="F710" s="29"/>
      <c r="G710" s="29"/>
      <c r="H710" s="30"/>
      <c r="I710" s="31"/>
      <c r="J710" s="31"/>
      <c r="K710" s="29"/>
      <c r="L710" s="32"/>
      <c r="M710" s="29"/>
      <c r="N710" s="33"/>
      <c r="O710" s="32"/>
      <c r="P710" s="34"/>
      <c r="Q710" s="34"/>
      <c r="R710" s="34"/>
      <c r="S710" s="32"/>
      <c r="T710" s="32"/>
      <c r="U710" s="32"/>
      <c r="V710" s="32"/>
      <c r="W710" s="32"/>
    </row>
    <row r="711" spans="3:23" x14ac:dyDescent="0.25">
      <c r="C711" s="1"/>
      <c r="D711" s="29"/>
      <c r="E711" s="29"/>
      <c r="F711" s="29"/>
      <c r="G711" s="29"/>
      <c r="H711" s="30"/>
      <c r="I711" s="31"/>
      <c r="J711" s="31"/>
      <c r="K711" s="29"/>
      <c r="L711" s="32"/>
      <c r="M711" s="29"/>
      <c r="N711" s="33"/>
      <c r="O711" s="32"/>
      <c r="P711" s="34"/>
      <c r="Q711" s="34"/>
      <c r="R711" s="34"/>
      <c r="S711" s="32"/>
      <c r="T711" s="32"/>
      <c r="U711" s="32"/>
      <c r="V711" s="32"/>
      <c r="W711" s="32"/>
    </row>
    <row r="712" spans="3:23" x14ac:dyDescent="0.25">
      <c r="C712" s="1"/>
      <c r="D712" s="29"/>
      <c r="E712" s="29"/>
      <c r="F712" s="29"/>
      <c r="G712" s="29"/>
      <c r="H712" s="30"/>
      <c r="I712" s="31"/>
      <c r="J712" s="31"/>
      <c r="K712" s="29"/>
      <c r="L712" s="32"/>
      <c r="M712" s="29"/>
      <c r="N712" s="33"/>
      <c r="O712" s="32"/>
      <c r="P712" s="34"/>
      <c r="Q712" s="34"/>
      <c r="R712" s="34"/>
      <c r="S712" s="32"/>
      <c r="T712" s="32"/>
      <c r="U712" s="32"/>
      <c r="V712" s="32"/>
      <c r="W712" s="32"/>
    </row>
    <row r="713" spans="3:23" x14ac:dyDescent="0.25">
      <c r="C713" s="1"/>
      <c r="D713" s="29"/>
      <c r="E713" s="29"/>
      <c r="F713" s="29"/>
      <c r="G713" s="29"/>
      <c r="H713" s="30"/>
      <c r="I713" s="31"/>
      <c r="J713" s="31"/>
      <c r="K713" s="29"/>
      <c r="L713" s="32"/>
      <c r="M713" s="29"/>
      <c r="N713" s="33"/>
      <c r="O713" s="32"/>
      <c r="P713" s="34"/>
      <c r="Q713" s="34"/>
      <c r="R713" s="34"/>
      <c r="S713" s="32"/>
      <c r="T713" s="32"/>
      <c r="U713" s="32"/>
      <c r="V713" s="32"/>
      <c r="W713" s="32"/>
    </row>
    <row r="714" spans="3:23" x14ac:dyDescent="0.25">
      <c r="C714" s="1"/>
      <c r="D714" s="29"/>
      <c r="E714" s="29"/>
      <c r="F714" s="29"/>
      <c r="G714" s="29"/>
      <c r="H714" s="30"/>
      <c r="I714" s="31"/>
      <c r="J714" s="31"/>
      <c r="K714" s="29"/>
      <c r="L714" s="32"/>
      <c r="M714" s="29"/>
      <c r="N714" s="33"/>
      <c r="O714" s="32"/>
      <c r="P714" s="34"/>
      <c r="Q714" s="34"/>
      <c r="R714" s="34"/>
      <c r="S714" s="32"/>
      <c r="T714" s="32"/>
      <c r="U714" s="32"/>
      <c r="V714" s="32"/>
      <c r="W714" s="32"/>
    </row>
    <row r="715" spans="3:23" x14ac:dyDescent="0.25">
      <c r="C715" s="1"/>
      <c r="D715" s="29"/>
      <c r="E715" s="29"/>
      <c r="F715" s="29"/>
      <c r="G715" s="29"/>
      <c r="H715" s="30"/>
      <c r="I715" s="31"/>
      <c r="J715" s="31"/>
      <c r="K715" s="29"/>
      <c r="L715" s="32"/>
      <c r="M715" s="29"/>
      <c r="N715" s="33"/>
      <c r="O715" s="32"/>
      <c r="P715" s="34"/>
      <c r="Q715" s="34"/>
      <c r="R715" s="34"/>
      <c r="S715" s="32"/>
      <c r="T715" s="32"/>
      <c r="U715" s="32"/>
      <c r="V715" s="32"/>
      <c r="W715" s="32"/>
    </row>
    <row r="716" spans="3:23" x14ac:dyDescent="0.25">
      <c r="C716" s="1"/>
      <c r="D716" s="29"/>
      <c r="E716" s="29"/>
      <c r="F716" s="29"/>
      <c r="G716" s="29"/>
      <c r="H716" s="30"/>
      <c r="I716" s="31"/>
      <c r="J716" s="31"/>
      <c r="K716" s="29"/>
      <c r="L716" s="32"/>
      <c r="M716" s="29"/>
      <c r="N716" s="33"/>
      <c r="O716" s="32"/>
      <c r="P716" s="34"/>
      <c r="Q716" s="34"/>
      <c r="R716" s="34"/>
      <c r="S716" s="32"/>
      <c r="T716" s="32"/>
      <c r="U716" s="32"/>
      <c r="V716" s="32"/>
      <c r="W716" s="32"/>
    </row>
    <row r="717" spans="3:23" x14ac:dyDescent="0.25">
      <c r="C717" s="1"/>
      <c r="D717" s="29"/>
      <c r="E717" s="29"/>
      <c r="F717" s="29"/>
      <c r="G717" s="29"/>
      <c r="H717" s="30"/>
      <c r="I717" s="31"/>
      <c r="J717" s="31"/>
      <c r="K717" s="29"/>
      <c r="L717" s="32"/>
      <c r="M717" s="29"/>
      <c r="N717" s="33"/>
      <c r="O717" s="32"/>
      <c r="P717" s="34"/>
      <c r="Q717" s="34"/>
      <c r="R717" s="34"/>
      <c r="S717" s="32"/>
      <c r="T717" s="32"/>
      <c r="U717" s="32"/>
      <c r="V717" s="32"/>
      <c r="W717" s="32"/>
    </row>
    <row r="718" spans="3:23" x14ac:dyDescent="0.25">
      <c r="C718" s="1"/>
      <c r="D718" s="29"/>
      <c r="E718" s="29"/>
      <c r="F718" s="29"/>
      <c r="G718" s="29"/>
      <c r="H718" s="30"/>
      <c r="I718" s="31"/>
      <c r="J718" s="31"/>
      <c r="K718" s="29"/>
      <c r="L718" s="32"/>
      <c r="M718" s="29"/>
      <c r="N718" s="33"/>
      <c r="O718" s="32"/>
      <c r="P718" s="34"/>
      <c r="Q718" s="34"/>
      <c r="R718" s="34"/>
      <c r="S718" s="32"/>
      <c r="T718" s="32"/>
      <c r="U718" s="32"/>
      <c r="V718" s="32"/>
      <c r="W718" s="32"/>
    </row>
    <row r="719" spans="3:23" x14ac:dyDescent="0.25">
      <c r="C719" s="1"/>
      <c r="D719" s="29"/>
      <c r="E719" s="29"/>
      <c r="F719" s="29"/>
      <c r="G719" s="29"/>
      <c r="H719" s="30"/>
      <c r="I719" s="31"/>
      <c r="J719" s="31"/>
      <c r="K719" s="29"/>
      <c r="L719" s="32"/>
      <c r="M719" s="29"/>
      <c r="N719" s="33"/>
      <c r="O719" s="32"/>
      <c r="P719" s="34"/>
      <c r="Q719" s="34"/>
      <c r="R719" s="34"/>
      <c r="S719" s="32"/>
      <c r="T719" s="32"/>
      <c r="U719" s="32"/>
      <c r="V719" s="32"/>
      <c r="W719" s="32"/>
    </row>
    <row r="720" spans="3:23" x14ac:dyDescent="0.25">
      <c r="C720" s="1"/>
      <c r="D720" s="29"/>
      <c r="E720" s="29"/>
      <c r="F720" s="29"/>
      <c r="G720" s="29"/>
      <c r="H720" s="30"/>
      <c r="I720" s="31"/>
      <c r="J720" s="31"/>
      <c r="K720" s="29"/>
      <c r="L720" s="32"/>
      <c r="M720" s="29"/>
      <c r="N720" s="33"/>
      <c r="O720" s="32"/>
      <c r="P720" s="34"/>
      <c r="Q720" s="34"/>
      <c r="R720" s="34"/>
      <c r="S720" s="32"/>
      <c r="T720" s="32"/>
      <c r="U720" s="32"/>
      <c r="V720" s="32"/>
      <c r="W720" s="32"/>
    </row>
    <row r="721" spans="3:23" x14ac:dyDescent="0.25">
      <c r="C721" s="1"/>
      <c r="D721" s="29"/>
      <c r="E721" s="29"/>
      <c r="F721" s="29"/>
      <c r="G721" s="29"/>
      <c r="H721" s="30"/>
      <c r="I721" s="31"/>
      <c r="J721" s="31"/>
      <c r="K721" s="29"/>
      <c r="L721" s="32"/>
      <c r="M721" s="29"/>
      <c r="N721" s="33"/>
      <c r="O721" s="32"/>
      <c r="P721" s="34"/>
      <c r="Q721" s="34"/>
      <c r="R721" s="34"/>
      <c r="S721" s="32"/>
      <c r="T721" s="32"/>
      <c r="U721" s="32"/>
      <c r="V721" s="32"/>
      <c r="W721" s="32"/>
    </row>
    <row r="722" spans="3:23" x14ac:dyDescent="0.25">
      <c r="C722" s="1"/>
      <c r="D722" s="29"/>
      <c r="E722" s="29"/>
      <c r="F722" s="29"/>
      <c r="G722" s="29"/>
      <c r="H722" s="30"/>
      <c r="I722" s="31"/>
      <c r="J722" s="31"/>
      <c r="K722" s="29"/>
      <c r="L722" s="32"/>
      <c r="M722" s="29"/>
      <c r="N722" s="33"/>
      <c r="O722" s="32"/>
      <c r="P722" s="34"/>
      <c r="Q722" s="34"/>
      <c r="R722" s="34"/>
      <c r="S722" s="32"/>
      <c r="T722" s="32"/>
      <c r="U722" s="32"/>
      <c r="V722" s="32"/>
      <c r="W722" s="32"/>
    </row>
    <row r="723" spans="3:23" x14ac:dyDescent="0.25">
      <c r="C723" s="1"/>
      <c r="D723" s="29"/>
      <c r="E723" s="29"/>
      <c r="F723" s="29"/>
      <c r="G723" s="29"/>
      <c r="H723" s="30"/>
      <c r="I723" s="31"/>
      <c r="J723" s="31"/>
      <c r="K723" s="29"/>
      <c r="L723" s="32"/>
      <c r="M723" s="29"/>
      <c r="N723" s="33"/>
      <c r="O723" s="32"/>
      <c r="P723" s="34"/>
      <c r="Q723" s="34"/>
      <c r="R723" s="34"/>
      <c r="S723" s="32"/>
      <c r="T723" s="32"/>
      <c r="U723" s="32"/>
      <c r="V723" s="32"/>
      <c r="W723" s="32"/>
    </row>
    <row r="724" spans="3:23" x14ac:dyDescent="0.25">
      <c r="C724" s="1"/>
      <c r="D724" s="29"/>
      <c r="E724" s="29"/>
      <c r="F724" s="29"/>
      <c r="G724" s="29"/>
      <c r="H724" s="30"/>
      <c r="I724" s="31"/>
      <c r="J724" s="31"/>
      <c r="K724" s="29"/>
      <c r="L724" s="32"/>
      <c r="M724" s="29"/>
      <c r="N724" s="33"/>
      <c r="O724" s="32"/>
      <c r="P724" s="34"/>
      <c r="Q724" s="34"/>
      <c r="R724" s="34"/>
      <c r="S724" s="32"/>
      <c r="T724" s="32"/>
      <c r="U724" s="32"/>
      <c r="V724" s="32"/>
      <c r="W724" s="32"/>
    </row>
    <row r="725" spans="3:23" x14ac:dyDescent="0.25">
      <c r="C725" s="1"/>
      <c r="D725" s="29"/>
      <c r="E725" s="29"/>
      <c r="F725" s="29"/>
      <c r="G725" s="29"/>
      <c r="H725" s="30"/>
      <c r="I725" s="31"/>
      <c r="J725" s="31"/>
      <c r="K725" s="29"/>
      <c r="L725" s="32"/>
      <c r="M725" s="29"/>
      <c r="N725" s="33"/>
      <c r="O725" s="32"/>
      <c r="P725" s="34"/>
      <c r="Q725" s="34"/>
      <c r="R725" s="34"/>
      <c r="S725" s="32"/>
      <c r="T725" s="32"/>
      <c r="U725" s="32"/>
      <c r="V725" s="32"/>
      <c r="W725" s="32"/>
    </row>
    <row r="726" spans="3:23" x14ac:dyDescent="0.25">
      <c r="C726" s="1"/>
      <c r="D726" s="29"/>
      <c r="E726" s="29"/>
      <c r="F726" s="29"/>
      <c r="G726" s="29"/>
      <c r="H726" s="30"/>
      <c r="I726" s="31"/>
      <c r="J726" s="31"/>
      <c r="K726" s="29"/>
      <c r="L726" s="32"/>
      <c r="M726" s="29"/>
      <c r="N726" s="33"/>
      <c r="O726" s="32"/>
      <c r="P726" s="34"/>
      <c r="Q726" s="34"/>
      <c r="R726" s="34"/>
      <c r="S726" s="32"/>
      <c r="T726" s="32"/>
      <c r="U726" s="32"/>
      <c r="V726" s="32"/>
      <c r="W726" s="32"/>
    </row>
    <row r="727" spans="3:23" x14ac:dyDescent="0.25">
      <c r="C727" s="1"/>
      <c r="D727" s="29"/>
      <c r="E727" s="29"/>
      <c r="F727" s="29"/>
      <c r="G727" s="29"/>
      <c r="H727" s="30"/>
      <c r="I727" s="31"/>
      <c r="J727" s="31"/>
      <c r="K727" s="29"/>
      <c r="L727" s="32"/>
      <c r="M727" s="29"/>
      <c r="N727" s="33"/>
      <c r="O727" s="32"/>
      <c r="P727" s="34"/>
      <c r="Q727" s="34"/>
      <c r="R727" s="34"/>
      <c r="S727" s="32"/>
      <c r="T727" s="32"/>
      <c r="U727" s="32"/>
      <c r="V727" s="32"/>
      <c r="W727" s="32"/>
    </row>
    <row r="728" spans="3:23" x14ac:dyDescent="0.25">
      <c r="C728" s="1"/>
      <c r="D728" s="29"/>
      <c r="E728" s="29"/>
      <c r="F728" s="29"/>
      <c r="G728" s="29"/>
      <c r="H728" s="30"/>
      <c r="I728" s="31"/>
      <c r="J728" s="31"/>
      <c r="K728" s="29"/>
      <c r="L728" s="32"/>
      <c r="M728" s="29"/>
      <c r="N728" s="33"/>
      <c r="O728" s="32"/>
      <c r="P728" s="34"/>
      <c r="Q728" s="34"/>
      <c r="R728" s="34"/>
      <c r="S728" s="32"/>
      <c r="T728" s="32"/>
      <c r="U728" s="32"/>
      <c r="V728" s="32"/>
      <c r="W728" s="32"/>
    </row>
    <row r="729" spans="3:23" x14ac:dyDescent="0.25">
      <c r="C729" s="1"/>
      <c r="D729" s="29"/>
      <c r="E729" s="29"/>
      <c r="F729" s="29"/>
      <c r="G729" s="29"/>
      <c r="H729" s="30"/>
      <c r="I729" s="31"/>
      <c r="J729" s="31"/>
      <c r="K729" s="29"/>
      <c r="L729" s="32"/>
      <c r="M729" s="29"/>
      <c r="N729" s="33"/>
      <c r="O729" s="32"/>
      <c r="P729" s="34"/>
      <c r="Q729" s="34"/>
      <c r="R729" s="34"/>
      <c r="S729" s="32"/>
      <c r="T729" s="32"/>
      <c r="U729" s="32"/>
      <c r="V729" s="32"/>
      <c r="W729" s="32"/>
    </row>
    <row r="730" spans="3:23" x14ac:dyDescent="0.25">
      <c r="C730" s="1"/>
      <c r="D730" s="29"/>
      <c r="E730" s="29"/>
      <c r="F730" s="29"/>
      <c r="G730" s="29"/>
      <c r="H730" s="30"/>
      <c r="I730" s="31"/>
      <c r="J730" s="31"/>
      <c r="K730" s="29"/>
      <c r="L730" s="32"/>
      <c r="M730" s="29"/>
      <c r="N730" s="33"/>
      <c r="O730" s="32"/>
      <c r="P730" s="34"/>
      <c r="Q730" s="34"/>
      <c r="R730" s="34"/>
      <c r="S730" s="32"/>
      <c r="T730" s="32"/>
      <c r="U730" s="32"/>
      <c r="V730" s="32"/>
      <c r="W730" s="32"/>
    </row>
    <row r="731" spans="3:23" x14ac:dyDescent="0.25">
      <c r="C731" s="1"/>
      <c r="D731" s="29"/>
      <c r="E731" s="29"/>
      <c r="F731" s="29"/>
      <c r="G731" s="29"/>
      <c r="H731" s="30"/>
      <c r="I731" s="31"/>
      <c r="J731" s="31"/>
      <c r="K731" s="29"/>
      <c r="L731" s="32"/>
      <c r="M731" s="29"/>
      <c r="N731" s="33"/>
      <c r="O731" s="32"/>
      <c r="P731" s="34"/>
      <c r="Q731" s="34"/>
      <c r="R731" s="34"/>
      <c r="S731" s="32"/>
      <c r="T731" s="32"/>
      <c r="U731" s="32"/>
      <c r="V731" s="32"/>
      <c r="W731" s="32"/>
    </row>
    <row r="732" spans="3:23" x14ac:dyDescent="0.25">
      <c r="C732" s="1"/>
      <c r="D732" s="29"/>
      <c r="E732" s="29"/>
      <c r="F732" s="29"/>
      <c r="G732" s="29"/>
      <c r="H732" s="30"/>
      <c r="I732" s="31"/>
      <c r="J732" s="31"/>
      <c r="K732" s="29"/>
      <c r="L732" s="32"/>
      <c r="M732" s="29"/>
      <c r="N732" s="33"/>
      <c r="O732" s="32"/>
      <c r="P732" s="34"/>
      <c r="Q732" s="34"/>
      <c r="R732" s="34"/>
      <c r="S732" s="32"/>
      <c r="T732" s="32"/>
      <c r="U732" s="32"/>
      <c r="V732" s="32"/>
      <c r="W732" s="32"/>
    </row>
    <row r="733" spans="3:23" x14ac:dyDescent="0.25">
      <c r="C733" s="1"/>
      <c r="D733" s="29"/>
      <c r="E733" s="29"/>
      <c r="F733" s="29"/>
      <c r="G733" s="29"/>
      <c r="H733" s="30"/>
      <c r="I733" s="31"/>
      <c r="J733" s="31"/>
      <c r="K733" s="29"/>
      <c r="L733" s="32"/>
      <c r="M733" s="29"/>
      <c r="N733" s="33"/>
      <c r="O733" s="32"/>
      <c r="P733" s="34"/>
      <c r="Q733" s="34"/>
      <c r="R733" s="34"/>
      <c r="S733" s="32"/>
      <c r="T733" s="32"/>
      <c r="U733" s="32"/>
      <c r="V733" s="32"/>
      <c r="W733" s="32"/>
    </row>
    <row r="734" spans="3:23" x14ac:dyDescent="0.25">
      <c r="C734" s="1"/>
      <c r="D734" s="29"/>
      <c r="E734" s="29"/>
      <c r="F734" s="29"/>
      <c r="G734" s="29"/>
      <c r="H734" s="30"/>
      <c r="I734" s="31"/>
      <c r="J734" s="31"/>
      <c r="K734" s="29"/>
      <c r="L734" s="32"/>
      <c r="M734" s="29"/>
      <c r="N734" s="33"/>
      <c r="O734" s="32"/>
      <c r="P734" s="34"/>
      <c r="Q734" s="34"/>
      <c r="R734" s="34"/>
      <c r="S734" s="32"/>
      <c r="T734" s="32"/>
      <c r="U734" s="32"/>
      <c r="V734" s="32"/>
      <c r="W734" s="32"/>
    </row>
    <row r="735" spans="3:23" x14ac:dyDescent="0.25">
      <c r="C735" s="1"/>
      <c r="D735" s="29"/>
      <c r="E735" s="29"/>
      <c r="F735" s="29"/>
      <c r="G735" s="29"/>
      <c r="H735" s="30"/>
      <c r="I735" s="31"/>
      <c r="J735" s="31"/>
      <c r="K735" s="29"/>
      <c r="L735" s="32"/>
      <c r="M735" s="29"/>
      <c r="N735" s="33"/>
      <c r="O735" s="32"/>
      <c r="P735" s="34"/>
      <c r="Q735" s="34"/>
      <c r="R735" s="34"/>
      <c r="S735" s="32"/>
      <c r="T735" s="32"/>
      <c r="U735" s="32"/>
      <c r="V735" s="32"/>
      <c r="W735" s="32"/>
    </row>
    <row r="736" spans="3:23" x14ac:dyDescent="0.25">
      <c r="C736" s="1"/>
      <c r="D736" s="29"/>
      <c r="E736" s="29"/>
      <c r="F736" s="29"/>
      <c r="G736" s="29"/>
      <c r="H736" s="30"/>
      <c r="I736" s="31"/>
      <c r="J736" s="31"/>
      <c r="K736" s="29"/>
      <c r="L736" s="32"/>
      <c r="M736" s="29"/>
      <c r="N736" s="33"/>
      <c r="O736" s="32"/>
      <c r="P736" s="34"/>
      <c r="Q736" s="34"/>
      <c r="R736" s="34"/>
      <c r="S736" s="32"/>
      <c r="T736" s="32"/>
      <c r="U736" s="32"/>
      <c r="V736" s="32"/>
      <c r="W736" s="32"/>
    </row>
    <row r="737" spans="3:23" x14ac:dyDescent="0.25">
      <c r="C737" s="1"/>
      <c r="D737" s="29"/>
      <c r="E737" s="29"/>
      <c r="F737" s="29"/>
      <c r="G737" s="29"/>
      <c r="H737" s="30"/>
      <c r="I737" s="31"/>
      <c r="J737" s="31"/>
      <c r="K737" s="29"/>
      <c r="L737" s="32"/>
      <c r="M737" s="29"/>
      <c r="N737" s="33"/>
      <c r="O737" s="32"/>
      <c r="P737" s="34"/>
      <c r="Q737" s="34"/>
      <c r="R737" s="34"/>
      <c r="S737" s="32"/>
      <c r="T737" s="32"/>
      <c r="U737" s="32"/>
      <c r="V737" s="32"/>
      <c r="W737" s="32"/>
    </row>
    <row r="738" spans="3:23" x14ac:dyDescent="0.25">
      <c r="C738" s="1"/>
      <c r="D738" s="29"/>
      <c r="E738" s="29"/>
      <c r="F738" s="29"/>
      <c r="G738" s="29"/>
      <c r="H738" s="30"/>
      <c r="I738" s="31"/>
      <c r="J738" s="31"/>
      <c r="K738" s="29"/>
      <c r="L738" s="32"/>
      <c r="M738" s="29"/>
      <c r="N738" s="33"/>
      <c r="O738" s="32"/>
      <c r="P738" s="34"/>
      <c r="Q738" s="34"/>
      <c r="R738" s="34"/>
      <c r="S738" s="32"/>
      <c r="T738" s="32"/>
      <c r="U738" s="32"/>
      <c r="V738" s="32"/>
      <c r="W738" s="32"/>
    </row>
    <row r="739" spans="3:23" x14ac:dyDescent="0.25">
      <c r="C739" s="1"/>
      <c r="D739" s="29"/>
      <c r="E739" s="29"/>
      <c r="F739" s="29"/>
      <c r="G739" s="29"/>
      <c r="H739" s="30"/>
      <c r="I739" s="31"/>
      <c r="J739" s="31"/>
      <c r="K739" s="29"/>
      <c r="L739" s="32"/>
      <c r="M739" s="29"/>
      <c r="N739" s="33"/>
      <c r="O739" s="32"/>
      <c r="P739" s="34"/>
      <c r="Q739" s="34"/>
      <c r="R739" s="34"/>
      <c r="S739" s="32"/>
      <c r="T739" s="32"/>
      <c r="U739" s="32"/>
      <c r="V739" s="32"/>
      <c r="W739" s="32"/>
    </row>
    <row r="740" spans="3:23" x14ac:dyDescent="0.25">
      <c r="C740" s="1"/>
      <c r="D740" s="29"/>
      <c r="E740" s="29"/>
      <c r="F740" s="29"/>
      <c r="G740" s="29"/>
      <c r="H740" s="30"/>
      <c r="I740" s="31"/>
      <c r="J740" s="31"/>
      <c r="K740" s="29"/>
      <c r="L740" s="32"/>
      <c r="M740" s="29"/>
      <c r="N740" s="33"/>
      <c r="O740" s="32"/>
      <c r="P740" s="34"/>
      <c r="Q740" s="34"/>
      <c r="R740" s="34"/>
      <c r="S740" s="32"/>
      <c r="T740" s="32"/>
      <c r="U740" s="32"/>
      <c r="V740" s="32"/>
      <c r="W740" s="32"/>
    </row>
    <row r="741" spans="3:23" x14ac:dyDescent="0.25">
      <c r="C741" s="1"/>
      <c r="D741" s="29"/>
      <c r="E741" s="29"/>
      <c r="F741" s="29"/>
      <c r="G741" s="29"/>
      <c r="H741" s="30"/>
      <c r="I741" s="31"/>
      <c r="J741" s="31"/>
      <c r="K741" s="29"/>
      <c r="L741" s="32"/>
      <c r="M741" s="29"/>
      <c r="N741" s="33"/>
      <c r="O741" s="32"/>
      <c r="P741" s="34"/>
      <c r="Q741" s="34"/>
      <c r="R741" s="34"/>
      <c r="S741" s="32"/>
      <c r="T741" s="32"/>
      <c r="U741" s="32"/>
      <c r="V741" s="32"/>
      <c r="W741" s="32"/>
    </row>
    <row r="742" spans="3:23" x14ac:dyDescent="0.25">
      <c r="C742" s="1"/>
      <c r="D742" s="29"/>
      <c r="E742" s="29"/>
      <c r="F742" s="29"/>
      <c r="G742" s="29"/>
      <c r="H742" s="30"/>
      <c r="I742" s="31"/>
      <c r="J742" s="31"/>
      <c r="K742" s="29"/>
      <c r="L742" s="32"/>
      <c r="M742" s="29"/>
      <c r="N742" s="33"/>
      <c r="O742" s="32"/>
      <c r="P742" s="34"/>
      <c r="Q742" s="34"/>
      <c r="R742" s="34"/>
      <c r="S742" s="32"/>
      <c r="T742" s="32"/>
      <c r="U742" s="32"/>
      <c r="V742" s="32"/>
      <c r="W742" s="32"/>
    </row>
    <row r="743" spans="3:23" x14ac:dyDescent="0.25">
      <c r="C743" s="1"/>
      <c r="D743" s="29"/>
      <c r="E743" s="29"/>
      <c r="F743" s="29"/>
      <c r="G743" s="29"/>
      <c r="H743" s="30"/>
      <c r="I743" s="31"/>
      <c r="J743" s="31"/>
      <c r="K743" s="29"/>
      <c r="L743" s="32"/>
      <c r="M743" s="29"/>
      <c r="N743" s="33"/>
      <c r="O743" s="32"/>
      <c r="P743" s="34"/>
      <c r="Q743" s="34"/>
      <c r="R743" s="34"/>
      <c r="S743" s="32"/>
      <c r="T743" s="32"/>
      <c r="U743" s="32"/>
      <c r="V743" s="32"/>
      <c r="W743" s="32"/>
    </row>
    <row r="744" spans="3:23" x14ac:dyDescent="0.25">
      <c r="C744" s="1"/>
      <c r="D744" s="29"/>
      <c r="E744" s="29"/>
      <c r="F744" s="29"/>
      <c r="G744" s="29"/>
      <c r="H744" s="30"/>
      <c r="I744" s="31"/>
      <c r="J744" s="31"/>
      <c r="K744" s="29"/>
      <c r="L744" s="32"/>
      <c r="M744" s="29"/>
      <c r="N744" s="33"/>
      <c r="O744" s="32"/>
      <c r="P744" s="34"/>
      <c r="Q744" s="34"/>
      <c r="R744" s="34"/>
      <c r="S744" s="32"/>
      <c r="T744" s="32"/>
      <c r="U744" s="32"/>
      <c r="V744" s="32"/>
      <c r="W744" s="32"/>
    </row>
    <row r="745" spans="3:23" x14ac:dyDescent="0.25">
      <c r="C745" s="1"/>
      <c r="D745" s="29"/>
      <c r="E745" s="29"/>
      <c r="F745" s="29"/>
      <c r="G745" s="29"/>
      <c r="H745" s="30"/>
      <c r="I745" s="31"/>
      <c r="J745" s="31"/>
      <c r="K745" s="29"/>
      <c r="L745" s="32"/>
      <c r="M745" s="29"/>
      <c r="N745" s="33"/>
      <c r="O745" s="32"/>
      <c r="P745" s="34"/>
      <c r="Q745" s="34"/>
      <c r="R745" s="34"/>
      <c r="S745" s="32"/>
      <c r="T745" s="32"/>
      <c r="U745" s="32"/>
      <c r="V745" s="32"/>
      <c r="W745" s="32"/>
    </row>
    <row r="746" spans="3:23" x14ac:dyDescent="0.25">
      <c r="C746" s="1"/>
      <c r="D746" s="29"/>
      <c r="E746" s="29"/>
      <c r="F746" s="29"/>
      <c r="G746" s="29"/>
      <c r="H746" s="30"/>
      <c r="I746" s="31"/>
      <c r="J746" s="31"/>
      <c r="K746" s="29"/>
      <c r="L746" s="32"/>
      <c r="M746" s="29"/>
      <c r="N746" s="33"/>
      <c r="O746" s="32"/>
      <c r="P746" s="34"/>
      <c r="Q746" s="34"/>
      <c r="R746" s="34"/>
      <c r="S746" s="32"/>
      <c r="T746" s="32"/>
      <c r="U746" s="32"/>
      <c r="V746" s="32"/>
      <c r="W746" s="32"/>
    </row>
    <row r="747" spans="3:23" x14ac:dyDescent="0.25">
      <c r="C747" s="1"/>
      <c r="D747" s="29"/>
      <c r="E747" s="29"/>
      <c r="F747" s="29"/>
      <c r="G747" s="29"/>
      <c r="H747" s="30"/>
      <c r="I747" s="31"/>
      <c r="J747" s="31"/>
      <c r="K747" s="29"/>
      <c r="L747" s="32"/>
      <c r="M747" s="29"/>
      <c r="N747" s="33"/>
      <c r="O747" s="32"/>
      <c r="P747" s="34"/>
      <c r="Q747" s="34"/>
      <c r="R747" s="34"/>
      <c r="S747" s="32"/>
      <c r="T747" s="32"/>
      <c r="U747" s="32"/>
      <c r="V747" s="32"/>
      <c r="W747" s="32"/>
    </row>
    <row r="748" spans="3:23" x14ac:dyDescent="0.25">
      <c r="C748" s="1"/>
      <c r="D748" s="29"/>
      <c r="E748" s="29"/>
      <c r="F748" s="29"/>
      <c r="G748" s="29"/>
      <c r="H748" s="30"/>
      <c r="I748" s="31"/>
      <c r="J748" s="31"/>
      <c r="K748" s="29"/>
      <c r="L748" s="32"/>
      <c r="M748" s="29"/>
      <c r="N748" s="33"/>
      <c r="O748" s="32"/>
      <c r="P748" s="34"/>
      <c r="Q748" s="34"/>
      <c r="R748" s="34"/>
      <c r="S748" s="32"/>
      <c r="T748" s="32"/>
      <c r="U748" s="32"/>
      <c r="V748" s="32"/>
      <c r="W748" s="32"/>
    </row>
    <row r="749" spans="3:23" x14ac:dyDescent="0.25">
      <c r="C749" s="1"/>
      <c r="D749" s="29"/>
      <c r="E749" s="29"/>
      <c r="F749" s="29"/>
      <c r="G749" s="29"/>
      <c r="H749" s="30"/>
      <c r="I749" s="31"/>
      <c r="J749" s="31"/>
      <c r="K749" s="29"/>
      <c r="L749" s="32"/>
      <c r="M749" s="29"/>
      <c r="N749" s="33"/>
      <c r="O749" s="32"/>
      <c r="P749" s="34"/>
      <c r="Q749" s="34"/>
      <c r="R749" s="34"/>
      <c r="S749" s="32"/>
      <c r="T749" s="32"/>
      <c r="U749" s="32"/>
      <c r="V749" s="32"/>
      <c r="W749" s="32"/>
    </row>
    <row r="750" spans="3:23" x14ac:dyDescent="0.25">
      <c r="C750" s="1"/>
      <c r="D750" s="29"/>
      <c r="E750" s="29"/>
      <c r="F750" s="29"/>
      <c r="G750" s="29"/>
      <c r="H750" s="30"/>
      <c r="I750" s="31"/>
      <c r="J750" s="31"/>
      <c r="K750" s="29"/>
      <c r="L750" s="32"/>
      <c r="M750" s="29"/>
      <c r="N750" s="33"/>
      <c r="O750" s="32"/>
      <c r="P750" s="34"/>
      <c r="Q750" s="34"/>
      <c r="R750" s="34"/>
      <c r="S750" s="32"/>
      <c r="T750" s="32"/>
      <c r="U750" s="32"/>
      <c r="V750" s="32"/>
      <c r="W750" s="32"/>
    </row>
    <row r="751" spans="3:23" x14ac:dyDescent="0.25">
      <c r="C751" s="1"/>
      <c r="D751" s="29"/>
      <c r="E751" s="29"/>
      <c r="F751" s="29"/>
      <c r="G751" s="29"/>
      <c r="H751" s="30"/>
      <c r="I751" s="31"/>
      <c r="J751" s="31"/>
      <c r="K751" s="29"/>
      <c r="L751" s="32"/>
      <c r="M751" s="29"/>
      <c r="N751" s="33"/>
      <c r="O751" s="32"/>
      <c r="P751" s="34"/>
      <c r="Q751" s="34"/>
      <c r="R751" s="34"/>
      <c r="S751" s="32"/>
      <c r="T751" s="32"/>
      <c r="U751" s="32"/>
      <c r="V751" s="32"/>
      <c r="W751" s="32"/>
    </row>
    <row r="752" spans="3:23" x14ac:dyDescent="0.25">
      <c r="C752" s="1"/>
      <c r="D752" s="29"/>
      <c r="E752" s="29"/>
      <c r="F752" s="29"/>
      <c r="G752" s="29"/>
      <c r="H752" s="30"/>
      <c r="I752" s="31"/>
      <c r="J752" s="31"/>
      <c r="K752" s="29"/>
      <c r="L752" s="32"/>
      <c r="M752" s="29"/>
      <c r="N752" s="33"/>
      <c r="O752" s="32"/>
      <c r="P752" s="34"/>
      <c r="Q752" s="34"/>
      <c r="R752" s="34"/>
      <c r="S752" s="32"/>
      <c r="T752" s="32"/>
      <c r="U752" s="32"/>
      <c r="V752" s="32"/>
      <c r="W752" s="32"/>
    </row>
    <row r="753" spans="3:23" x14ac:dyDescent="0.25">
      <c r="C753" s="1"/>
      <c r="D753" s="29"/>
      <c r="E753" s="29"/>
      <c r="F753" s="29"/>
      <c r="G753" s="29"/>
      <c r="H753" s="30"/>
      <c r="I753" s="31"/>
      <c r="J753" s="31"/>
      <c r="K753" s="29"/>
      <c r="L753" s="32"/>
      <c r="M753" s="29"/>
      <c r="N753" s="33"/>
      <c r="O753" s="32"/>
      <c r="P753" s="34"/>
      <c r="Q753" s="34"/>
      <c r="R753" s="34"/>
      <c r="S753" s="32"/>
      <c r="T753" s="32"/>
      <c r="U753" s="32"/>
      <c r="V753" s="32"/>
      <c r="W753" s="32"/>
    </row>
    <row r="754" spans="3:23" x14ac:dyDescent="0.25">
      <c r="C754" s="1"/>
      <c r="D754" s="29"/>
      <c r="E754" s="29"/>
      <c r="F754" s="29"/>
      <c r="G754" s="29"/>
      <c r="H754" s="30"/>
      <c r="I754" s="31"/>
      <c r="J754" s="31"/>
      <c r="K754" s="29"/>
      <c r="L754" s="32"/>
      <c r="M754" s="29"/>
      <c r="N754" s="33"/>
      <c r="O754" s="32"/>
      <c r="P754" s="34"/>
      <c r="Q754" s="34"/>
      <c r="R754" s="34"/>
      <c r="S754" s="32"/>
      <c r="T754" s="32"/>
      <c r="U754" s="32"/>
      <c r="V754" s="32"/>
      <c r="W754" s="32"/>
    </row>
    <row r="755" spans="3:23" x14ac:dyDescent="0.25">
      <c r="C755" s="1"/>
      <c r="D755" s="29"/>
      <c r="E755" s="29"/>
      <c r="F755" s="29"/>
      <c r="G755" s="29"/>
      <c r="H755" s="30"/>
      <c r="I755" s="31"/>
      <c r="J755" s="31"/>
      <c r="K755" s="29"/>
      <c r="L755" s="32"/>
      <c r="M755" s="29"/>
      <c r="N755" s="33"/>
      <c r="O755" s="32"/>
      <c r="P755" s="34"/>
      <c r="Q755" s="34"/>
      <c r="R755" s="34"/>
      <c r="S755" s="32"/>
      <c r="T755" s="32"/>
      <c r="U755" s="32"/>
      <c r="V755" s="32"/>
      <c r="W755" s="32"/>
    </row>
    <row r="756" spans="3:23" x14ac:dyDescent="0.25">
      <c r="C756" s="1"/>
      <c r="D756" s="29"/>
      <c r="E756" s="29"/>
      <c r="F756" s="29"/>
      <c r="G756" s="29"/>
      <c r="H756" s="30"/>
      <c r="I756" s="31"/>
      <c r="J756" s="31"/>
      <c r="K756" s="29"/>
      <c r="L756" s="32"/>
      <c r="M756" s="29"/>
      <c r="N756" s="33"/>
      <c r="O756" s="32"/>
      <c r="P756" s="34"/>
      <c r="Q756" s="34"/>
      <c r="R756" s="34"/>
      <c r="S756" s="32"/>
      <c r="T756" s="32"/>
      <c r="U756" s="32"/>
      <c r="V756" s="32"/>
      <c r="W756" s="32"/>
    </row>
    <row r="757" spans="3:23" x14ac:dyDescent="0.25">
      <c r="C757" s="1"/>
      <c r="D757" s="29"/>
      <c r="E757" s="29"/>
      <c r="F757" s="29"/>
      <c r="G757" s="29"/>
      <c r="H757" s="30"/>
      <c r="I757" s="31"/>
      <c r="J757" s="31"/>
      <c r="K757" s="29"/>
      <c r="L757" s="32"/>
      <c r="M757" s="29"/>
      <c r="N757" s="33"/>
      <c r="O757" s="32"/>
      <c r="P757" s="34"/>
      <c r="Q757" s="34"/>
      <c r="R757" s="34"/>
      <c r="S757" s="32"/>
      <c r="T757" s="32"/>
      <c r="U757" s="32"/>
      <c r="V757" s="32"/>
      <c r="W757" s="32"/>
    </row>
    <row r="758" spans="3:23" x14ac:dyDescent="0.25">
      <c r="C758" s="1"/>
      <c r="D758" s="29"/>
      <c r="E758" s="29"/>
      <c r="F758" s="29"/>
      <c r="G758" s="29"/>
      <c r="H758" s="30"/>
      <c r="I758" s="31"/>
      <c r="J758" s="31"/>
      <c r="K758" s="29"/>
      <c r="L758" s="32"/>
      <c r="M758" s="29"/>
      <c r="N758" s="33"/>
      <c r="O758" s="32"/>
      <c r="P758" s="34"/>
      <c r="Q758" s="34"/>
      <c r="R758" s="34"/>
      <c r="S758" s="32"/>
      <c r="T758" s="32"/>
      <c r="U758" s="32"/>
      <c r="V758" s="32"/>
      <c r="W758" s="32"/>
    </row>
    <row r="759" spans="3:23" x14ac:dyDescent="0.25">
      <c r="C759" s="1"/>
      <c r="D759" s="29"/>
      <c r="E759" s="29"/>
      <c r="F759" s="29"/>
      <c r="G759" s="29"/>
      <c r="H759" s="30"/>
      <c r="I759" s="31"/>
      <c r="J759" s="31"/>
      <c r="K759" s="29"/>
      <c r="L759" s="32"/>
      <c r="M759" s="29"/>
      <c r="N759" s="33"/>
      <c r="O759" s="32"/>
      <c r="P759" s="34"/>
      <c r="Q759" s="34"/>
      <c r="R759" s="34"/>
      <c r="S759" s="32"/>
      <c r="T759" s="32"/>
      <c r="U759" s="32"/>
      <c r="V759" s="32"/>
      <c r="W759" s="32"/>
    </row>
    <row r="760" spans="3:23" x14ac:dyDescent="0.25">
      <c r="C760" s="1"/>
      <c r="D760" s="29"/>
      <c r="E760" s="29"/>
      <c r="F760" s="29"/>
      <c r="G760" s="29"/>
      <c r="H760" s="30"/>
      <c r="I760" s="31"/>
      <c r="J760" s="31"/>
      <c r="K760" s="29"/>
      <c r="L760" s="32"/>
      <c r="M760" s="29"/>
      <c r="N760" s="33"/>
      <c r="O760" s="32"/>
      <c r="P760" s="34"/>
      <c r="Q760" s="34"/>
      <c r="R760" s="34"/>
      <c r="S760" s="32"/>
      <c r="T760" s="32"/>
      <c r="U760" s="32"/>
      <c r="V760" s="32"/>
      <c r="W760" s="32"/>
    </row>
    <row r="761" spans="3:23" x14ac:dyDescent="0.25">
      <c r="C761" s="1"/>
      <c r="D761" s="29"/>
      <c r="E761" s="29"/>
      <c r="F761" s="29"/>
      <c r="G761" s="29"/>
      <c r="H761" s="30"/>
      <c r="I761" s="31"/>
      <c r="J761" s="31"/>
      <c r="K761" s="29"/>
      <c r="L761" s="32"/>
      <c r="M761" s="29"/>
      <c r="N761" s="33"/>
      <c r="O761" s="32"/>
      <c r="P761" s="34"/>
      <c r="Q761" s="34"/>
      <c r="R761" s="34"/>
      <c r="S761" s="32"/>
      <c r="T761" s="32"/>
      <c r="U761" s="32"/>
      <c r="V761" s="32"/>
      <c r="W761" s="32"/>
    </row>
    <row r="762" spans="3:23" x14ac:dyDescent="0.25">
      <c r="C762" s="1"/>
      <c r="D762" s="29"/>
      <c r="E762" s="29"/>
      <c r="F762" s="29"/>
      <c r="G762" s="29"/>
      <c r="H762" s="30"/>
      <c r="I762" s="31"/>
      <c r="J762" s="31"/>
      <c r="K762" s="29"/>
      <c r="L762" s="32"/>
      <c r="M762" s="29"/>
      <c r="N762" s="33"/>
      <c r="O762" s="32"/>
      <c r="P762" s="34"/>
      <c r="Q762" s="34"/>
      <c r="R762" s="34"/>
      <c r="S762" s="32"/>
      <c r="T762" s="32"/>
      <c r="U762" s="32"/>
      <c r="V762" s="32"/>
      <c r="W762" s="32"/>
    </row>
    <row r="763" spans="3:23" x14ac:dyDescent="0.25">
      <c r="C763" s="1"/>
      <c r="D763" s="29"/>
      <c r="E763" s="29"/>
      <c r="F763" s="29"/>
      <c r="G763" s="29"/>
      <c r="H763" s="30"/>
      <c r="I763" s="31"/>
      <c r="J763" s="31"/>
      <c r="K763" s="29"/>
      <c r="L763" s="32"/>
      <c r="M763" s="29"/>
      <c r="N763" s="33"/>
      <c r="O763" s="32"/>
      <c r="P763" s="34"/>
      <c r="Q763" s="34"/>
      <c r="R763" s="34"/>
      <c r="S763" s="32"/>
      <c r="T763" s="32"/>
      <c r="U763" s="32"/>
      <c r="V763" s="32"/>
      <c r="W763" s="32"/>
    </row>
    <row r="764" spans="3:23" x14ac:dyDescent="0.25">
      <c r="C764" s="1"/>
      <c r="D764" s="29"/>
      <c r="E764" s="29"/>
      <c r="F764" s="29"/>
      <c r="G764" s="29"/>
      <c r="H764" s="30"/>
      <c r="I764" s="31"/>
      <c r="J764" s="31"/>
      <c r="K764" s="29"/>
      <c r="L764" s="32"/>
      <c r="M764" s="29"/>
      <c r="N764" s="33"/>
      <c r="O764" s="32"/>
      <c r="P764" s="34"/>
      <c r="Q764" s="34"/>
      <c r="R764" s="34"/>
      <c r="S764" s="32"/>
      <c r="T764" s="32"/>
      <c r="U764" s="32"/>
      <c r="V764" s="32"/>
      <c r="W764" s="32"/>
    </row>
    <row r="765" spans="3:23" x14ac:dyDescent="0.25">
      <c r="C765" s="1"/>
      <c r="D765" s="29"/>
      <c r="E765" s="29"/>
      <c r="F765" s="29"/>
      <c r="G765" s="29"/>
      <c r="H765" s="30"/>
      <c r="I765" s="31"/>
      <c r="J765" s="31"/>
      <c r="K765" s="29"/>
      <c r="L765" s="32"/>
      <c r="M765" s="29"/>
      <c r="N765" s="33"/>
      <c r="O765" s="32"/>
      <c r="P765" s="34"/>
      <c r="Q765" s="34"/>
      <c r="R765" s="34"/>
      <c r="S765" s="32"/>
      <c r="T765" s="32"/>
      <c r="U765" s="32"/>
      <c r="V765" s="32"/>
      <c r="W765" s="32"/>
    </row>
    <row r="766" spans="3:23" x14ac:dyDescent="0.25">
      <c r="C766" s="1"/>
      <c r="D766" s="29"/>
      <c r="E766" s="29"/>
      <c r="F766" s="29"/>
      <c r="G766" s="29"/>
      <c r="H766" s="30"/>
      <c r="I766" s="31"/>
      <c r="J766" s="31"/>
      <c r="K766" s="29"/>
      <c r="L766" s="32"/>
      <c r="M766" s="29"/>
      <c r="N766" s="33"/>
      <c r="O766" s="32"/>
      <c r="P766" s="34"/>
      <c r="Q766" s="34"/>
      <c r="R766" s="34"/>
      <c r="S766" s="32"/>
      <c r="T766" s="32"/>
      <c r="U766" s="32"/>
      <c r="V766" s="32"/>
      <c r="W766" s="32"/>
    </row>
    <row r="767" spans="3:23" x14ac:dyDescent="0.25">
      <c r="C767" s="1"/>
      <c r="D767" s="29"/>
      <c r="E767" s="29"/>
      <c r="F767" s="29"/>
      <c r="G767" s="29"/>
      <c r="H767" s="30"/>
      <c r="I767" s="31"/>
      <c r="J767" s="31"/>
      <c r="K767" s="29"/>
      <c r="L767" s="32"/>
      <c r="M767" s="29"/>
      <c r="N767" s="33"/>
      <c r="O767" s="32"/>
      <c r="P767" s="34"/>
      <c r="Q767" s="34"/>
      <c r="R767" s="34"/>
      <c r="S767" s="32"/>
      <c r="T767" s="32"/>
      <c r="U767" s="32"/>
      <c r="V767" s="32"/>
      <c r="W767" s="32"/>
    </row>
    <row r="768" spans="3:23" x14ac:dyDescent="0.25">
      <c r="C768" s="1"/>
      <c r="D768" s="29"/>
      <c r="E768" s="29"/>
      <c r="F768" s="29"/>
      <c r="G768" s="29"/>
      <c r="H768" s="30"/>
      <c r="I768" s="31"/>
      <c r="J768" s="31"/>
      <c r="K768" s="29"/>
      <c r="L768" s="32"/>
      <c r="M768" s="29"/>
      <c r="N768" s="33"/>
      <c r="O768" s="32"/>
      <c r="P768" s="34"/>
      <c r="Q768" s="34"/>
      <c r="R768" s="34"/>
      <c r="S768" s="32"/>
      <c r="T768" s="32"/>
      <c r="U768" s="32"/>
      <c r="V768" s="32"/>
      <c r="W768" s="32"/>
    </row>
    <row r="769" spans="3:23" x14ac:dyDescent="0.25">
      <c r="C769" s="1"/>
      <c r="D769" s="29"/>
      <c r="E769" s="29"/>
      <c r="F769" s="29"/>
      <c r="G769" s="29"/>
      <c r="H769" s="30"/>
      <c r="I769" s="31"/>
      <c r="J769" s="31"/>
      <c r="K769" s="29"/>
      <c r="L769" s="32"/>
      <c r="M769" s="29"/>
      <c r="N769" s="33"/>
      <c r="O769" s="32"/>
      <c r="P769" s="34"/>
      <c r="Q769" s="34"/>
      <c r="R769" s="34"/>
      <c r="S769" s="32"/>
      <c r="T769" s="32"/>
      <c r="U769" s="32"/>
      <c r="V769" s="32"/>
      <c r="W769" s="32"/>
    </row>
    <row r="770" spans="3:23" x14ac:dyDescent="0.25">
      <c r="C770" s="1"/>
      <c r="D770" s="29"/>
      <c r="E770" s="29"/>
      <c r="F770" s="29"/>
      <c r="G770" s="29"/>
      <c r="H770" s="30"/>
      <c r="I770" s="31"/>
      <c r="J770" s="31"/>
      <c r="K770" s="29"/>
      <c r="L770" s="32"/>
      <c r="M770" s="29"/>
      <c r="N770" s="33"/>
      <c r="O770" s="32"/>
      <c r="P770" s="34"/>
      <c r="Q770" s="34"/>
      <c r="R770" s="34"/>
      <c r="S770" s="32"/>
      <c r="T770" s="32"/>
      <c r="U770" s="32"/>
      <c r="V770" s="32"/>
      <c r="W770" s="32"/>
    </row>
    <row r="771" spans="3:23" x14ac:dyDescent="0.25">
      <c r="C771" s="1"/>
      <c r="D771" s="29"/>
      <c r="E771" s="29"/>
      <c r="F771" s="29"/>
      <c r="G771" s="29"/>
      <c r="H771" s="30"/>
      <c r="I771" s="31"/>
      <c r="J771" s="31"/>
      <c r="K771" s="29"/>
      <c r="L771" s="32"/>
      <c r="M771" s="29"/>
      <c r="N771" s="33"/>
      <c r="O771" s="32"/>
      <c r="P771" s="34"/>
      <c r="Q771" s="34"/>
      <c r="R771" s="34"/>
      <c r="S771" s="32"/>
      <c r="T771" s="32"/>
      <c r="U771" s="32"/>
      <c r="V771" s="32"/>
      <c r="W771" s="32"/>
    </row>
    <row r="772" spans="3:23" x14ac:dyDescent="0.25">
      <c r="C772" s="1"/>
      <c r="D772" s="29"/>
      <c r="E772" s="29"/>
      <c r="F772" s="29"/>
      <c r="G772" s="29"/>
      <c r="H772" s="30"/>
      <c r="I772" s="31"/>
      <c r="J772" s="31"/>
      <c r="K772" s="29"/>
      <c r="L772" s="32"/>
      <c r="M772" s="29"/>
      <c r="N772" s="33"/>
      <c r="O772" s="32"/>
      <c r="P772" s="34"/>
      <c r="Q772" s="34"/>
      <c r="R772" s="34"/>
      <c r="S772" s="32"/>
      <c r="T772" s="32"/>
      <c r="U772" s="32"/>
      <c r="V772" s="32"/>
      <c r="W772" s="32"/>
    </row>
    <row r="773" spans="3:23" x14ac:dyDescent="0.25">
      <c r="C773" s="1"/>
      <c r="D773" s="29"/>
      <c r="E773" s="29"/>
      <c r="F773" s="29"/>
      <c r="G773" s="29"/>
      <c r="H773" s="30"/>
      <c r="I773" s="31"/>
      <c r="J773" s="31"/>
      <c r="K773" s="29"/>
      <c r="L773" s="32"/>
      <c r="M773" s="29"/>
      <c r="N773" s="33"/>
      <c r="O773" s="32"/>
      <c r="P773" s="34"/>
      <c r="Q773" s="34"/>
      <c r="R773" s="34"/>
      <c r="S773" s="32"/>
      <c r="T773" s="32"/>
      <c r="U773" s="32"/>
      <c r="V773" s="32"/>
      <c r="W773" s="32"/>
    </row>
    <row r="774" spans="3:23" x14ac:dyDescent="0.25">
      <c r="C774" s="1"/>
      <c r="D774" s="29"/>
      <c r="E774" s="29"/>
      <c r="F774" s="29"/>
      <c r="G774" s="29"/>
      <c r="H774" s="30"/>
      <c r="I774" s="31"/>
      <c r="J774" s="31"/>
      <c r="K774" s="29"/>
      <c r="L774" s="32"/>
      <c r="M774" s="29"/>
      <c r="N774" s="33"/>
      <c r="O774" s="32"/>
      <c r="P774" s="34"/>
      <c r="Q774" s="34"/>
      <c r="R774" s="34"/>
      <c r="S774" s="32"/>
      <c r="T774" s="32"/>
      <c r="U774" s="32"/>
      <c r="V774" s="32"/>
      <c r="W774" s="32"/>
    </row>
    <row r="775" spans="3:23" x14ac:dyDescent="0.25">
      <c r="C775" s="1"/>
      <c r="D775" s="29"/>
      <c r="E775" s="29"/>
      <c r="F775" s="29"/>
      <c r="G775" s="29"/>
      <c r="H775" s="30"/>
      <c r="I775" s="31"/>
      <c r="J775" s="31"/>
      <c r="K775" s="29"/>
      <c r="L775" s="32"/>
      <c r="M775" s="29"/>
      <c r="N775" s="33"/>
      <c r="O775" s="32"/>
      <c r="P775" s="34"/>
      <c r="Q775" s="34"/>
      <c r="R775" s="34"/>
      <c r="S775" s="32"/>
      <c r="T775" s="32"/>
      <c r="U775" s="32"/>
      <c r="V775" s="32"/>
      <c r="W775" s="32"/>
    </row>
    <row r="776" spans="3:23" x14ac:dyDescent="0.25">
      <c r="C776" s="1"/>
      <c r="D776" s="29"/>
      <c r="E776" s="29"/>
      <c r="F776" s="29"/>
      <c r="G776" s="29"/>
      <c r="H776" s="30"/>
      <c r="I776" s="31"/>
      <c r="J776" s="31"/>
      <c r="K776" s="29"/>
      <c r="L776" s="32"/>
      <c r="M776" s="29"/>
      <c r="N776" s="33"/>
      <c r="O776" s="32"/>
      <c r="P776" s="34"/>
      <c r="Q776" s="34"/>
      <c r="R776" s="34"/>
      <c r="S776" s="32"/>
      <c r="T776" s="32"/>
      <c r="U776" s="32"/>
      <c r="V776" s="32"/>
      <c r="W776" s="32"/>
    </row>
    <row r="777" spans="3:23" x14ac:dyDescent="0.25">
      <c r="C777" s="1"/>
      <c r="D777" s="29"/>
      <c r="E777" s="29"/>
      <c r="F777" s="29"/>
      <c r="G777" s="29"/>
      <c r="H777" s="30"/>
      <c r="I777" s="31"/>
      <c r="J777" s="31"/>
      <c r="K777" s="29"/>
      <c r="L777" s="32"/>
      <c r="M777" s="29"/>
      <c r="N777" s="33"/>
      <c r="O777" s="32"/>
      <c r="P777" s="34"/>
      <c r="Q777" s="34"/>
      <c r="R777" s="34"/>
      <c r="S777" s="32"/>
      <c r="T777" s="32"/>
      <c r="U777" s="32"/>
      <c r="V777" s="32"/>
      <c r="W777" s="32"/>
    </row>
    <row r="778" spans="3:23" x14ac:dyDescent="0.25">
      <c r="C778" s="1"/>
      <c r="D778" s="29"/>
      <c r="E778" s="29"/>
      <c r="F778" s="29"/>
      <c r="G778" s="29"/>
      <c r="H778" s="30"/>
      <c r="I778" s="31"/>
      <c r="J778" s="31"/>
      <c r="K778" s="29"/>
      <c r="L778" s="32"/>
      <c r="M778" s="29"/>
      <c r="N778" s="33"/>
      <c r="O778" s="32"/>
      <c r="P778" s="34"/>
      <c r="Q778" s="34"/>
      <c r="R778" s="34"/>
      <c r="S778" s="32"/>
      <c r="T778" s="32"/>
      <c r="U778" s="32"/>
      <c r="V778" s="32"/>
      <c r="W778" s="32"/>
    </row>
    <row r="779" spans="3:23" x14ac:dyDescent="0.25">
      <c r="C779" s="1"/>
      <c r="D779" s="29"/>
      <c r="E779" s="29"/>
      <c r="F779" s="29"/>
      <c r="G779" s="29"/>
      <c r="H779" s="30"/>
      <c r="I779" s="31"/>
      <c r="J779" s="31"/>
      <c r="K779" s="29"/>
      <c r="L779" s="32"/>
      <c r="M779" s="29"/>
      <c r="N779" s="33"/>
      <c r="O779" s="32"/>
      <c r="P779" s="34"/>
      <c r="Q779" s="34"/>
      <c r="R779" s="34"/>
      <c r="S779" s="32"/>
      <c r="T779" s="32"/>
      <c r="U779" s="32"/>
      <c r="V779" s="32"/>
      <c r="W779" s="32"/>
    </row>
    <row r="780" spans="3:23" x14ac:dyDescent="0.25">
      <c r="C780" s="1"/>
      <c r="D780" s="29"/>
      <c r="E780" s="29"/>
      <c r="F780" s="29"/>
      <c r="G780" s="29"/>
      <c r="H780" s="30"/>
      <c r="I780" s="31"/>
      <c r="J780" s="31"/>
      <c r="K780" s="29"/>
      <c r="L780" s="32"/>
      <c r="M780" s="29"/>
      <c r="N780" s="33"/>
      <c r="O780" s="32"/>
      <c r="P780" s="34"/>
      <c r="Q780" s="34"/>
      <c r="R780" s="34"/>
      <c r="S780" s="32"/>
      <c r="T780" s="32"/>
      <c r="U780" s="32"/>
      <c r="V780" s="32"/>
      <c r="W780" s="32"/>
    </row>
    <row r="781" spans="3:23" x14ac:dyDescent="0.25">
      <c r="C781" s="1"/>
      <c r="D781" s="29"/>
      <c r="E781" s="29"/>
      <c r="F781" s="29"/>
      <c r="G781" s="29"/>
      <c r="H781" s="30"/>
      <c r="I781" s="31"/>
      <c r="J781" s="31"/>
      <c r="K781" s="29"/>
      <c r="L781" s="32"/>
      <c r="M781" s="29"/>
      <c r="N781" s="33"/>
      <c r="O781" s="32"/>
      <c r="P781" s="34"/>
      <c r="Q781" s="34"/>
      <c r="R781" s="34"/>
      <c r="S781" s="32"/>
      <c r="T781" s="32"/>
      <c r="U781" s="32"/>
      <c r="V781" s="32"/>
      <c r="W781" s="32"/>
    </row>
    <row r="782" spans="3:23" x14ac:dyDescent="0.25">
      <c r="C782" s="1"/>
      <c r="D782" s="29"/>
      <c r="E782" s="29"/>
      <c r="F782" s="29"/>
      <c r="G782" s="29"/>
      <c r="H782" s="30"/>
      <c r="I782" s="31"/>
      <c r="J782" s="31"/>
      <c r="K782" s="29"/>
      <c r="L782" s="32"/>
      <c r="M782" s="29"/>
      <c r="N782" s="33"/>
      <c r="O782" s="32"/>
      <c r="P782" s="34"/>
      <c r="Q782" s="34"/>
      <c r="R782" s="34"/>
      <c r="S782" s="32"/>
      <c r="T782" s="32"/>
      <c r="U782" s="32"/>
      <c r="V782" s="32"/>
      <c r="W782" s="32"/>
    </row>
    <row r="783" spans="3:23" x14ac:dyDescent="0.25">
      <c r="C783" s="1"/>
      <c r="D783" s="29"/>
      <c r="E783" s="29"/>
      <c r="F783" s="29"/>
      <c r="G783" s="29"/>
      <c r="H783" s="30"/>
      <c r="I783" s="31"/>
      <c r="J783" s="31"/>
      <c r="K783" s="29"/>
      <c r="L783" s="32"/>
      <c r="M783" s="29"/>
      <c r="N783" s="33"/>
      <c r="O783" s="32"/>
      <c r="P783" s="34"/>
      <c r="Q783" s="34"/>
      <c r="R783" s="34"/>
      <c r="S783" s="32"/>
      <c r="T783" s="32"/>
      <c r="U783" s="32"/>
      <c r="V783" s="32"/>
      <c r="W783" s="32"/>
    </row>
    <row r="784" spans="3:23" x14ac:dyDescent="0.25">
      <c r="C784" s="1"/>
      <c r="D784" s="29"/>
      <c r="E784" s="29"/>
      <c r="F784" s="29"/>
      <c r="G784" s="29"/>
      <c r="H784" s="30"/>
      <c r="I784" s="31"/>
      <c r="J784" s="31"/>
      <c r="K784" s="29"/>
      <c r="L784" s="32"/>
      <c r="M784" s="29"/>
      <c r="N784" s="33"/>
      <c r="O784" s="32"/>
      <c r="P784" s="34"/>
      <c r="Q784" s="34"/>
      <c r="R784" s="34"/>
      <c r="S784" s="32"/>
      <c r="T784" s="32"/>
      <c r="U784" s="32"/>
      <c r="V784" s="32"/>
      <c r="W784" s="32"/>
    </row>
    <row r="785" spans="3:23" x14ac:dyDescent="0.25">
      <c r="C785" s="1"/>
      <c r="D785" s="29"/>
      <c r="E785" s="29"/>
      <c r="F785" s="29"/>
      <c r="G785" s="29"/>
      <c r="H785" s="30"/>
      <c r="I785" s="31"/>
      <c r="J785" s="31"/>
      <c r="K785" s="29"/>
      <c r="L785" s="32"/>
      <c r="M785" s="29"/>
      <c r="N785" s="33"/>
      <c r="O785" s="32"/>
      <c r="P785" s="34"/>
      <c r="Q785" s="34"/>
      <c r="R785" s="34"/>
      <c r="S785" s="32"/>
      <c r="T785" s="32"/>
      <c r="U785" s="32"/>
      <c r="V785" s="32"/>
      <c r="W785" s="32"/>
    </row>
    <row r="786" spans="3:23" x14ac:dyDescent="0.25">
      <c r="C786" s="1"/>
      <c r="D786" s="29"/>
      <c r="E786" s="29"/>
      <c r="F786" s="29"/>
      <c r="G786" s="29"/>
      <c r="H786" s="30"/>
      <c r="I786" s="31"/>
      <c r="J786" s="31"/>
      <c r="K786" s="29"/>
      <c r="L786" s="32"/>
      <c r="M786" s="29"/>
      <c r="N786" s="33"/>
      <c r="O786" s="32"/>
      <c r="P786" s="34"/>
      <c r="Q786" s="34"/>
      <c r="R786" s="34"/>
      <c r="S786" s="32"/>
      <c r="T786" s="32"/>
      <c r="U786" s="32"/>
      <c r="V786" s="32"/>
      <c r="W786" s="32"/>
    </row>
    <row r="787" spans="3:23" x14ac:dyDescent="0.25">
      <c r="C787" s="1"/>
      <c r="D787" s="29"/>
      <c r="E787" s="29"/>
      <c r="F787" s="29"/>
      <c r="G787" s="29"/>
      <c r="H787" s="30"/>
      <c r="I787" s="31"/>
      <c r="J787" s="31"/>
      <c r="K787" s="29"/>
      <c r="L787" s="32"/>
      <c r="M787" s="29"/>
      <c r="N787" s="33"/>
      <c r="O787" s="32"/>
      <c r="P787" s="34"/>
      <c r="Q787" s="34"/>
      <c r="R787" s="34"/>
      <c r="S787" s="32"/>
      <c r="T787" s="32"/>
      <c r="U787" s="32"/>
      <c r="V787" s="32"/>
      <c r="W787" s="32"/>
    </row>
    <row r="788" spans="3:23" x14ac:dyDescent="0.25">
      <c r="C788" s="1"/>
      <c r="D788" s="29"/>
      <c r="E788" s="29"/>
      <c r="F788" s="29"/>
      <c r="G788" s="29"/>
      <c r="H788" s="30"/>
      <c r="I788" s="31"/>
      <c r="J788" s="31"/>
      <c r="K788" s="29"/>
      <c r="L788" s="32"/>
      <c r="M788" s="29"/>
      <c r="N788" s="33"/>
      <c r="O788" s="32"/>
      <c r="P788" s="34"/>
      <c r="Q788" s="34"/>
      <c r="R788" s="34"/>
      <c r="S788" s="32"/>
      <c r="T788" s="32"/>
      <c r="U788" s="32"/>
      <c r="V788" s="32"/>
      <c r="W788" s="32"/>
    </row>
    <row r="789" spans="3:23" x14ac:dyDescent="0.25">
      <c r="C789" s="1"/>
      <c r="D789" s="29"/>
      <c r="E789" s="29"/>
      <c r="F789" s="29"/>
      <c r="G789" s="29"/>
      <c r="H789" s="30"/>
      <c r="I789" s="31"/>
      <c r="J789" s="31"/>
      <c r="K789" s="29"/>
      <c r="L789" s="32"/>
      <c r="M789" s="29"/>
      <c r="N789" s="33"/>
      <c r="O789" s="32"/>
      <c r="P789" s="34"/>
      <c r="Q789" s="34"/>
      <c r="R789" s="34"/>
      <c r="S789" s="32"/>
      <c r="T789" s="32"/>
      <c r="U789" s="32"/>
      <c r="V789" s="32"/>
      <c r="W789" s="32"/>
    </row>
    <row r="790" spans="3:23" x14ac:dyDescent="0.25">
      <c r="C790" s="1"/>
      <c r="D790" s="29"/>
      <c r="E790" s="29"/>
      <c r="F790" s="29"/>
      <c r="G790" s="29"/>
      <c r="H790" s="30"/>
      <c r="I790" s="31"/>
      <c r="J790" s="31"/>
      <c r="K790" s="29"/>
      <c r="L790" s="32"/>
      <c r="M790" s="29"/>
      <c r="N790" s="33"/>
      <c r="O790" s="32"/>
      <c r="P790" s="34"/>
      <c r="Q790" s="34"/>
      <c r="R790" s="34"/>
      <c r="S790" s="32"/>
      <c r="T790" s="32"/>
      <c r="U790" s="32"/>
      <c r="V790" s="32"/>
      <c r="W790" s="32"/>
    </row>
    <row r="791" spans="3:23" x14ac:dyDescent="0.25">
      <c r="C791" s="1"/>
      <c r="D791" s="29"/>
      <c r="E791" s="29"/>
      <c r="F791" s="29"/>
      <c r="G791" s="29"/>
      <c r="H791" s="30"/>
      <c r="I791" s="31"/>
      <c r="J791" s="31"/>
      <c r="K791" s="29"/>
      <c r="L791" s="32"/>
      <c r="M791" s="29"/>
      <c r="N791" s="33"/>
      <c r="O791" s="32"/>
      <c r="P791" s="34"/>
      <c r="Q791" s="34"/>
      <c r="R791" s="34"/>
      <c r="S791" s="32"/>
      <c r="T791" s="32"/>
      <c r="U791" s="32"/>
      <c r="V791" s="32"/>
      <c r="W791" s="32"/>
    </row>
    <row r="792" spans="3:23" x14ac:dyDescent="0.25">
      <c r="C792" s="1"/>
      <c r="D792" s="29"/>
      <c r="E792" s="29"/>
      <c r="F792" s="29"/>
      <c r="G792" s="29"/>
      <c r="H792" s="30"/>
      <c r="I792" s="31"/>
      <c r="J792" s="31"/>
      <c r="K792" s="29"/>
      <c r="L792" s="32"/>
      <c r="M792" s="29"/>
      <c r="N792" s="33"/>
      <c r="O792" s="32"/>
      <c r="P792" s="34"/>
      <c r="Q792" s="34"/>
      <c r="R792" s="34"/>
      <c r="S792" s="32"/>
      <c r="T792" s="32"/>
      <c r="U792" s="32"/>
      <c r="V792" s="32"/>
      <c r="W792" s="32"/>
    </row>
    <row r="793" spans="3:23" x14ac:dyDescent="0.25">
      <c r="C793" s="1"/>
      <c r="D793" s="29"/>
      <c r="E793" s="29"/>
      <c r="F793" s="29"/>
      <c r="G793" s="29"/>
      <c r="H793" s="30"/>
      <c r="I793" s="31"/>
      <c r="J793" s="31"/>
      <c r="K793" s="29"/>
      <c r="L793" s="32"/>
      <c r="M793" s="29"/>
      <c r="N793" s="33"/>
      <c r="O793" s="32"/>
      <c r="P793" s="34"/>
      <c r="Q793" s="34"/>
      <c r="R793" s="34"/>
      <c r="S793" s="32"/>
      <c r="T793" s="32"/>
      <c r="U793" s="32"/>
      <c r="V793" s="32"/>
      <c r="W793" s="32"/>
    </row>
    <row r="794" spans="3:23" x14ac:dyDescent="0.25">
      <c r="C794" s="1"/>
      <c r="D794" s="29"/>
      <c r="E794" s="29"/>
      <c r="F794" s="29"/>
      <c r="G794" s="29"/>
      <c r="H794" s="30"/>
      <c r="I794" s="31"/>
      <c r="J794" s="31"/>
      <c r="K794" s="29"/>
      <c r="L794" s="32"/>
      <c r="M794" s="29"/>
      <c r="N794" s="33"/>
      <c r="O794" s="32"/>
      <c r="P794" s="34"/>
      <c r="Q794" s="34"/>
      <c r="R794" s="34"/>
      <c r="S794" s="32"/>
      <c r="T794" s="32"/>
      <c r="U794" s="32"/>
      <c r="V794" s="32"/>
      <c r="W794" s="32"/>
    </row>
    <row r="795" spans="3:23" x14ac:dyDescent="0.25">
      <c r="C795" s="1"/>
      <c r="D795" s="29"/>
      <c r="E795" s="29"/>
      <c r="F795" s="29"/>
      <c r="G795" s="29"/>
      <c r="H795" s="30"/>
      <c r="I795" s="31"/>
      <c r="J795" s="31"/>
      <c r="K795" s="29"/>
      <c r="L795" s="32"/>
      <c r="M795" s="29"/>
      <c r="N795" s="33"/>
      <c r="O795" s="32"/>
      <c r="P795" s="34"/>
      <c r="Q795" s="34"/>
      <c r="R795" s="34"/>
      <c r="S795" s="32"/>
      <c r="T795" s="32"/>
      <c r="U795" s="32"/>
      <c r="V795" s="32"/>
      <c r="W795" s="32"/>
    </row>
    <row r="796" spans="3:23" x14ac:dyDescent="0.25">
      <c r="C796" s="1"/>
      <c r="D796" s="29"/>
      <c r="E796" s="29"/>
      <c r="F796" s="29"/>
      <c r="G796" s="29"/>
      <c r="H796" s="30"/>
      <c r="I796" s="31"/>
      <c r="J796" s="31"/>
      <c r="K796" s="29"/>
      <c r="L796" s="32"/>
      <c r="M796" s="29"/>
      <c r="N796" s="33"/>
      <c r="O796" s="32"/>
      <c r="P796" s="34"/>
      <c r="Q796" s="34"/>
      <c r="R796" s="34"/>
      <c r="S796" s="32"/>
      <c r="T796" s="32"/>
      <c r="U796" s="32"/>
      <c r="V796" s="32"/>
      <c r="W796" s="32"/>
    </row>
    <row r="797" spans="3:23" x14ac:dyDescent="0.25">
      <c r="C797" s="1"/>
      <c r="D797" s="29"/>
      <c r="E797" s="29"/>
      <c r="F797" s="29"/>
      <c r="G797" s="29"/>
      <c r="H797" s="30"/>
      <c r="I797" s="31"/>
      <c r="J797" s="31"/>
      <c r="K797" s="29"/>
      <c r="L797" s="32"/>
      <c r="M797" s="29"/>
      <c r="N797" s="33"/>
      <c r="O797" s="32"/>
      <c r="P797" s="34"/>
      <c r="Q797" s="34"/>
      <c r="R797" s="34"/>
      <c r="S797" s="32"/>
      <c r="T797" s="32"/>
      <c r="U797" s="32"/>
      <c r="V797" s="32"/>
      <c r="W797" s="32"/>
    </row>
    <row r="798" spans="3:23" x14ac:dyDescent="0.25">
      <c r="C798" s="1"/>
      <c r="D798" s="29"/>
      <c r="E798" s="29"/>
      <c r="F798" s="29"/>
      <c r="G798" s="29"/>
      <c r="H798" s="30"/>
      <c r="I798" s="31"/>
      <c r="J798" s="31"/>
      <c r="K798" s="29"/>
      <c r="L798" s="32"/>
      <c r="M798" s="29"/>
      <c r="N798" s="33"/>
      <c r="O798" s="32"/>
      <c r="P798" s="34"/>
      <c r="Q798" s="34"/>
      <c r="R798" s="34"/>
      <c r="S798" s="32"/>
      <c r="T798" s="32"/>
      <c r="U798" s="32"/>
      <c r="V798" s="32"/>
      <c r="W798" s="32"/>
    </row>
    <row r="799" spans="3:23" x14ac:dyDescent="0.25">
      <c r="C799" s="1"/>
      <c r="D799" s="29"/>
      <c r="E799" s="29"/>
      <c r="F799" s="29"/>
      <c r="G799" s="29"/>
      <c r="H799" s="30"/>
      <c r="I799" s="31"/>
      <c r="J799" s="31"/>
      <c r="K799" s="29"/>
      <c r="L799" s="32"/>
      <c r="M799" s="29"/>
      <c r="N799" s="33"/>
      <c r="O799" s="32"/>
      <c r="P799" s="34"/>
      <c r="Q799" s="34"/>
      <c r="R799" s="34"/>
      <c r="S799" s="32"/>
      <c r="T799" s="32"/>
      <c r="U799" s="32"/>
      <c r="V799" s="32"/>
      <c r="W799" s="32"/>
    </row>
    <row r="800" spans="3:23" x14ac:dyDescent="0.25">
      <c r="C800" s="1"/>
      <c r="D800" s="29"/>
      <c r="E800" s="29"/>
      <c r="F800" s="29"/>
      <c r="G800" s="29"/>
      <c r="H800" s="30"/>
      <c r="I800" s="31"/>
      <c r="J800" s="31"/>
      <c r="K800" s="29"/>
      <c r="L800" s="32"/>
      <c r="M800" s="29"/>
      <c r="N800" s="33"/>
      <c r="O800" s="32"/>
      <c r="P800" s="34"/>
      <c r="Q800" s="34"/>
      <c r="R800" s="34"/>
      <c r="S800" s="32"/>
      <c r="T800" s="32"/>
      <c r="U800" s="32"/>
      <c r="V800" s="32"/>
      <c r="W800" s="32"/>
    </row>
    <row r="801" spans="3:23" x14ac:dyDescent="0.25">
      <c r="C801" s="1"/>
      <c r="D801" s="29"/>
      <c r="E801" s="29"/>
      <c r="F801" s="29"/>
      <c r="G801" s="29"/>
      <c r="H801" s="30"/>
      <c r="I801" s="31"/>
      <c r="J801" s="31"/>
      <c r="K801" s="29"/>
      <c r="L801" s="32"/>
      <c r="M801" s="29"/>
      <c r="N801" s="33"/>
      <c r="O801" s="32"/>
      <c r="P801" s="34"/>
      <c r="Q801" s="34"/>
      <c r="R801" s="34"/>
      <c r="S801" s="32"/>
      <c r="T801" s="32"/>
      <c r="U801" s="32"/>
      <c r="V801" s="32"/>
      <c r="W801" s="32"/>
    </row>
    <row r="802" spans="3:23" x14ac:dyDescent="0.25">
      <c r="C802" s="1"/>
      <c r="D802" s="29"/>
      <c r="E802" s="29"/>
      <c r="F802" s="29"/>
      <c r="G802" s="29"/>
      <c r="H802" s="30"/>
      <c r="I802" s="31"/>
      <c r="J802" s="31"/>
      <c r="K802" s="29"/>
      <c r="L802" s="32"/>
      <c r="M802" s="29"/>
      <c r="N802" s="33"/>
      <c r="O802" s="32"/>
      <c r="P802" s="34"/>
      <c r="Q802" s="34"/>
      <c r="R802" s="34"/>
      <c r="S802" s="32"/>
      <c r="T802" s="32"/>
      <c r="U802" s="32"/>
      <c r="V802" s="32"/>
      <c r="W802" s="32"/>
    </row>
    <row r="803" spans="3:23" x14ac:dyDescent="0.25">
      <c r="C803" s="1"/>
      <c r="D803" s="29"/>
      <c r="E803" s="29"/>
      <c r="F803" s="29"/>
      <c r="G803" s="29"/>
      <c r="H803" s="30"/>
      <c r="I803" s="31"/>
      <c r="J803" s="31"/>
      <c r="K803" s="29"/>
      <c r="L803" s="32"/>
      <c r="M803" s="29"/>
      <c r="N803" s="33"/>
      <c r="O803" s="32"/>
      <c r="P803" s="34"/>
      <c r="Q803" s="34"/>
      <c r="R803" s="34"/>
      <c r="S803" s="32"/>
      <c r="T803" s="32"/>
      <c r="U803" s="32"/>
      <c r="V803" s="32"/>
      <c r="W803" s="32"/>
    </row>
    <row r="804" spans="3:23" x14ac:dyDescent="0.25">
      <c r="C804" s="1"/>
      <c r="D804" s="29"/>
      <c r="E804" s="29"/>
      <c r="F804" s="29"/>
      <c r="G804" s="29"/>
      <c r="H804" s="30"/>
      <c r="I804" s="31"/>
      <c r="J804" s="31"/>
      <c r="K804" s="29"/>
      <c r="L804" s="32"/>
      <c r="M804" s="29"/>
      <c r="N804" s="33"/>
      <c r="O804" s="32"/>
      <c r="P804" s="34"/>
      <c r="Q804" s="34"/>
      <c r="R804" s="34"/>
      <c r="S804" s="32"/>
      <c r="T804" s="32"/>
      <c r="U804" s="32"/>
      <c r="V804" s="32"/>
      <c r="W804" s="32"/>
    </row>
    <row r="805" spans="3:23" x14ac:dyDescent="0.25">
      <c r="C805" s="1"/>
      <c r="D805" s="29"/>
      <c r="E805" s="29"/>
      <c r="F805" s="29"/>
      <c r="G805" s="29"/>
      <c r="H805" s="30"/>
      <c r="I805" s="31"/>
      <c r="J805" s="31"/>
      <c r="K805" s="29"/>
      <c r="L805" s="32"/>
      <c r="M805" s="29"/>
      <c r="N805" s="33"/>
      <c r="O805" s="32"/>
      <c r="P805" s="34"/>
      <c r="Q805" s="34"/>
      <c r="R805" s="34"/>
      <c r="S805" s="32"/>
      <c r="T805" s="32"/>
      <c r="U805" s="32"/>
      <c r="V805" s="32"/>
      <c r="W805" s="32"/>
    </row>
    <row r="806" spans="3:23" x14ac:dyDescent="0.25">
      <c r="C806" s="1"/>
      <c r="D806" s="29"/>
      <c r="E806" s="29"/>
      <c r="F806" s="29"/>
      <c r="G806" s="29"/>
      <c r="H806" s="30"/>
      <c r="I806" s="31"/>
      <c r="J806" s="31"/>
      <c r="K806" s="29"/>
      <c r="L806" s="32"/>
      <c r="M806" s="29"/>
      <c r="N806" s="33"/>
      <c r="O806" s="32"/>
      <c r="P806" s="34"/>
      <c r="Q806" s="34"/>
      <c r="R806" s="34"/>
      <c r="S806" s="32"/>
      <c r="T806" s="32"/>
      <c r="U806" s="32"/>
      <c r="V806" s="32"/>
      <c r="W806" s="32"/>
    </row>
    <row r="807" spans="3:23" x14ac:dyDescent="0.25">
      <c r="C807" s="1"/>
      <c r="D807" s="29"/>
      <c r="E807" s="29"/>
      <c r="F807" s="29"/>
      <c r="G807" s="29"/>
      <c r="H807" s="30"/>
      <c r="I807" s="31"/>
      <c r="J807" s="31"/>
      <c r="K807" s="29"/>
      <c r="L807" s="32"/>
      <c r="M807" s="29"/>
      <c r="N807" s="33"/>
      <c r="O807" s="32"/>
      <c r="P807" s="34"/>
      <c r="Q807" s="34"/>
      <c r="R807" s="34"/>
      <c r="S807" s="32"/>
      <c r="T807" s="32"/>
      <c r="U807" s="32"/>
      <c r="V807" s="32"/>
      <c r="W807" s="32"/>
    </row>
    <row r="808" spans="3:23" x14ac:dyDescent="0.25">
      <c r="C808" s="1"/>
      <c r="D808" s="29"/>
      <c r="E808" s="29"/>
      <c r="F808" s="29"/>
      <c r="G808" s="29"/>
      <c r="H808" s="30"/>
      <c r="I808" s="31"/>
      <c r="J808" s="31"/>
      <c r="K808" s="29"/>
      <c r="L808" s="32"/>
      <c r="M808" s="29"/>
      <c r="N808" s="33"/>
      <c r="O808" s="32"/>
      <c r="P808" s="34"/>
      <c r="Q808" s="34"/>
      <c r="R808" s="34"/>
      <c r="S808" s="32"/>
      <c r="T808" s="32"/>
      <c r="U808" s="32"/>
      <c r="V808" s="32"/>
      <c r="W808" s="32"/>
    </row>
    <row r="809" spans="3:23" x14ac:dyDescent="0.25">
      <c r="C809" s="1"/>
      <c r="D809" s="29"/>
      <c r="E809" s="29"/>
      <c r="F809" s="29"/>
      <c r="G809" s="29"/>
      <c r="H809" s="30"/>
      <c r="I809" s="31"/>
      <c r="J809" s="31"/>
      <c r="K809" s="29"/>
      <c r="L809" s="32"/>
      <c r="M809" s="29"/>
      <c r="N809" s="33"/>
      <c r="O809" s="32"/>
      <c r="P809" s="34"/>
      <c r="Q809" s="34"/>
      <c r="R809" s="34"/>
      <c r="S809" s="32"/>
      <c r="T809" s="32"/>
      <c r="U809" s="32"/>
      <c r="V809" s="32"/>
      <c r="W809" s="32"/>
    </row>
    <row r="810" spans="3:23" x14ac:dyDescent="0.25">
      <c r="C810" s="1"/>
      <c r="D810" s="29"/>
      <c r="E810" s="29"/>
      <c r="F810" s="29"/>
      <c r="G810" s="29"/>
      <c r="H810" s="30"/>
      <c r="I810" s="31"/>
      <c r="J810" s="31"/>
      <c r="K810" s="29"/>
      <c r="L810" s="32"/>
      <c r="M810" s="29"/>
      <c r="N810" s="33"/>
      <c r="O810" s="32"/>
      <c r="P810" s="34"/>
      <c r="Q810" s="34"/>
      <c r="R810" s="34"/>
      <c r="S810" s="32"/>
      <c r="T810" s="32"/>
      <c r="U810" s="32"/>
      <c r="V810" s="32"/>
      <c r="W810" s="32"/>
    </row>
    <row r="811" spans="3:23" x14ac:dyDescent="0.25">
      <c r="C811" s="1"/>
      <c r="D811" s="29"/>
      <c r="E811" s="29"/>
      <c r="F811" s="29"/>
      <c r="G811" s="29"/>
      <c r="H811" s="30"/>
      <c r="I811" s="31"/>
      <c r="J811" s="31"/>
      <c r="K811" s="29"/>
      <c r="L811" s="32"/>
      <c r="M811" s="29"/>
      <c r="N811" s="33"/>
      <c r="O811" s="32"/>
      <c r="P811" s="34"/>
      <c r="Q811" s="34"/>
      <c r="R811" s="34"/>
      <c r="S811" s="32"/>
      <c r="T811" s="32"/>
      <c r="U811" s="32"/>
      <c r="V811" s="32"/>
      <c r="W811" s="32"/>
    </row>
    <row r="812" spans="3:23" x14ac:dyDescent="0.25">
      <c r="C812" s="1"/>
      <c r="D812" s="29"/>
      <c r="E812" s="29"/>
      <c r="F812" s="29"/>
      <c r="G812" s="29"/>
      <c r="H812" s="30"/>
      <c r="I812" s="31"/>
      <c r="J812" s="31"/>
      <c r="K812" s="29"/>
      <c r="L812" s="32"/>
      <c r="M812" s="29"/>
      <c r="N812" s="33"/>
      <c r="O812" s="32"/>
      <c r="P812" s="34"/>
      <c r="Q812" s="34"/>
      <c r="R812" s="34"/>
      <c r="S812" s="32"/>
      <c r="T812" s="32"/>
      <c r="U812" s="32"/>
      <c r="V812" s="32"/>
      <c r="W812" s="32"/>
    </row>
    <row r="813" spans="3:23" x14ac:dyDescent="0.25">
      <c r="C813" s="1"/>
      <c r="D813" s="29"/>
      <c r="E813" s="29"/>
      <c r="F813" s="29"/>
      <c r="G813" s="29"/>
      <c r="H813" s="30"/>
      <c r="I813" s="31"/>
      <c r="J813" s="31"/>
      <c r="K813" s="29"/>
      <c r="L813" s="32"/>
      <c r="M813" s="29"/>
      <c r="N813" s="33"/>
      <c r="O813" s="32"/>
      <c r="P813" s="34"/>
      <c r="Q813" s="34"/>
      <c r="R813" s="34"/>
      <c r="S813" s="32"/>
      <c r="T813" s="32"/>
      <c r="U813" s="32"/>
      <c r="V813" s="32"/>
      <c r="W813" s="32"/>
    </row>
    <row r="814" spans="3:23" x14ac:dyDescent="0.25">
      <c r="C814" s="1"/>
      <c r="D814" s="29"/>
      <c r="E814" s="29"/>
      <c r="F814" s="29"/>
      <c r="G814" s="29"/>
      <c r="H814" s="30"/>
      <c r="I814" s="31"/>
      <c r="J814" s="31"/>
      <c r="K814" s="29"/>
      <c r="L814" s="32"/>
      <c r="M814" s="29"/>
      <c r="N814" s="33"/>
      <c r="O814" s="32"/>
      <c r="P814" s="34"/>
      <c r="Q814" s="34"/>
      <c r="R814" s="34"/>
      <c r="S814" s="32"/>
      <c r="T814" s="32"/>
      <c r="U814" s="32"/>
      <c r="V814" s="32"/>
      <c r="W814" s="32"/>
    </row>
    <row r="815" spans="3:23" x14ac:dyDescent="0.25">
      <c r="C815" s="1"/>
      <c r="D815" s="29"/>
      <c r="E815" s="29"/>
      <c r="F815" s="29"/>
      <c r="G815" s="29"/>
      <c r="H815" s="30"/>
      <c r="I815" s="31"/>
      <c r="J815" s="31"/>
      <c r="K815" s="29"/>
      <c r="L815" s="32"/>
      <c r="M815" s="29"/>
      <c r="N815" s="33"/>
      <c r="O815" s="32"/>
      <c r="P815" s="34"/>
      <c r="Q815" s="34"/>
      <c r="R815" s="34"/>
      <c r="S815" s="32"/>
      <c r="T815" s="32"/>
      <c r="U815" s="32"/>
      <c r="V815" s="32"/>
      <c r="W815" s="32"/>
    </row>
    <row r="816" spans="3:23" x14ac:dyDescent="0.25">
      <c r="C816" s="1"/>
      <c r="D816" s="29"/>
      <c r="E816" s="29"/>
      <c r="F816" s="29"/>
      <c r="G816" s="29"/>
      <c r="H816" s="30"/>
      <c r="I816" s="31"/>
      <c r="J816" s="31"/>
      <c r="K816" s="29"/>
      <c r="L816" s="32"/>
      <c r="M816" s="29"/>
      <c r="N816" s="33"/>
      <c r="O816" s="32"/>
      <c r="P816" s="34"/>
      <c r="Q816" s="34"/>
      <c r="R816" s="34"/>
      <c r="S816" s="32"/>
      <c r="T816" s="32"/>
      <c r="U816" s="32"/>
      <c r="V816" s="32"/>
      <c r="W816" s="32"/>
    </row>
    <row r="817" spans="3:23" x14ac:dyDescent="0.25">
      <c r="C817" s="1"/>
      <c r="D817" s="29"/>
      <c r="E817" s="29"/>
      <c r="F817" s="29"/>
      <c r="G817" s="29"/>
      <c r="H817" s="30"/>
      <c r="I817" s="31"/>
      <c r="J817" s="31"/>
      <c r="K817" s="29"/>
      <c r="L817" s="32"/>
      <c r="M817" s="29"/>
      <c r="N817" s="33"/>
      <c r="O817" s="32"/>
      <c r="P817" s="34"/>
      <c r="Q817" s="34"/>
      <c r="R817" s="34"/>
      <c r="S817" s="32"/>
      <c r="T817" s="32"/>
      <c r="U817" s="32"/>
      <c r="V817" s="32"/>
      <c r="W817" s="32"/>
    </row>
    <row r="818" spans="3:23" x14ac:dyDescent="0.25">
      <c r="C818" s="1"/>
      <c r="D818" s="29"/>
      <c r="E818" s="29"/>
      <c r="F818" s="29"/>
      <c r="G818" s="29"/>
      <c r="H818" s="30"/>
      <c r="I818" s="31"/>
      <c r="J818" s="31"/>
      <c r="K818" s="29"/>
      <c r="L818" s="32"/>
      <c r="M818" s="29"/>
      <c r="N818" s="33"/>
      <c r="O818" s="32"/>
      <c r="P818" s="34"/>
      <c r="Q818" s="34"/>
      <c r="R818" s="34"/>
      <c r="S818" s="32"/>
      <c r="T818" s="32"/>
      <c r="U818" s="32"/>
      <c r="V818" s="32"/>
      <c r="W818" s="32"/>
    </row>
    <row r="819" spans="3:23" x14ac:dyDescent="0.25">
      <c r="C819" s="1"/>
      <c r="D819" s="29"/>
      <c r="E819" s="29"/>
      <c r="F819" s="29"/>
      <c r="G819" s="29"/>
      <c r="H819" s="30"/>
      <c r="I819" s="31"/>
      <c r="J819" s="31"/>
      <c r="K819" s="29"/>
      <c r="L819" s="32"/>
      <c r="M819" s="29"/>
      <c r="N819" s="33"/>
      <c r="O819" s="32"/>
      <c r="P819" s="34"/>
      <c r="Q819" s="34"/>
      <c r="R819" s="34"/>
      <c r="S819" s="32"/>
      <c r="T819" s="32"/>
      <c r="U819" s="32"/>
      <c r="V819" s="32"/>
      <c r="W819" s="32"/>
    </row>
    <row r="820" spans="3:23" x14ac:dyDescent="0.25">
      <c r="C820" s="1"/>
      <c r="D820" s="29"/>
      <c r="E820" s="29"/>
      <c r="F820" s="29"/>
      <c r="G820" s="29"/>
      <c r="H820" s="30"/>
      <c r="I820" s="31"/>
      <c r="J820" s="31"/>
      <c r="K820" s="29"/>
      <c r="L820" s="32"/>
      <c r="M820" s="29"/>
      <c r="N820" s="33"/>
      <c r="O820" s="32"/>
      <c r="P820" s="34"/>
      <c r="Q820" s="34"/>
      <c r="R820" s="34"/>
      <c r="S820" s="32"/>
      <c r="T820" s="32"/>
      <c r="U820" s="32"/>
      <c r="V820" s="32"/>
      <c r="W820" s="32"/>
    </row>
    <row r="821" spans="3:23" x14ac:dyDescent="0.25">
      <c r="C821" s="1"/>
      <c r="D821" s="29"/>
      <c r="E821" s="29"/>
      <c r="F821" s="29"/>
      <c r="G821" s="29"/>
      <c r="H821" s="30"/>
      <c r="I821" s="31"/>
      <c r="J821" s="31"/>
      <c r="K821" s="29"/>
      <c r="L821" s="32"/>
      <c r="M821" s="29"/>
      <c r="N821" s="33"/>
      <c r="O821" s="32"/>
      <c r="P821" s="34"/>
      <c r="Q821" s="34"/>
      <c r="R821" s="34"/>
      <c r="S821" s="32"/>
      <c r="T821" s="32"/>
      <c r="U821" s="32"/>
      <c r="V821" s="32"/>
      <c r="W821" s="32"/>
    </row>
    <row r="822" spans="3:23" x14ac:dyDescent="0.25">
      <c r="C822" s="1"/>
      <c r="D822" s="29"/>
      <c r="E822" s="29"/>
      <c r="F822" s="29"/>
      <c r="G822" s="29"/>
      <c r="H822" s="30"/>
      <c r="I822" s="31"/>
      <c r="J822" s="31"/>
      <c r="K822" s="29"/>
      <c r="L822" s="32"/>
      <c r="M822" s="29"/>
      <c r="N822" s="33"/>
      <c r="O822" s="32"/>
      <c r="P822" s="34"/>
      <c r="Q822" s="34"/>
      <c r="R822" s="34"/>
      <c r="S822" s="32"/>
      <c r="T822" s="32"/>
      <c r="U822" s="32"/>
      <c r="V822" s="32"/>
      <c r="W822" s="32"/>
    </row>
    <row r="823" spans="3:23" x14ac:dyDescent="0.25">
      <c r="C823" s="1"/>
      <c r="D823" s="29"/>
      <c r="E823" s="29"/>
      <c r="F823" s="29"/>
      <c r="G823" s="29"/>
      <c r="H823" s="30"/>
      <c r="I823" s="31"/>
      <c r="J823" s="31"/>
      <c r="K823" s="29"/>
      <c r="L823" s="32"/>
      <c r="M823" s="29"/>
      <c r="N823" s="33"/>
      <c r="O823" s="32"/>
      <c r="P823" s="34"/>
      <c r="Q823" s="34"/>
      <c r="R823" s="34"/>
      <c r="S823" s="32"/>
      <c r="T823" s="32"/>
      <c r="U823" s="32"/>
      <c r="V823" s="32"/>
      <c r="W823" s="32"/>
    </row>
    <row r="824" spans="3:23" x14ac:dyDescent="0.25">
      <c r="C824" s="1"/>
      <c r="D824" s="29"/>
      <c r="E824" s="29"/>
      <c r="F824" s="29"/>
      <c r="G824" s="29"/>
      <c r="H824" s="30"/>
      <c r="I824" s="31"/>
      <c r="J824" s="31"/>
      <c r="K824" s="29"/>
      <c r="L824" s="32"/>
      <c r="M824" s="29"/>
      <c r="N824" s="33"/>
      <c r="O824" s="32"/>
      <c r="P824" s="34"/>
      <c r="Q824" s="34"/>
      <c r="R824" s="34"/>
      <c r="S824" s="32"/>
      <c r="T824" s="32"/>
      <c r="U824" s="32"/>
      <c r="V824" s="32"/>
      <c r="W824" s="32"/>
    </row>
    <row r="825" spans="3:23" x14ac:dyDescent="0.25">
      <c r="C825" s="1"/>
      <c r="D825" s="29"/>
      <c r="E825" s="29"/>
      <c r="F825" s="29"/>
      <c r="G825" s="29"/>
      <c r="H825" s="30"/>
      <c r="I825" s="31"/>
      <c r="J825" s="31"/>
      <c r="K825" s="29"/>
      <c r="L825" s="32"/>
      <c r="M825" s="29"/>
      <c r="N825" s="33"/>
      <c r="O825" s="32"/>
      <c r="P825" s="34"/>
      <c r="Q825" s="34"/>
      <c r="R825" s="34"/>
      <c r="S825" s="32"/>
      <c r="T825" s="32"/>
      <c r="U825" s="32"/>
      <c r="V825" s="32"/>
      <c r="W825" s="32"/>
    </row>
    <row r="826" spans="3:23" x14ac:dyDescent="0.25">
      <c r="C826" s="1"/>
      <c r="D826" s="29"/>
      <c r="E826" s="29"/>
      <c r="F826" s="29"/>
      <c r="G826" s="29"/>
      <c r="H826" s="30"/>
      <c r="I826" s="31"/>
      <c r="J826" s="31"/>
      <c r="K826" s="29"/>
      <c r="L826" s="32"/>
      <c r="M826" s="29"/>
      <c r="N826" s="33"/>
      <c r="O826" s="32"/>
      <c r="P826" s="34"/>
      <c r="Q826" s="34"/>
      <c r="R826" s="34"/>
      <c r="S826" s="32"/>
      <c r="T826" s="32"/>
      <c r="U826" s="32"/>
      <c r="V826" s="32"/>
      <c r="W826" s="32"/>
    </row>
    <row r="827" spans="3:23" x14ac:dyDescent="0.25">
      <c r="C827" s="1"/>
      <c r="D827" s="29"/>
      <c r="E827" s="29"/>
      <c r="F827" s="29"/>
      <c r="G827" s="29"/>
      <c r="H827" s="30"/>
      <c r="I827" s="31"/>
      <c r="J827" s="31"/>
      <c r="K827" s="29"/>
      <c r="L827" s="32"/>
      <c r="M827" s="29"/>
      <c r="N827" s="33"/>
      <c r="O827" s="32"/>
      <c r="P827" s="34"/>
      <c r="Q827" s="34"/>
      <c r="R827" s="34"/>
      <c r="S827" s="32"/>
      <c r="T827" s="32"/>
      <c r="U827" s="32"/>
      <c r="V827" s="32"/>
      <c r="W827" s="32"/>
    </row>
    <row r="828" spans="3:23" x14ac:dyDescent="0.25">
      <c r="C828" s="1"/>
      <c r="D828" s="29"/>
      <c r="E828" s="29"/>
      <c r="F828" s="29"/>
      <c r="G828" s="29"/>
      <c r="H828" s="30"/>
      <c r="I828" s="31"/>
      <c r="J828" s="31"/>
      <c r="K828" s="29"/>
      <c r="L828" s="32"/>
      <c r="M828" s="29"/>
      <c r="N828" s="33"/>
      <c r="O828" s="32"/>
      <c r="P828" s="34"/>
      <c r="Q828" s="34"/>
      <c r="R828" s="34"/>
      <c r="S828" s="32"/>
      <c r="T828" s="32"/>
      <c r="U828" s="32"/>
      <c r="V828" s="32"/>
      <c r="W828" s="32"/>
    </row>
    <row r="829" spans="3:23" x14ac:dyDescent="0.25">
      <c r="C829" s="1"/>
      <c r="D829" s="29"/>
      <c r="E829" s="29"/>
      <c r="F829" s="29"/>
      <c r="G829" s="29"/>
      <c r="H829" s="30"/>
      <c r="I829" s="31"/>
      <c r="J829" s="31"/>
      <c r="K829" s="29"/>
      <c r="L829" s="32"/>
      <c r="M829" s="29"/>
      <c r="N829" s="33"/>
      <c r="O829" s="32"/>
      <c r="P829" s="34"/>
      <c r="Q829" s="34"/>
      <c r="R829" s="34"/>
      <c r="S829" s="32"/>
      <c r="T829" s="32"/>
      <c r="U829" s="32"/>
      <c r="V829" s="32"/>
      <c r="W829" s="32"/>
    </row>
    <row r="830" spans="3:23" x14ac:dyDescent="0.25">
      <c r="C830" s="1"/>
      <c r="D830" s="29"/>
      <c r="E830" s="29"/>
      <c r="F830" s="29"/>
      <c r="G830" s="29"/>
      <c r="H830" s="30"/>
      <c r="I830" s="31"/>
      <c r="J830" s="31"/>
      <c r="K830" s="29"/>
      <c r="L830" s="32"/>
      <c r="M830" s="29"/>
      <c r="N830" s="33"/>
      <c r="O830" s="32"/>
      <c r="P830" s="34"/>
      <c r="Q830" s="34"/>
      <c r="R830" s="34"/>
      <c r="S830" s="32"/>
      <c r="T830" s="32"/>
      <c r="U830" s="32"/>
      <c r="V830" s="32"/>
      <c r="W830" s="32"/>
    </row>
    <row r="831" spans="3:23" x14ac:dyDescent="0.25">
      <c r="C831" s="1"/>
      <c r="D831" s="29"/>
      <c r="E831" s="29"/>
      <c r="F831" s="29"/>
      <c r="G831" s="29"/>
      <c r="H831" s="30"/>
      <c r="I831" s="31"/>
      <c r="J831" s="31"/>
      <c r="K831" s="29"/>
      <c r="L831" s="32"/>
      <c r="M831" s="29"/>
      <c r="N831" s="33"/>
      <c r="O831" s="32"/>
      <c r="P831" s="34"/>
      <c r="Q831" s="34"/>
      <c r="R831" s="34"/>
      <c r="S831" s="32"/>
      <c r="T831" s="32"/>
      <c r="U831" s="32"/>
      <c r="V831" s="32"/>
      <c r="W831" s="32"/>
    </row>
    <row r="832" spans="3:23" x14ac:dyDescent="0.25">
      <c r="C832" s="1"/>
      <c r="D832" s="29"/>
      <c r="E832" s="29"/>
      <c r="F832" s="29"/>
      <c r="G832" s="29"/>
      <c r="H832" s="30"/>
      <c r="I832" s="31"/>
      <c r="J832" s="31"/>
      <c r="K832" s="29"/>
      <c r="L832" s="32"/>
      <c r="M832" s="29"/>
      <c r="N832" s="33"/>
      <c r="O832" s="32"/>
      <c r="P832" s="34"/>
      <c r="Q832" s="34"/>
      <c r="R832" s="34"/>
      <c r="S832" s="32"/>
      <c r="T832" s="32"/>
      <c r="U832" s="32"/>
      <c r="V832" s="32"/>
      <c r="W832" s="32"/>
    </row>
    <row r="833" spans="3:23" x14ac:dyDescent="0.25">
      <c r="C833" s="1"/>
      <c r="D833" s="29"/>
      <c r="E833" s="29"/>
      <c r="F833" s="29"/>
      <c r="G833" s="29"/>
      <c r="H833" s="30"/>
      <c r="I833" s="31"/>
      <c r="J833" s="31"/>
      <c r="K833" s="29"/>
      <c r="L833" s="32"/>
      <c r="M833" s="29"/>
      <c r="N833" s="33"/>
      <c r="O833" s="32"/>
      <c r="P833" s="34"/>
      <c r="Q833" s="34"/>
      <c r="R833" s="34"/>
      <c r="S833" s="32"/>
      <c r="T833" s="32"/>
      <c r="U833" s="32"/>
      <c r="V833" s="32"/>
      <c r="W833" s="32"/>
    </row>
    <row r="834" spans="3:23" x14ac:dyDescent="0.25">
      <c r="C834" s="1"/>
      <c r="D834" s="29"/>
      <c r="E834" s="29"/>
      <c r="F834" s="29"/>
      <c r="G834" s="29"/>
      <c r="H834" s="30"/>
      <c r="I834" s="31"/>
      <c r="J834" s="31"/>
      <c r="K834" s="29"/>
      <c r="L834" s="32"/>
      <c r="M834" s="29"/>
      <c r="N834" s="33"/>
      <c r="O834" s="32"/>
      <c r="P834" s="34"/>
      <c r="Q834" s="34"/>
      <c r="R834" s="34"/>
      <c r="S834" s="32"/>
      <c r="T834" s="32"/>
      <c r="U834" s="32"/>
      <c r="V834" s="32"/>
      <c r="W834" s="32"/>
    </row>
    <row r="835" spans="3:23" x14ac:dyDescent="0.25">
      <c r="C835" s="1"/>
      <c r="D835" s="29"/>
      <c r="E835" s="29"/>
      <c r="F835" s="29"/>
      <c r="G835" s="29"/>
      <c r="H835" s="30"/>
      <c r="I835" s="31"/>
      <c r="J835" s="31"/>
      <c r="K835" s="29"/>
      <c r="L835" s="32"/>
      <c r="M835" s="29"/>
      <c r="N835" s="33"/>
      <c r="O835" s="32"/>
      <c r="P835" s="34"/>
      <c r="Q835" s="34"/>
      <c r="R835" s="34"/>
      <c r="S835" s="32"/>
      <c r="T835" s="32"/>
      <c r="U835" s="32"/>
      <c r="V835" s="32"/>
      <c r="W835" s="32"/>
    </row>
    <row r="836" spans="3:23" x14ac:dyDescent="0.25">
      <c r="C836" s="1"/>
      <c r="D836" s="29"/>
      <c r="E836" s="29"/>
      <c r="F836" s="29"/>
      <c r="G836" s="29"/>
      <c r="H836" s="30"/>
      <c r="I836" s="31"/>
      <c r="J836" s="31"/>
      <c r="K836" s="29"/>
      <c r="L836" s="32"/>
      <c r="M836" s="29"/>
      <c r="N836" s="33"/>
      <c r="O836" s="32"/>
      <c r="P836" s="34"/>
      <c r="Q836" s="34"/>
      <c r="R836" s="34"/>
      <c r="S836" s="32"/>
      <c r="T836" s="32"/>
      <c r="U836" s="32"/>
      <c r="V836" s="32"/>
      <c r="W836" s="32"/>
    </row>
    <row r="837" spans="3:23" x14ac:dyDescent="0.25">
      <c r="C837" s="1"/>
      <c r="D837" s="29"/>
      <c r="E837" s="29"/>
      <c r="F837" s="29"/>
      <c r="G837" s="29"/>
      <c r="H837" s="30"/>
      <c r="I837" s="31"/>
      <c r="J837" s="31"/>
      <c r="K837" s="29"/>
      <c r="L837" s="32"/>
      <c r="M837" s="29"/>
      <c r="N837" s="33"/>
      <c r="O837" s="32"/>
      <c r="P837" s="34"/>
      <c r="Q837" s="34"/>
      <c r="R837" s="34"/>
      <c r="S837" s="32"/>
      <c r="T837" s="32"/>
      <c r="U837" s="32"/>
      <c r="V837" s="32"/>
      <c r="W837" s="32"/>
    </row>
    <row r="838" spans="3:23" x14ac:dyDescent="0.25">
      <c r="C838" s="1"/>
      <c r="D838" s="29"/>
      <c r="E838" s="29"/>
      <c r="F838" s="29"/>
      <c r="G838" s="29"/>
      <c r="H838" s="30"/>
      <c r="I838" s="31"/>
      <c r="J838" s="31"/>
      <c r="K838" s="29"/>
      <c r="L838" s="32"/>
      <c r="M838" s="29"/>
      <c r="N838" s="33"/>
      <c r="O838" s="32"/>
      <c r="P838" s="34"/>
      <c r="Q838" s="34"/>
      <c r="R838" s="34"/>
      <c r="S838" s="32"/>
      <c r="T838" s="32"/>
      <c r="U838" s="32"/>
      <c r="V838" s="32"/>
      <c r="W838" s="32"/>
    </row>
    <row r="839" spans="3:23" x14ac:dyDescent="0.25">
      <c r="C839" s="1"/>
      <c r="D839" s="29"/>
      <c r="E839" s="29"/>
      <c r="F839" s="29"/>
      <c r="G839" s="29"/>
      <c r="H839" s="30"/>
      <c r="I839" s="31"/>
      <c r="J839" s="31"/>
      <c r="K839" s="29"/>
      <c r="L839" s="32"/>
      <c r="M839" s="29"/>
      <c r="N839" s="33"/>
      <c r="O839" s="32"/>
      <c r="P839" s="34"/>
      <c r="Q839" s="34"/>
      <c r="R839" s="34"/>
      <c r="S839" s="32"/>
      <c r="T839" s="32"/>
      <c r="U839" s="32"/>
      <c r="V839" s="32"/>
      <c r="W839" s="32"/>
    </row>
    <row r="840" spans="3:23" x14ac:dyDescent="0.25">
      <c r="C840" s="1"/>
      <c r="D840" s="29"/>
      <c r="E840" s="29"/>
      <c r="F840" s="29"/>
      <c r="G840" s="29"/>
      <c r="H840" s="30"/>
      <c r="I840" s="31"/>
      <c r="J840" s="31"/>
      <c r="K840" s="29"/>
      <c r="L840" s="32"/>
      <c r="M840" s="29"/>
      <c r="N840" s="33"/>
      <c r="O840" s="32"/>
      <c r="P840" s="34"/>
      <c r="Q840" s="34"/>
      <c r="R840" s="34"/>
      <c r="S840" s="32"/>
      <c r="T840" s="32"/>
      <c r="U840" s="32"/>
      <c r="V840" s="32"/>
      <c r="W840" s="32"/>
    </row>
    <row r="841" spans="3:23" x14ac:dyDescent="0.25">
      <c r="C841" s="1"/>
      <c r="D841" s="29"/>
      <c r="E841" s="29"/>
      <c r="F841" s="29"/>
      <c r="G841" s="29"/>
      <c r="H841" s="30"/>
      <c r="I841" s="31"/>
      <c r="J841" s="31"/>
      <c r="K841" s="29"/>
      <c r="L841" s="32"/>
      <c r="M841" s="29"/>
      <c r="N841" s="33"/>
      <c r="O841" s="32"/>
      <c r="P841" s="34"/>
      <c r="Q841" s="34"/>
      <c r="R841" s="34"/>
      <c r="S841" s="32"/>
      <c r="T841" s="32"/>
      <c r="U841" s="32"/>
      <c r="V841" s="32"/>
      <c r="W841" s="32"/>
    </row>
    <row r="842" spans="3:23" x14ac:dyDescent="0.25">
      <c r="C842" s="1"/>
      <c r="D842" s="29"/>
      <c r="E842" s="29"/>
      <c r="F842" s="29"/>
      <c r="G842" s="29"/>
      <c r="H842" s="30"/>
      <c r="I842" s="31"/>
      <c r="J842" s="31"/>
      <c r="K842" s="29"/>
      <c r="L842" s="32"/>
      <c r="M842" s="29"/>
      <c r="N842" s="33"/>
      <c r="O842" s="32"/>
      <c r="P842" s="34"/>
      <c r="Q842" s="34"/>
      <c r="R842" s="34"/>
      <c r="S842" s="32"/>
      <c r="T842" s="32"/>
      <c r="U842" s="32"/>
      <c r="V842" s="32"/>
      <c r="W842" s="32"/>
    </row>
    <row r="843" spans="3:23" x14ac:dyDescent="0.25">
      <c r="C843" s="1"/>
      <c r="D843" s="29"/>
      <c r="E843" s="29"/>
      <c r="F843" s="29"/>
      <c r="G843" s="29"/>
      <c r="H843" s="30"/>
      <c r="I843" s="31"/>
      <c r="J843" s="31"/>
      <c r="K843" s="29"/>
      <c r="L843" s="32"/>
      <c r="M843" s="29"/>
      <c r="N843" s="33"/>
      <c r="O843" s="32"/>
      <c r="P843" s="34"/>
      <c r="Q843" s="34"/>
      <c r="R843" s="34"/>
      <c r="S843" s="32"/>
      <c r="T843" s="32"/>
      <c r="U843" s="32"/>
      <c r="V843" s="32"/>
      <c r="W843" s="32"/>
    </row>
    <row r="844" spans="3:23" x14ac:dyDescent="0.25">
      <c r="C844" s="1"/>
      <c r="D844" s="29"/>
      <c r="E844" s="29"/>
      <c r="F844" s="29"/>
      <c r="G844" s="29"/>
      <c r="H844" s="30"/>
      <c r="I844" s="31"/>
      <c r="J844" s="31"/>
      <c r="K844" s="29"/>
      <c r="L844" s="32"/>
      <c r="M844" s="29"/>
      <c r="N844" s="33"/>
      <c r="O844" s="32"/>
      <c r="P844" s="34"/>
      <c r="Q844" s="34"/>
      <c r="R844" s="34"/>
      <c r="S844" s="32"/>
      <c r="T844" s="32"/>
      <c r="U844" s="32"/>
      <c r="V844" s="32"/>
      <c r="W844" s="3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Generador</vt:lpstr>
      <vt:lpstr>Imput</vt:lpstr>
      <vt:lpstr>Output</vt:lpstr>
    </vt:vector>
  </TitlesOfParts>
  <Company>Banco Espirito Santo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Bloomberg Gestion User</dc:creator>
  <cp:lastModifiedBy>Victor Morales | Trea AM</cp:lastModifiedBy>
  <dcterms:created xsi:type="dcterms:W3CDTF">2020-09-15T11:08:29Z</dcterms:created>
  <dcterms:modified xsi:type="dcterms:W3CDTF">2021-10-15T15:38:12Z</dcterms:modified>
</cp:coreProperties>
</file>